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ily Reports\پروژه کوره ها\کوره\report\گزارش هفتگی\1402-01\"/>
    </mc:Choice>
  </mc:AlternateContent>
  <xr:revisionPtr revIDLastSave="0" documentId="13_ncr:1_{EF77D829-5F0B-4A12-80B4-3A8C5435C730}" xr6:coauthVersionLast="47" xr6:coauthVersionMax="47" xr10:uidLastSave="{00000000-0000-0000-0000-000000000000}"/>
  <bookViews>
    <workbookView xWindow="-108" yWindow="-108" windowWidth="23256" windowHeight="12576" xr2:uid="{C0C8673E-83FC-45B3-B050-610B01845B2E}"/>
  </bookViews>
  <sheets>
    <sheet name="PMS" sheetId="1" r:id="rId1"/>
  </sheets>
  <externalReferences>
    <externalReference r:id="rId2"/>
    <externalReference r:id="rId3"/>
    <externalReference r:id="rId4"/>
    <externalReference r:id="rId5"/>
  </externalReferences>
  <definedNames>
    <definedName name="\O">#REF!</definedName>
    <definedName name="\P">#REF!</definedName>
    <definedName name="\R">#REF!</definedName>
    <definedName name="\V">#REF!</definedName>
    <definedName name="__ALI1">#REF!,#REF!,#REF!,#REF!,#REF!,#REF!,#REF!,#REF!,#REF!,#REF!,#REF!</definedName>
    <definedName name="_ALI1">#REF!,#REF!,#REF!,#REF!,#REF!,#REF!,#REF!,#REF!,#REF!,#REF!,#REF!</definedName>
    <definedName name="_xlnm._FilterDatabase" localSheetId="0" hidden="1">PMS!$A$2:$AA$1136</definedName>
    <definedName name="_Parse_In" hidden="1">[1]CIV!#REF!</definedName>
    <definedName name="AA">#REF!,#REF!,#REF!,#REF!,#REF!,#REF!,#REF!,#REF!,#REF!,#REF!,#REF!,#REF!</definedName>
    <definedName name="aaa">#REF!</definedName>
    <definedName name="ach">#REF!</definedName>
    <definedName name="achqty">#REF!</definedName>
    <definedName name="ACT">#REF!</definedName>
    <definedName name="AF">#REF!</definedName>
    <definedName name="AGRP">#REF!</definedName>
    <definedName name="ALI">#REF!,#REF!,#REF!,#REF!,#REF!,#REF!,#REF!,#REF!,#REF!,#REF!,#REF!,#REF!,#REF!</definedName>
    <definedName name="aqty">#REF!</definedName>
    <definedName name="AREA">#REF!</definedName>
    <definedName name="AS">#REF!</definedName>
    <definedName name="AXE">#REF!</definedName>
    <definedName name="BOQ">#REF!</definedName>
    <definedName name="BQ">#REF!</definedName>
    <definedName name="bs">#REF!</definedName>
    <definedName name="CODE">#REF!</definedName>
    <definedName name="_xlnm.Database">#REF!</definedName>
    <definedName name="DISC">#REF!</definedName>
    <definedName name="EF">#REF!</definedName>
    <definedName name="EFA">#REF!</definedName>
    <definedName name="EFF.">#REF!</definedName>
    <definedName name="Electrical">#REF!</definedName>
    <definedName name="ELEV">#REF!</definedName>
    <definedName name="ES">#REF!</definedName>
    <definedName name="ESA">#REF!</definedName>
    <definedName name="f" hidden="1">[1]CIV!#REF!</definedName>
    <definedName name="gg">'[2]برنامه سال'!$7:$7,'[2]برنامه سال'!$9:$9,'[2]برنامه سال'!$13:$13</definedName>
    <definedName name="kam">'[2]برنامه سال'!#REF!,'[2]برنامه سال'!$7:$7,'[2]برنامه سال'!$9:$9,'[2]برنامه سال'!$11:$11,'[2]برنامه سال'!$13:$13,'[2]برنامه سال'!$15:$15,'[2]برنامه سال'!$17:$17,'[2]برنامه سال'!$19:$19,'[2]برنامه سال'!$21:$21,'[2]برنامه سال'!$23:$23,'[2]برنامه سال'!$25:$25,'[2]برنامه سال'!$27:$27,'[2]برنامه سال'!$29:$29,'[2]برنامه سال'!$31:$31,'[2]برنامه سال'!$33:$33,'[2]برنامه سال'!$35:$35,'[2]برنامه سال'!$37:$37,'[2]برنامه سال'!$39:$39,'[2]برنامه سال'!$41:$41,'[2]برنامه سال'!$43:$43,'[2]برنامه سال'!$45:$45,'[2]برنامه سال'!$47:$47,'[2]برنامه سال'!$49:$49,'[2]برنامه سال'!$51:$51,'[2]برنامه سال'!$53:$53,'[2]برنامه سال'!$55:$55,'[2]برنامه سال'!$57:$57,'[2]برنامه سال'!$59:$59,'[2]برنامه سال'!$61:$61,'[2]برنامه سال'!$63:$63,'[2]برنامه سال'!$65:$65,'[2]برنامه سال'!$67:$67,'[2]برنامه سال'!$69:$69,'[2]برنامه سال'!$71:$71,'[2]برنامه سال'!$73:$73,'[2]برنامه سال'!$75:$75,'[2]برنامه سال'!$77:$77,'[2]برنامه سال'!$79:$79,'[2]برنامه سال'!$81:$81,'[2]برنامه سال'!$83:$83,'[2]برنامه سال'!$85:$85,'[2]برنامه سال'!$87:$87,'[2]برنامه سال'!$89:$89,'[2]برنامه سال'!$91:$91,'[2]برنامه سال'!$93:$93,'[2]برنامه سال'!$95:$95,'[2]برنامه سال'!$97:$97,'[2]برنامه سال'!$99:$99,'[2]برنامه سال'!$101:$101,'[2]برنامه سال'!$103:$103,'[2]برنامه سال'!$105:$105,'[2]برنامه سال'!$107:$107,'[2]برنامه سال'!$109:$109,'[2]برنامه سال'!$111:$111,'[2]برنامه سال'!$113:$113,'[2]برنامه سال'!$115:$115,'[2]برنامه سال'!$117:$117,'[2]برنامه سال'!$119:$119,'[2]برنامه سال'!$121:$121,'[2]برنامه سال'!$123:$123</definedName>
    <definedName name="kk">#REF!</definedName>
    <definedName name="LEVE">#REF!</definedName>
    <definedName name="lk" hidden="1">[1]CIV!#REF!</definedName>
    <definedName name="MITRA">#REF!,#REF!,#REF!,#REF!,#REF!,#REF!,#REF!,#REF!,#REF!,#REF!,#REF!,#REF!,#REF!,#REF!,#REF!,#REF!</definedName>
    <definedName name="mn">#REF!</definedName>
    <definedName name="mohsen">#REF!</definedName>
    <definedName name="NDT">#REF!</definedName>
    <definedName name="OD">#REF!</definedName>
    <definedName name="op">#REF!</definedName>
    <definedName name="p">#REF!</definedName>
    <definedName name="pakag">#REF!</definedName>
    <definedName name="PCT">#REF!</definedName>
    <definedName name="PHAS">#REF!</definedName>
    <definedName name="PLNT">#REF!</definedName>
    <definedName name="PLST">#REF!</definedName>
    <definedName name="pppp">#REF!</definedName>
    <definedName name="pppppp">#REF!</definedName>
    <definedName name="ppppppp">#REF!</definedName>
    <definedName name="qty">#REF!</definedName>
    <definedName name="ref">#REF!</definedName>
    <definedName name="ROW">#REF!</definedName>
    <definedName name="RUT">#REF!</definedName>
    <definedName name="SARE">#REF!</definedName>
    <definedName name="SCSP">#REF!</definedName>
    <definedName name="sheet">#REF!</definedName>
    <definedName name="sheet111">#REF!,#REF!,#REF!,#REF!,#REF!,#REF!,#REF!,#REF!,#REF!,#REF!,#REF!,#REF!,#REF!,#REF!,#REF!,#REF!</definedName>
    <definedName name="siloha">#REF!</definedName>
    <definedName name="srtsrtwrtur">#REF!,#REF!,#REF!,#REF!,#REF!,#REF!,#REF!,#REF!,#REF!,#REF!,#REF!,#REF!</definedName>
    <definedName name="SSYS">#REF!</definedName>
    <definedName name="SYST">#REF!</definedName>
    <definedName name="TAB">#REF!</definedName>
    <definedName name="TITLE">#REF!</definedName>
    <definedName name="Total">#REF!</definedName>
    <definedName name="tqty">#REF!</definedName>
    <definedName name="TRAFFIC">#REF!,#REF!,#REF!,#REF!,#REF!,#REF!,#REF!,#REF!,#REF!,#REF!,#REF!,#REF!</definedName>
    <definedName name="UNIT">#REF!</definedName>
    <definedName name="uuuu">#REF!</definedName>
    <definedName name="w">#REF!</definedName>
    <definedName name="X" hidden="1">[1]CIV!#REF!</definedName>
    <definedName name="ZONE">#REF!</definedName>
    <definedName name="ز26">[3]summary!#REF!</definedName>
    <definedName name="ش109">#REF!</definedName>
    <definedName name="ش110">#REF!</definedName>
    <definedName name="گزارش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36" i="1" l="1"/>
  <c r="V1136" i="1"/>
  <c r="V1135" i="1" s="1"/>
  <c r="V1134" i="1" s="1"/>
  <c r="V1133" i="1" s="1"/>
  <c r="V1132" i="1" s="1"/>
  <c r="V1131" i="1" s="1"/>
  <c r="M1136" i="1"/>
  <c r="M1135" i="1" s="1"/>
  <c r="M1134" i="1" s="1"/>
  <c r="M1133" i="1" s="1"/>
  <c r="M1132" i="1" s="1"/>
  <c r="M1131" i="1" s="1"/>
  <c r="L1136" i="1"/>
  <c r="L1135" i="1" s="1"/>
  <c r="L1134" i="1" s="1"/>
  <c r="L1133" i="1" s="1"/>
  <c r="L1132" i="1" s="1"/>
  <c r="L1131" i="1" s="1"/>
  <c r="AA1135" i="1"/>
  <c r="Y1135" i="1"/>
  <c r="AA1134" i="1"/>
  <c r="AA1133" i="1" s="1"/>
  <c r="AA1132" i="1" s="1"/>
  <c r="AA1131" i="1" s="1"/>
  <c r="Y1134" i="1"/>
  <c r="Y1133" i="1" s="1"/>
  <c r="Y1132" i="1" s="1"/>
  <c r="Y1131" i="1" s="1"/>
  <c r="X1130" i="1"/>
  <c r="W1130" i="1" s="1"/>
  <c r="V1130" i="1"/>
  <c r="M1130" i="1"/>
  <c r="L1130" i="1"/>
  <c r="X1129" i="1"/>
  <c r="AA1129" i="1" s="1"/>
  <c r="V1129" i="1"/>
  <c r="M1129" i="1"/>
  <c r="L1129" i="1"/>
  <c r="X1123" i="1"/>
  <c r="X1122" i="1" s="1"/>
  <c r="X1121" i="1" s="1"/>
  <c r="X1120" i="1" s="1"/>
  <c r="V1123" i="1"/>
  <c r="V1122" i="1" s="1"/>
  <c r="V1121" i="1" s="1"/>
  <c r="V1120" i="1" s="1"/>
  <c r="M1123" i="1"/>
  <c r="M1122" i="1" s="1"/>
  <c r="M1121" i="1" s="1"/>
  <c r="M1120" i="1" s="1"/>
  <c r="L1123" i="1"/>
  <c r="L1122" i="1" s="1"/>
  <c r="L1121" i="1" s="1"/>
  <c r="L1120" i="1" s="1"/>
  <c r="X1119" i="1"/>
  <c r="X1118" i="1" s="1"/>
  <c r="V1119" i="1"/>
  <c r="V1118" i="1" s="1"/>
  <c r="M1119" i="1"/>
  <c r="M1118" i="1" s="1"/>
  <c r="L1119" i="1"/>
  <c r="L1118" i="1" s="1"/>
  <c r="X1117" i="1"/>
  <c r="X1116" i="1" s="1"/>
  <c r="V1117" i="1"/>
  <c r="V1116" i="1" s="1"/>
  <c r="M1117" i="1"/>
  <c r="M1116" i="1" s="1"/>
  <c r="L1117" i="1"/>
  <c r="L1116" i="1" s="1"/>
  <c r="X1115" i="1"/>
  <c r="V1115" i="1"/>
  <c r="V1114" i="1" s="1"/>
  <c r="M1115" i="1"/>
  <c r="L1115" i="1"/>
  <c r="L1114" i="1" s="1"/>
  <c r="X1113" i="1"/>
  <c r="V1113" i="1"/>
  <c r="V1112" i="1" s="1"/>
  <c r="M1113" i="1"/>
  <c r="M1112" i="1" s="1"/>
  <c r="L1113" i="1"/>
  <c r="L1112" i="1" s="1"/>
  <c r="X1112" i="1"/>
  <c r="X1111" i="1"/>
  <c r="X1110" i="1" s="1"/>
  <c r="V1111" i="1"/>
  <c r="V1110" i="1" s="1"/>
  <c r="M1111" i="1"/>
  <c r="M1110" i="1" s="1"/>
  <c r="L1111" i="1"/>
  <c r="L1110" i="1" s="1"/>
  <c r="X1106" i="1"/>
  <c r="V1106" i="1"/>
  <c r="M1106" i="1"/>
  <c r="Y1106" i="1" s="1"/>
  <c r="X1105" i="1"/>
  <c r="W1105" i="1"/>
  <c r="Z1105" i="1" s="1"/>
  <c r="V1105" i="1"/>
  <c r="M1105" i="1"/>
  <c r="X1104" i="1"/>
  <c r="W1104" i="1" s="1"/>
  <c r="Z1104" i="1" s="1"/>
  <c r="V1104" i="1"/>
  <c r="Y1104" i="1" s="1"/>
  <c r="M1104" i="1"/>
  <c r="X1103" i="1"/>
  <c r="W1103" i="1" s="1"/>
  <c r="Z1103" i="1" s="1"/>
  <c r="V1103" i="1"/>
  <c r="M1103" i="1"/>
  <c r="AA1103" i="1" s="1"/>
  <c r="Y1102" i="1"/>
  <c r="X1102" i="1"/>
  <c r="AA1102" i="1" s="1"/>
  <c r="V1102" i="1"/>
  <c r="M1102" i="1"/>
  <c r="X1101" i="1"/>
  <c r="W1101" i="1" s="1"/>
  <c r="V1101" i="1"/>
  <c r="M1101" i="1"/>
  <c r="AA1101" i="1" s="1"/>
  <c r="L1100" i="1"/>
  <c r="X1099" i="1"/>
  <c r="V1099" i="1"/>
  <c r="M1099" i="1"/>
  <c r="AA1099" i="1" s="1"/>
  <c r="X1098" i="1"/>
  <c r="AA1098" i="1" s="1"/>
  <c r="V1098" i="1"/>
  <c r="Y1098" i="1" s="1"/>
  <c r="M1098" i="1"/>
  <c r="X1097" i="1"/>
  <c r="V1097" i="1"/>
  <c r="M1097" i="1"/>
  <c r="Y1097" i="1" s="1"/>
  <c r="X1096" i="1"/>
  <c r="W1096" i="1" s="1"/>
  <c r="Z1096" i="1" s="1"/>
  <c r="V1096" i="1"/>
  <c r="Y1096" i="1" s="1"/>
  <c r="M1096" i="1"/>
  <c r="X1095" i="1"/>
  <c r="V1095" i="1"/>
  <c r="M1095" i="1"/>
  <c r="AA1095" i="1" s="1"/>
  <c r="X1094" i="1"/>
  <c r="W1094" i="1" s="1"/>
  <c r="V1094" i="1"/>
  <c r="M1094" i="1"/>
  <c r="L1093" i="1"/>
  <c r="L1092" i="1" s="1"/>
  <c r="L1091" i="1" s="1"/>
  <c r="M1092" i="1"/>
  <c r="M1091" i="1"/>
  <c r="X1090" i="1"/>
  <c r="AA1090" i="1" s="1"/>
  <c r="V1090" i="1"/>
  <c r="M1090" i="1"/>
  <c r="X1089" i="1"/>
  <c r="V1089" i="1"/>
  <c r="M1089" i="1"/>
  <c r="X1088" i="1"/>
  <c r="AA1088" i="1" s="1"/>
  <c r="V1088" i="1"/>
  <c r="Y1088" i="1" s="1"/>
  <c r="M1088" i="1"/>
  <c r="X1087" i="1"/>
  <c r="V1087" i="1"/>
  <c r="M1087" i="1"/>
  <c r="X1086" i="1"/>
  <c r="V1086" i="1"/>
  <c r="M1086" i="1"/>
  <c r="X1085" i="1"/>
  <c r="V1085" i="1"/>
  <c r="V1084" i="1" s="1"/>
  <c r="M1085" i="1"/>
  <c r="L1084" i="1"/>
  <c r="X1083" i="1"/>
  <c r="W1083" i="1" s="1"/>
  <c r="Z1083" i="1" s="1"/>
  <c r="V1083" i="1"/>
  <c r="M1083" i="1"/>
  <c r="L1083" i="1"/>
  <c r="X1082" i="1"/>
  <c r="V1082" i="1"/>
  <c r="M1082" i="1"/>
  <c r="X1081" i="1"/>
  <c r="V1081" i="1"/>
  <c r="Y1081" i="1" s="1"/>
  <c r="M1081" i="1"/>
  <c r="L1081" i="1"/>
  <c r="X1080" i="1"/>
  <c r="V1080" i="1"/>
  <c r="M1080" i="1"/>
  <c r="AA1080" i="1" s="1"/>
  <c r="X1079" i="1"/>
  <c r="V1079" i="1"/>
  <c r="M1079" i="1"/>
  <c r="X1078" i="1"/>
  <c r="X1077" i="1" s="1"/>
  <c r="V1078" i="1"/>
  <c r="M1078" i="1"/>
  <c r="L1078" i="1"/>
  <c r="L1077" i="1" s="1"/>
  <c r="L1076" i="1" s="1"/>
  <c r="L1075" i="1" s="1"/>
  <c r="L1074" i="1" s="1"/>
  <c r="M1076" i="1"/>
  <c r="M1075" i="1"/>
  <c r="M1074" i="1" s="1"/>
  <c r="X1073" i="1"/>
  <c r="V1073" i="1"/>
  <c r="Y1073" i="1" s="1"/>
  <c r="M1073" i="1"/>
  <c r="AA1073" i="1" s="1"/>
  <c r="L1073" i="1"/>
  <c r="X1072" i="1"/>
  <c r="W1072" i="1" s="1"/>
  <c r="Z1072" i="1" s="1"/>
  <c r="V1072" i="1"/>
  <c r="M1072" i="1"/>
  <c r="L1072" i="1"/>
  <c r="X1071" i="1"/>
  <c r="V1071" i="1"/>
  <c r="M1071" i="1"/>
  <c r="L1071" i="1"/>
  <c r="Y1070" i="1"/>
  <c r="X1070" i="1"/>
  <c r="AA1070" i="1" s="1"/>
  <c r="W1070" i="1"/>
  <c r="Z1070" i="1" s="1"/>
  <c r="V1070" i="1"/>
  <c r="M1070" i="1"/>
  <c r="L1070" i="1"/>
  <c r="X1069" i="1"/>
  <c r="V1069" i="1"/>
  <c r="W1069" i="1" s="1"/>
  <c r="M1069" i="1"/>
  <c r="L1069" i="1"/>
  <c r="X1067" i="1"/>
  <c r="V1067" i="1"/>
  <c r="Y1067" i="1" s="1"/>
  <c r="M1067" i="1"/>
  <c r="L1067" i="1"/>
  <c r="AA1066" i="1"/>
  <c r="X1066" i="1"/>
  <c r="V1066" i="1"/>
  <c r="Y1066" i="1" s="1"/>
  <c r="M1066" i="1"/>
  <c r="L1066" i="1"/>
  <c r="X1065" i="1"/>
  <c r="W1065" i="1" s="1"/>
  <c r="Z1065" i="1" s="1"/>
  <c r="V1065" i="1"/>
  <c r="Y1065" i="1" s="1"/>
  <c r="M1065" i="1"/>
  <c r="L1065" i="1"/>
  <c r="X1064" i="1"/>
  <c r="V1064" i="1"/>
  <c r="M1064" i="1"/>
  <c r="L1064" i="1"/>
  <c r="X1063" i="1"/>
  <c r="W1063" i="1" s="1"/>
  <c r="Z1063" i="1" s="1"/>
  <c r="V1063" i="1"/>
  <c r="M1063" i="1"/>
  <c r="L1063" i="1"/>
  <c r="Y1062" i="1"/>
  <c r="X1062" i="1"/>
  <c r="V1062" i="1"/>
  <c r="M1062" i="1"/>
  <c r="L1062" i="1"/>
  <c r="X1060" i="1"/>
  <c r="W1060" i="1" s="1"/>
  <c r="Z1060" i="1" s="1"/>
  <c r="V1060" i="1"/>
  <c r="M1060" i="1"/>
  <c r="L1060" i="1"/>
  <c r="X1059" i="1"/>
  <c r="AA1059" i="1" s="1"/>
  <c r="V1059" i="1"/>
  <c r="M1059" i="1"/>
  <c r="L1059" i="1"/>
  <c r="X1058" i="1"/>
  <c r="V1058" i="1"/>
  <c r="W1058" i="1" s="1"/>
  <c r="M1058" i="1"/>
  <c r="L1058" i="1"/>
  <c r="X1057" i="1"/>
  <c r="V1057" i="1"/>
  <c r="Y1057" i="1" s="1"/>
  <c r="M1057" i="1"/>
  <c r="L1057" i="1"/>
  <c r="X1056" i="1"/>
  <c r="V1056" i="1"/>
  <c r="Y1056" i="1" s="1"/>
  <c r="M1056" i="1"/>
  <c r="L1056" i="1"/>
  <c r="X1055" i="1"/>
  <c r="V1055" i="1"/>
  <c r="Y1055" i="1" s="1"/>
  <c r="M1055" i="1"/>
  <c r="AA1055" i="1" s="1"/>
  <c r="L1055" i="1"/>
  <c r="X1054" i="1"/>
  <c r="V1054" i="1"/>
  <c r="Y1054" i="1" s="1"/>
  <c r="M1054" i="1"/>
  <c r="L1054" i="1"/>
  <c r="Y1053" i="1"/>
  <c r="X1053" i="1"/>
  <c r="V1053" i="1"/>
  <c r="M1053" i="1"/>
  <c r="L1053" i="1"/>
  <c r="M1051" i="1"/>
  <c r="M1050" i="1"/>
  <c r="M1049" i="1" s="1"/>
  <c r="AA1048" i="1"/>
  <c r="AA1047" i="1" s="1"/>
  <c r="X1048" i="1"/>
  <c r="X1047" i="1" s="1"/>
  <c r="V1048" i="1"/>
  <c r="W1048" i="1" s="1"/>
  <c r="M1048" i="1"/>
  <c r="M1047" i="1" s="1"/>
  <c r="L1048" i="1"/>
  <c r="L1047" i="1" s="1"/>
  <c r="V1047" i="1"/>
  <c r="X1046" i="1"/>
  <c r="X1045" i="1" s="1"/>
  <c r="V1046" i="1"/>
  <c r="M1046" i="1"/>
  <c r="Y1046" i="1" s="1"/>
  <c r="Y1045" i="1" s="1"/>
  <c r="L1046" i="1"/>
  <c r="L1045" i="1" s="1"/>
  <c r="V1045" i="1"/>
  <c r="X1044" i="1"/>
  <c r="W1044" i="1"/>
  <c r="V1044" i="1"/>
  <c r="M1044" i="1"/>
  <c r="Y1044" i="1" s="1"/>
  <c r="Y1043" i="1" s="1"/>
  <c r="L1044" i="1"/>
  <c r="V1043" i="1"/>
  <c r="L1043" i="1"/>
  <c r="X1042" i="1"/>
  <c r="W1042" i="1"/>
  <c r="V1042" i="1"/>
  <c r="M1042" i="1"/>
  <c r="L1042" i="1"/>
  <c r="L1041" i="1" s="1"/>
  <c r="X1041" i="1"/>
  <c r="W1041" i="1"/>
  <c r="V1041" i="1"/>
  <c r="Y1040" i="1"/>
  <c r="X1040" i="1"/>
  <c r="AA1040" i="1" s="1"/>
  <c r="AA1039" i="1" s="1"/>
  <c r="V1040" i="1"/>
  <c r="M1040" i="1"/>
  <c r="L1040" i="1"/>
  <c r="L1039" i="1" s="1"/>
  <c r="Y1039" i="1"/>
  <c r="V1039" i="1"/>
  <c r="M1039" i="1"/>
  <c r="X1038" i="1"/>
  <c r="X1037" i="1" s="1"/>
  <c r="W1038" i="1"/>
  <c r="V1038" i="1"/>
  <c r="V1037" i="1" s="1"/>
  <c r="M1038" i="1"/>
  <c r="M1037" i="1" s="1"/>
  <c r="L1038" i="1"/>
  <c r="L1037" i="1" s="1"/>
  <c r="X1034" i="1"/>
  <c r="V1034" i="1"/>
  <c r="M1034" i="1"/>
  <c r="Y1034" i="1" s="1"/>
  <c r="L1034" i="1"/>
  <c r="X1033" i="1"/>
  <c r="V1033" i="1"/>
  <c r="M1033" i="1"/>
  <c r="AA1033" i="1" s="1"/>
  <c r="L1033" i="1"/>
  <c r="X1032" i="1"/>
  <c r="V1032" i="1"/>
  <c r="M1032" i="1"/>
  <c r="L1032" i="1"/>
  <c r="X1031" i="1"/>
  <c r="V1031" i="1"/>
  <c r="M1031" i="1"/>
  <c r="L1031" i="1"/>
  <c r="X1030" i="1"/>
  <c r="V1030" i="1"/>
  <c r="Y1030" i="1" s="1"/>
  <c r="M1030" i="1"/>
  <c r="L1030" i="1"/>
  <c r="X1029" i="1"/>
  <c r="AA1029" i="1" s="1"/>
  <c r="V1029" i="1"/>
  <c r="M1029" i="1"/>
  <c r="L1029" i="1"/>
  <c r="M1028" i="1"/>
  <c r="Y1027" i="1"/>
  <c r="X1027" i="1"/>
  <c r="W1027" i="1" s="1"/>
  <c r="Z1027" i="1" s="1"/>
  <c r="V1027" i="1"/>
  <c r="M1027" i="1"/>
  <c r="L1027" i="1"/>
  <c r="X1026" i="1"/>
  <c r="V1026" i="1"/>
  <c r="M1026" i="1"/>
  <c r="L1026" i="1"/>
  <c r="X1025" i="1"/>
  <c r="V1025" i="1"/>
  <c r="M1025" i="1"/>
  <c r="Y1025" i="1" s="1"/>
  <c r="L1025" i="1"/>
  <c r="AA1024" i="1"/>
  <c r="X1024" i="1"/>
  <c r="V1024" i="1"/>
  <c r="M1024" i="1"/>
  <c r="L1024" i="1"/>
  <c r="X1023" i="1"/>
  <c r="V1023" i="1"/>
  <c r="W1023" i="1" s="1"/>
  <c r="M1023" i="1"/>
  <c r="Y1023" i="1" s="1"/>
  <c r="L1023" i="1"/>
  <c r="X1022" i="1"/>
  <c r="V1022" i="1"/>
  <c r="M1022" i="1"/>
  <c r="L1022" i="1"/>
  <c r="M1021" i="1"/>
  <c r="X1020" i="1"/>
  <c r="V1020" i="1"/>
  <c r="W1020" i="1" s="1"/>
  <c r="M1020" i="1"/>
  <c r="L1020" i="1"/>
  <c r="X1019" i="1"/>
  <c r="V1019" i="1"/>
  <c r="M1019" i="1"/>
  <c r="L1019" i="1"/>
  <c r="X1018" i="1"/>
  <c r="W1018" i="1" s="1"/>
  <c r="V1018" i="1"/>
  <c r="M1018" i="1"/>
  <c r="Y1018" i="1" s="1"/>
  <c r="L1018" i="1"/>
  <c r="X1017" i="1"/>
  <c r="W1017" i="1" s="1"/>
  <c r="Z1017" i="1" s="1"/>
  <c r="V1017" i="1"/>
  <c r="Y1017" i="1" s="1"/>
  <c r="M1017" i="1"/>
  <c r="L1017" i="1"/>
  <c r="X1016" i="1"/>
  <c r="V1016" i="1"/>
  <c r="M1016" i="1"/>
  <c r="L1016" i="1"/>
  <c r="X1015" i="1"/>
  <c r="AA1015" i="1" s="1"/>
  <c r="V1015" i="1"/>
  <c r="M1015" i="1"/>
  <c r="L1015" i="1"/>
  <c r="M1014" i="1"/>
  <c r="X1013" i="1"/>
  <c r="V1013" i="1"/>
  <c r="M1013" i="1"/>
  <c r="L1013" i="1"/>
  <c r="X1012" i="1"/>
  <c r="V1012" i="1"/>
  <c r="Y1012" i="1" s="1"/>
  <c r="M1012" i="1"/>
  <c r="L1012" i="1"/>
  <c r="X1011" i="1"/>
  <c r="W1011" i="1"/>
  <c r="Z1011" i="1" s="1"/>
  <c r="V1011" i="1"/>
  <c r="M1011" i="1"/>
  <c r="Y1011" i="1" s="1"/>
  <c r="L1011" i="1"/>
  <c r="Y1010" i="1"/>
  <c r="X1010" i="1"/>
  <c r="V1010" i="1"/>
  <c r="M1010" i="1"/>
  <c r="L1010" i="1"/>
  <c r="X1009" i="1"/>
  <c r="V1009" i="1"/>
  <c r="M1009" i="1"/>
  <c r="AA1009" i="1" s="1"/>
  <c r="L1009" i="1"/>
  <c r="X1008" i="1"/>
  <c r="V1008" i="1"/>
  <c r="M1008" i="1"/>
  <c r="M1007" i="1" s="1"/>
  <c r="L1008" i="1"/>
  <c r="X1006" i="1"/>
  <c r="V1006" i="1"/>
  <c r="Y1006" i="1" s="1"/>
  <c r="M1006" i="1"/>
  <c r="L1006" i="1"/>
  <c r="X1005" i="1"/>
  <c r="W1005" i="1" s="1"/>
  <c r="Z1005" i="1" s="1"/>
  <c r="V1005" i="1"/>
  <c r="M1005" i="1"/>
  <c r="L1005" i="1"/>
  <c r="Y1004" i="1"/>
  <c r="X1004" i="1"/>
  <c r="V1004" i="1"/>
  <c r="M1004" i="1"/>
  <c r="L1004" i="1"/>
  <c r="X1003" i="1"/>
  <c r="W1003" i="1" s="1"/>
  <c r="V1003" i="1"/>
  <c r="M1003" i="1"/>
  <c r="Y1003" i="1" s="1"/>
  <c r="L1003" i="1"/>
  <c r="X1002" i="1"/>
  <c r="V1002" i="1"/>
  <c r="W1002" i="1" s="1"/>
  <c r="Z1002" i="1" s="1"/>
  <c r="M1002" i="1"/>
  <c r="L1002" i="1"/>
  <c r="X1001" i="1"/>
  <c r="X1000" i="1" s="1"/>
  <c r="V1001" i="1"/>
  <c r="V1000" i="1" s="1"/>
  <c r="M1001" i="1"/>
  <c r="L1001" i="1"/>
  <c r="Y999" i="1"/>
  <c r="X999" i="1"/>
  <c r="W999" i="1"/>
  <c r="V999" i="1"/>
  <c r="M999" i="1"/>
  <c r="L999" i="1"/>
  <c r="Y998" i="1"/>
  <c r="X998" i="1"/>
  <c r="V998" i="1"/>
  <c r="M998" i="1"/>
  <c r="L998" i="1"/>
  <c r="X997" i="1"/>
  <c r="W997" i="1" s="1"/>
  <c r="Z997" i="1" s="1"/>
  <c r="V997" i="1"/>
  <c r="M997" i="1"/>
  <c r="AA997" i="1" s="1"/>
  <c r="L997" i="1"/>
  <c r="X996" i="1"/>
  <c r="V996" i="1"/>
  <c r="M996" i="1"/>
  <c r="L996" i="1"/>
  <c r="X995" i="1"/>
  <c r="V995" i="1"/>
  <c r="M995" i="1"/>
  <c r="L995" i="1"/>
  <c r="X994" i="1"/>
  <c r="X993" i="1" s="1"/>
  <c r="V994" i="1"/>
  <c r="M994" i="1"/>
  <c r="L994" i="1"/>
  <c r="M993" i="1"/>
  <c r="X992" i="1"/>
  <c r="W992" i="1" s="1"/>
  <c r="V992" i="1"/>
  <c r="M992" i="1"/>
  <c r="L992" i="1"/>
  <c r="Y991" i="1"/>
  <c r="X991" i="1"/>
  <c r="V991" i="1"/>
  <c r="M991" i="1"/>
  <c r="AA991" i="1" s="1"/>
  <c r="L991" i="1"/>
  <c r="X990" i="1"/>
  <c r="AA990" i="1" s="1"/>
  <c r="V990" i="1"/>
  <c r="Y990" i="1" s="1"/>
  <c r="M990" i="1"/>
  <c r="L990" i="1"/>
  <c r="X989" i="1"/>
  <c r="V989" i="1"/>
  <c r="M989" i="1"/>
  <c r="L989" i="1"/>
  <c r="X988" i="1"/>
  <c r="AA988" i="1" s="1"/>
  <c r="V988" i="1"/>
  <c r="Y988" i="1" s="1"/>
  <c r="M988" i="1"/>
  <c r="L988" i="1"/>
  <c r="X987" i="1"/>
  <c r="W987" i="1" s="1"/>
  <c r="V987" i="1"/>
  <c r="V986" i="1" s="1"/>
  <c r="M987" i="1"/>
  <c r="L987" i="1"/>
  <c r="X985" i="1"/>
  <c r="V985" i="1"/>
  <c r="M985" i="1"/>
  <c r="AA985" i="1" s="1"/>
  <c r="L985" i="1"/>
  <c r="X984" i="1"/>
  <c r="V984" i="1"/>
  <c r="M984" i="1"/>
  <c r="L984" i="1"/>
  <c r="X983" i="1"/>
  <c r="W983" i="1" s="1"/>
  <c r="Z983" i="1" s="1"/>
  <c r="V983" i="1"/>
  <c r="M983" i="1"/>
  <c r="L983" i="1"/>
  <c r="X982" i="1"/>
  <c r="V982" i="1"/>
  <c r="Y982" i="1" s="1"/>
  <c r="M982" i="1"/>
  <c r="L982" i="1"/>
  <c r="X981" i="1"/>
  <c r="V981" i="1"/>
  <c r="M981" i="1"/>
  <c r="AA981" i="1" s="1"/>
  <c r="L981" i="1"/>
  <c r="X980" i="1"/>
  <c r="V980" i="1"/>
  <c r="M980" i="1"/>
  <c r="M979" i="1" s="1"/>
  <c r="L980" i="1"/>
  <c r="V979" i="1"/>
  <c r="AA978" i="1"/>
  <c r="X978" i="1"/>
  <c r="V978" i="1"/>
  <c r="M978" i="1"/>
  <c r="Y978" i="1" s="1"/>
  <c r="L978" i="1"/>
  <c r="X977" i="1"/>
  <c r="V977" i="1"/>
  <c r="M977" i="1"/>
  <c r="L977" i="1"/>
  <c r="Y976" i="1"/>
  <c r="X976" i="1"/>
  <c r="W976" i="1" s="1"/>
  <c r="Z976" i="1" s="1"/>
  <c r="V976" i="1"/>
  <c r="M976" i="1"/>
  <c r="L976" i="1"/>
  <c r="X975" i="1"/>
  <c r="V975" i="1"/>
  <c r="M975" i="1"/>
  <c r="L975" i="1"/>
  <c r="X974" i="1"/>
  <c r="AA974" i="1" s="1"/>
  <c r="V974" i="1"/>
  <c r="M974" i="1"/>
  <c r="L974" i="1"/>
  <c r="X973" i="1"/>
  <c r="W973" i="1"/>
  <c r="V973" i="1"/>
  <c r="M973" i="1"/>
  <c r="L973" i="1"/>
  <c r="X972" i="1"/>
  <c r="V972" i="1"/>
  <c r="M972" i="1"/>
  <c r="X971" i="1"/>
  <c r="V971" i="1"/>
  <c r="Y971" i="1" s="1"/>
  <c r="M971" i="1"/>
  <c r="L971" i="1"/>
  <c r="X970" i="1"/>
  <c r="V970" i="1"/>
  <c r="M970" i="1"/>
  <c r="L970" i="1"/>
  <c r="X969" i="1"/>
  <c r="W969" i="1" s="1"/>
  <c r="Z969" i="1" s="1"/>
  <c r="V969" i="1"/>
  <c r="M969" i="1"/>
  <c r="Y969" i="1" s="1"/>
  <c r="L969" i="1"/>
  <c r="AA968" i="1"/>
  <c r="X968" i="1"/>
  <c r="V968" i="1"/>
  <c r="M968" i="1"/>
  <c r="L968" i="1"/>
  <c r="X967" i="1"/>
  <c r="V967" i="1"/>
  <c r="M967" i="1"/>
  <c r="L967" i="1"/>
  <c r="X966" i="1"/>
  <c r="AA966" i="1" s="1"/>
  <c r="V966" i="1"/>
  <c r="M966" i="1"/>
  <c r="M965" i="1" s="1"/>
  <c r="L966" i="1"/>
  <c r="X964" i="1"/>
  <c r="V964" i="1"/>
  <c r="Y964" i="1" s="1"/>
  <c r="M964" i="1"/>
  <c r="L964" i="1"/>
  <c r="X963" i="1"/>
  <c r="V963" i="1"/>
  <c r="M963" i="1"/>
  <c r="L963" i="1"/>
  <c r="Y962" i="1"/>
  <c r="X962" i="1"/>
  <c r="V962" i="1"/>
  <c r="M962" i="1"/>
  <c r="L962" i="1"/>
  <c r="X961" i="1"/>
  <c r="V961" i="1"/>
  <c r="M961" i="1"/>
  <c r="L961" i="1"/>
  <c r="X960" i="1"/>
  <c r="AA960" i="1" s="1"/>
  <c r="V960" i="1"/>
  <c r="M960" i="1"/>
  <c r="L960" i="1"/>
  <c r="Y959" i="1"/>
  <c r="X959" i="1"/>
  <c r="V959" i="1"/>
  <c r="V958" i="1" s="1"/>
  <c r="M959" i="1"/>
  <c r="L959" i="1"/>
  <c r="M958" i="1"/>
  <c r="X955" i="1"/>
  <c r="V955" i="1"/>
  <c r="M955" i="1"/>
  <c r="L955" i="1"/>
  <c r="X954" i="1"/>
  <c r="V954" i="1"/>
  <c r="M954" i="1"/>
  <c r="L954" i="1"/>
  <c r="X953" i="1"/>
  <c r="V953" i="1"/>
  <c r="M953" i="1"/>
  <c r="L953" i="1"/>
  <c r="X952" i="1"/>
  <c r="V952" i="1"/>
  <c r="M952" i="1"/>
  <c r="L952" i="1"/>
  <c r="X951" i="1"/>
  <c r="V951" i="1"/>
  <c r="Y951" i="1" s="1"/>
  <c r="M951" i="1"/>
  <c r="M950" i="1" s="1"/>
  <c r="L951" i="1"/>
  <c r="X949" i="1"/>
  <c r="AA949" i="1" s="1"/>
  <c r="V949" i="1"/>
  <c r="M949" i="1"/>
  <c r="L949" i="1"/>
  <c r="AA948" i="1"/>
  <c r="X948" i="1"/>
  <c r="V948" i="1"/>
  <c r="M948" i="1"/>
  <c r="L948" i="1"/>
  <c r="X947" i="1"/>
  <c r="V947" i="1"/>
  <c r="M947" i="1"/>
  <c r="L947" i="1"/>
  <c r="X946" i="1"/>
  <c r="W946" i="1" s="1"/>
  <c r="Z946" i="1" s="1"/>
  <c r="V946" i="1"/>
  <c r="Y946" i="1" s="1"/>
  <c r="M946" i="1"/>
  <c r="L946" i="1"/>
  <c r="X945" i="1"/>
  <c r="X944" i="1" s="1"/>
  <c r="V945" i="1"/>
  <c r="M945" i="1"/>
  <c r="L945" i="1"/>
  <c r="L944" i="1" s="1"/>
  <c r="M944" i="1"/>
  <c r="X943" i="1"/>
  <c r="V943" i="1"/>
  <c r="Y943" i="1" s="1"/>
  <c r="M943" i="1"/>
  <c r="L943" i="1"/>
  <c r="X942" i="1"/>
  <c r="AA942" i="1" s="1"/>
  <c r="V942" i="1"/>
  <c r="M942" i="1"/>
  <c r="L942" i="1"/>
  <c r="X941" i="1"/>
  <c r="V941" i="1"/>
  <c r="M941" i="1"/>
  <c r="L941" i="1"/>
  <c r="X940" i="1"/>
  <c r="W940" i="1" s="1"/>
  <c r="V940" i="1"/>
  <c r="M940" i="1"/>
  <c r="Y940" i="1" s="1"/>
  <c r="L940" i="1"/>
  <c r="Y939" i="1"/>
  <c r="X939" i="1"/>
  <c r="V939" i="1"/>
  <c r="M939" i="1"/>
  <c r="L939" i="1"/>
  <c r="M938" i="1"/>
  <c r="X937" i="1"/>
  <c r="W937" i="1" s="1"/>
  <c r="Z937" i="1" s="1"/>
  <c r="V937" i="1"/>
  <c r="M937" i="1"/>
  <c r="L937" i="1"/>
  <c r="X936" i="1"/>
  <c r="W936" i="1" s="1"/>
  <c r="Z936" i="1" s="1"/>
  <c r="V936" i="1"/>
  <c r="Y936" i="1" s="1"/>
  <c r="M936" i="1"/>
  <c r="L936" i="1"/>
  <c r="X935" i="1"/>
  <c r="V935" i="1"/>
  <c r="M935" i="1"/>
  <c r="L935" i="1"/>
  <c r="X934" i="1"/>
  <c r="V934" i="1"/>
  <c r="M934" i="1"/>
  <c r="L934" i="1"/>
  <c r="X933" i="1"/>
  <c r="V933" i="1"/>
  <c r="M933" i="1"/>
  <c r="L933" i="1"/>
  <c r="L932" i="1" s="1"/>
  <c r="V932" i="1"/>
  <c r="X931" i="1"/>
  <c r="V931" i="1"/>
  <c r="Y931" i="1" s="1"/>
  <c r="M931" i="1"/>
  <c r="L931" i="1"/>
  <c r="X930" i="1"/>
  <c r="V930" i="1"/>
  <c r="Y930" i="1" s="1"/>
  <c r="M930" i="1"/>
  <c r="L930" i="1"/>
  <c r="X929" i="1"/>
  <c r="V929" i="1"/>
  <c r="M929" i="1"/>
  <c r="AA929" i="1" s="1"/>
  <c r="L929" i="1"/>
  <c r="X928" i="1"/>
  <c r="V928" i="1"/>
  <c r="W928" i="1" s="1"/>
  <c r="Z928" i="1" s="1"/>
  <c r="M928" i="1"/>
  <c r="L928" i="1"/>
  <c r="Y927" i="1"/>
  <c r="X927" i="1"/>
  <c r="V927" i="1"/>
  <c r="M927" i="1"/>
  <c r="L927" i="1"/>
  <c r="M926" i="1"/>
  <c r="X925" i="1"/>
  <c r="V925" i="1"/>
  <c r="Y925" i="1" s="1"/>
  <c r="M925" i="1"/>
  <c r="L925" i="1"/>
  <c r="X924" i="1"/>
  <c r="AA924" i="1" s="1"/>
  <c r="V924" i="1"/>
  <c r="M924" i="1"/>
  <c r="L924" i="1"/>
  <c r="Y923" i="1"/>
  <c r="X923" i="1"/>
  <c r="V923" i="1"/>
  <c r="M923" i="1"/>
  <c r="L923" i="1"/>
  <c r="X922" i="1"/>
  <c r="W922" i="1" s="1"/>
  <c r="Z922" i="1" s="1"/>
  <c r="V922" i="1"/>
  <c r="Y922" i="1" s="1"/>
  <c r="M922" i="1"/>
  <c r="L922" i="1"/>
  <c r="X921" i="1"/>
  <c r="V921" i="1"/>
  <c r="M921" i="1"/>
  <c r="AA921" i="1" s="1"/>
  <c r="L921" i="1"/>
  <c r="X919" i="1"/>
  <c r="V919" i="1"/>
  <c r="M919" i="1"/>
  <c r="L919" i="1"/>
  <c r="AA918" i="1"/>
  <c r="X918" i="1"/>
  <c r="V918" i="1"/>
  <c r="M918" i="1"/>
  <c r="L918" i="1"/>
  <c r="X917" i="1"/>
  <c r="V917" i="1"/>
  <c r="M917" i="1"/>
  <c r="L917" i="1"/>
  <c r="X916" i="1"/>
  <c r="V916" i="1"/>
  <c r="M916" i="1"/>
  <c r="L916" i="1"/>
  <c r="X915" i="1"/>
  <c r="V915" i="1"/>
  <c r="M915" i="1"/>
  <c r="L915" i="1"/>
  <c r="Y913" i="1"/>
  <c r="X913" i="1"/>
  <c r="V913" i="1"/>
  <c r="M913" i="1"/>
  <c r="L913" i="1"/>
  <c r="Y912" i="1"/>
  <c r="X912" i="1"/>
  <c r="AA912" i="1" s="1"/>
  <c r="V912" i="1"/>
  <c r="M912" i="1"/>
  <c r="L912" i="1"/>
  <c r="X911" i="1"/>
  <c r="V911" i="1"/>
  <c r="W911" i="1" s="1"/>
  <c r="M911" i="1"/>
  <c r="AA911" i="1" s="1"/>
  <c r="L911" i="1"/>
  <c r="X910" i="1"/>
  <c r="V910" i="1"/>
  <c r="M910" i="1"/>
  <c r="L910" i="1"/>
  <c r="Y909" i="1"/>
  <c r="X909" i="1"/>
  <c r="V909" i="1"/>
  <c r="V908" i="1" s="1"/>
  <c r="M909" i="1"/>
  <c r="M908" i="1" s="1"/>
  <c r="L909" i="1"/>
  <c r="X907" i="1"/>
  <c r="V907" i="1"/>
  <c r="W907" i="1" s="1"/>
  <c r="M907" i="1"/>
  <c r="L907" i="1"/>
  <c r="X906" i="1"/>
  <c r="V906" i="1"/>
  <c r="M906" i="1"/>
  <c r="AA906" i="1" s="1"/>
  <c r="L906" i="1"/>
  <c r="X905" i="1"/>
  <c r="AA905" i="1" s="1"/>
  <c r="V905" i="1"/>
  <c r="M905" i="1"/>
  <c r="L905" i="1"/>
  <c r="Y904" i="1"/>
  <c r="X904" i="1"/>
  <c r="W904" i="1"/>
  <c r="V904" i="1"/>
  <c r="M904" i="1"/>
  <c r="L904" i="1"/>
  <c r="Y903" i="1"/>
  <c r="X903" i="1"/>
  <c r="V903" i="1"/>
  <c r="M903" i="1"/>
  <c r="L903" i="1"/>
  <c r="M902" i="1"/>
  <c r="X901" i="1"/>
  <c r="V901" i="1"/>
  <c r="M901" i="1"/>
  <c r="L901" i="1"/>
  <c r="X900" i="1"/>
  <c r="AA900" i="1" s="1"/>
  <c r="V900" i="1"/>
  <c r="Y900" i="1" s="1"/>
  <c r="M900" i="1"/>
  <c r="L900" i="1"/>
  <c r="Y899" i="1"/>
  <c r="X899" i="1"/>
  <c r="AA899" i="1" s="1"/>
  <c r="W899" i="1"/>
  <c r="Z899" i="1" s="1"/>
  <c r="V899" i="1"/>
  <c r="M899" i="1"/>
  <c r="L899" i="1"/>
  <c r="X898" i="1"/>
  <c r="W898" i="1" s="1"/>
  <c r="V898" i="1"/>
  <c r="M898" i="1"/>
  <c r="L898" i="1"/>
  <c r="X897" i="1"/>
  <c r="AA897" i="1" s="1"/>
  <c r="W897" i="1"/>
  <c r="V897" i="1"/>
  <c r="Y897" i="1" s="1"/>
  <c r="M897" i="1"/>
  <c r="L897" i="1"/>
  <c r="M896" i="1"/>
  <c r="X895" i="1"/>
  <c r="W895" i="1"/>
  <c r="Z895" i="1" s="1"/>
  <c r="V895" i="1"/>
  <c r="M895" i="1"/>
  <c r="L895" i="1"/>
  <c r="X894" i="1"/>
  <c r="AA894" i="1" s="1"/>
  <c r="W894" i="1"/>
  <c r="Z894" i="1" s="1"/>
  <c r="V894" i="1"/>
  <c r="Y894" i="1" s="1"/>
  <c r="M894" i="1"/>
  <c r="L894" i="1"/>
  <c r="X893" i="1"/>
  <c r="V893" i="1"/>
  <c r="M893" i="1"/>
  <c r="L893" i="1"/>
  <c r="X892" i="1"/>
  <c r="W892" i="1" s="1"/>
  <c r="Z892" i="1" s="1"/>
  <c r="V892" i="1"/>
  <c r="Y892" i="1" s="1"/>
  <c r="M892" i="1"/>
  <c r="L892" i="1"/>
  <c r="X891" i="1"/>
  <c r="V891" i="1"/>
  <c r="M891" i="1"/>
  <c r="M890" i="1" s="1"/>
  <c r="L891" i="1"/>
  <c r="X889" i="1"/>
  <c r="V889" i="1"/>
  <c r="Y889" i="1" s="1"/>
  <c r="M889" i="1"/>
  <c r="L889" i="1"/>
  <c r="AA888" i="1"/>
  <c r="Y888" i="1"/>
  <c r="X888" i="1"/>
  <c r="W888" i="1" s="1"/>
  <c r="Z888" i="1" s="1"/>
  <c r="V888" i="1"/>
  <c r="M888" i="1"/>
  <c r="L888" i="1"/>
  <c r="X887" i="1"/>
  <c r="V887" i="1"/>
  <c r="M887" i="1"/>
  <c r="L887" i="1"/>
  <c r="X886" i="1"/>
  <c r="W886" i="1" s="1"/>
  <c r="Z886" i="1" s="1"/>
  <c r="V886" i="1"/>
  <c r="M886" i="1"/>
  <c r="L886" i="1"/>
  <c r="X885" i="1"/>
  <c r="W885" i="1"/>
  <c r="V885" i="1"/>
  <c r="M885" i="1"/>
  <c r="M884" i="1" s="1"/>
  <c r="L885" i="1"/>
  <c r="V884" i="1"/>
  <c r="X881" i="1"/>
  <c r="V881" i="1"/>
  <c r="M881" i="1"/>
  <c r="L881" i="1"/>
  <c r="X880" i="1"/>
  <c r="W880" i="1"/>
  <c r="V880" i="1"/>
  <c r="M880" i="1"/>
  <c r="Z880" i="1" s="1"/>
  <c r="L880" i="1"/>
  <c r="X879" i="1"/>
  <c r="V879" i="1"/>
  <c r="Y879" i="1" s="1"/>
  <c r="M879" i="1"/>
  <c r="L879" i="1"/>
  <c r="Y878" i="1"/>
  <c r="X878" i="1"/>
  <c r="V878" i="1"/>
  <c r="M878" i="1"/>
  <c r="L878" i="1"/>
  <c r="L876" i="1" s="1"/>
  <c r="L875" i="1" s="1"/>
  <c r="X877" i="1"/>
  <c r="W877" i="1"/>
  <c r="V877" i="1"/>
  <c r="M877" i="1"/>
  <c r="M876" i="1" s="1"/>
  <c r="M875" i="1" s="1"/>
  <c r="L877" i="1"/>
  <c r="X874" i="1"/>
  <c r="V874" i="1"/>
  <c r="Y874" i="1" s="1"/>
  <c r="M874" i="1"/>
  <c r="AA874" i="1" s="1"/>
  <c r="L874" i="1"/>
  <c r="X873" i="1"/>
  <c r="V873" i="1"/>
  <c r="Y873" i="1" s="1"/>
  <c r="M873" i="1"/>
  <c r="L873" i="1"/>
  <c r="X872" i="1"/>
  <c r="V872" i="1"/>
  <c r="W872" i="1" s="1"/>
  <c r="M872" i="1"/>
  <c r="AA872" i="1" s="1"/>
  <c r="L872" i="1"/>
  <c r="X871" i="1"/>
  <c r="V871" i="1"/>
  <c r="Y871" i="1" s="1"/>
  <c r="M871" i="1"/>
  <c r="L871" i="1"/>
  <c r="X870" i="1"/>
  <c r="V870" i="1"/>
  <c r="M870" i="1"/>
  <c r="L870" i="1"/>
  <c r="M869" i="1"/>
  <c r="X868" i="1"/>
  <c r="AA868" i="1" s="1"/>
  <c r="V868" i="1"/>
  <c r="Y868" i="1" s="1"/>
  <c r="M868" i="1"/>
  <c r="L868" i="1"/>
  <c r="Y867" i="1"/>
  <c r="X867" i="1"/>
  <c r="V867" i="1"/>
  <c r="M867" i="1"/>
  <c r="AA867" i="1" s="1"/>
  <c r="L867" i="1"/>
  <c r="X866" i="1"/>
  <c r="V866" i="1"/>
  <c r="M866" i="1"/>
  <c r="L866" i="1"/>
  <c r="X865" i="1"/>
  <c r="W865" i="1" s="1"/>
  <c r="Z865" i="1" s="1"/>
  <c r="V865" i="1"/>
  <c r="M865" i="1"/>
  <c r="L865" i="1"/>
  <c r="X864" i="1"/>
  <c r="W864" i="1" s="1"/>
  <c r="V864" i="1"/>
  <c r="Y864" i="1" s="1"/>
  <c r="M864" i="1"/>
  <c r="M863" i="1" s="1"/>
  <c r="L864" i="1"/>
  <c r="AA862" i="1"/>
  <c r="X862" i="1"/>
  <c r="V862" i="1"/>
  <c r="M862" i="1"/>
  <c r="L862" i="1"/>
  <c r="X861" i="1"/>
  <c r="V861" i="1"/>
  <c r="M861" i="1"/>
  <c r="Y861" i="1" s="1"/>
  <c r="L861" i="1"/>
  <c r="X860" i="1"/>
  <c r="V860" i="1"/>
  <c r="Y860" i="1" s="1"/>
  <c r="M860" i="1"/>
  <c r="L860" i="1"/>
  <c r="X859" i="1"/>
  <c r="V859" i="1"/>
  <c r="M859" i="1"/>
  <c r="L859" i="1"/>
  <c r="X858" i="1"/>
  <c r="W858" i="1"/>
  <c r="V858" i="1"/>
  <c r="M858" i="1"/>
  <c r="L858" i="1"/>
  <c r="M857" i="1"/>
  <c r="X856" i="1"/>
  <c r="V856" i="1"/>
  <c r="M856" i="1"/>
  <c r="L856" i="1"/>
  <c r="X855" i="1"/>
  <c r="AA855" i="1" s="1"/>
  <c r="V855" i="1"/>
  <c r="Y855" i="1" s="1"/>
  <c r="M855" i="1"/>
  <c r="L855" i="1"/>
  <c r="L851" i="1" s="1"/>
  <c r="X854" i="1"/>
  <c r="V854" i="1"/>
  <c r="M854" i="1"/>
  <c r="AA854" i="1" s="1"/>
  <c r="L854" i="1"/>
  <c r="X853" i="1"/>
  <c r="W853" i="1"/>
  <c r="Z853" i="1" s="1"/>
  <c r="V853" i="1"/>
  <c r="M853" i="1"/>
  <c r="L853" i="1"/>
  <c r="X852" i="1"/>
  <c r="W852" i="1" s="1"/>
  <c r="V852" i="1"/>
  <c r="M852" i="1"/>
  <c r="L852" i="1"/>
  <c r="X850" i="1"/>
  <c r="V850" i="1"/>
  <c r="Y850" i="1" s="1"/>
  <c r="M850" i="1"/>
  <c r="L850" i="1"/>
  <c r="X849" i="1"/>
  <c r="V849" i="1"/>
  <c r="Y849" i="1" s="1"/>
  <c r="M849" i="1"/>
  <c r="L849" i="1"/>
  <c r="X848" i="1"/>
  <c r="V848" i="1"/>
  <c r="M848" i="1"/>
  <c r="L848" i="1"/>
  <c r="X847" i="1"/>
  <c r="W847" i="1" s="1"/>
  <c r="V847" i="1"/>
  <c r="M847" i="1"/>
  <c r="L847" i="1"/>
  <c r="Y846" i="1"/>
  <c r="X846" i="1"/>
  <c r="V846" i="1"/>
  <c r="M846" i="1"/>
  <c r="L846" i="1"/>
  <c r="M845" i="1"/>
  <c r="X844" i="1"/>
  <c r="W844" i="1" s="1"/>
  <c r="Z844" i="1" s="1"/>
  <c r="V844" i="1"/>
  <c r="M844" i="1"/>
  <c r="L844" i="1"/>
  <c r="Y843" i="1"/>
  <c r="X843" i="1"/>
  <c r="AA843" i="1" s="1"/>
  <c r="V843" i="1"/>
  <c r="M843" i="1"/>
  <c r="L843" i="1"/>
  <c r="X842" i="1"/>
  <c r="W842" i="1"/>
  <c r="V842" i="1"/>
  <c r="M842" i="1"/>
  <c r="Y842" i="1" s="1"/>
  <c r="L842" i="1"/>
  <c r="X841" i="1"/>
  <c r="V841" i="1"/>
  <c r="M841" i="1"/>
  <c r="L841" i="1"/>
  <c r="X840" i="1"/>
  <c r="V840" i="1"/>
  <c r="Y840" i="1" s="1"/>
  <c r="M840" i="1"/>
  <c r="M839" i="1" s="1"/>
  <c r="L840" i="1"/>
  <c r="L839" i="1" s="1"/>
  <c r="X838" i="1"/>
  <c r="V838" i="1"/>
  <c r="M838" i="1"/>
  <c r="L838" i="1"/>
  <c r="X837" i="1"/>
  <c r="V837" i="1"/>
  <c r="M837" i="1"/>
  <c r="L837" i="1"/>
  <c r="X836" i="1"/>
  <c r="W836" i="1" s="1"/>
  <c r="V836" i="1"/>
  <c r="M836" i="1"/>
  <c r="L836" i="1"/>
  <c r="L833" i="1" s="1"/>
  <c r="X835" i="1"/>
  <c r="W835" i="1" s="1"/>
  <c r="Z835" i="1" s="1"/>
  <c r="V835" i="1"/>
  <c r="M835" i="1"/>
  <c r="L835" i="1"/>
  <c r="X834" i="1"/>
  <c r="V834" i="1"/>
  <c r="M834" i="1"/>
  <c r="L834" i="1"/>
  <c r="M833" i="1"/>
  <c r="X832" i="1"/>
  <c r="AA832" i="1" s="1"/>
  <c r="V832" i="1"/>
  <c r="M832" i="1"/>
  <c r="L832" i="1"/>
  <c r="L827" i="1" s="1"/>
  <c r="X831" i="1"/>
  <c r="W831" i="1" s="1"/>
  <c r="Z831" i="1" s="1"/>
  <c r="V831" i="1"/>
  <c r="Y831" i="1" s="1"/>
  <c r="M831" i="1"/>
  <c r="L831" i="1"/>
  <c r="AA830" i="1"/>
  <c r="X830" i="1"/>
  <c r="V830" i="1"/>
  <c r="M830" i="1"/>
  <c r="L830" i="1"/>
  <c r="X829" i="1"/>
  <c r="W829" i="1"/>
  <c r="V829" i="1"/>
  <c r="M829" i="1"/>
  <c r="AA829" i="1" s="1"/>
  <c r="L829" i="1"/>
  <c r="X828" i="1"/>
  <c r="V828" i="1"/>
  <c r="M828" i="1"/>
  <c r="M827" i="1" s="1"/>
  <c r="L828" i="1"/>
  <c r="X826" i="1"/>
  <c r="AA826" i="1" s="1"/>
  <c r="V826" i="1"/>
  <c r="Y826" i="1" s="1"/>
  <c r="M826" i="1"/>
  <c r="L826" i="1"/>
  <c r="X825" i="1"/>
  <c r="V825" i="1"/>
  <c r="M825" i="1"/>
  <c r="L825" i="1"/>
  <c r="X824" i="1"/>
  <c r="V824" i="1"/>
  <c r="M824" i="1"/>
  <c r="AA824" i="1" s="1"/>
  <c r="L824" i="1"/>
  <c r="X823" i="1"/>
  <c r="V823" i="1"/>
  <c r="M823" i="1"/>
  <c r="L823" i="1"/>
  <c r="X822" i="1"/>
  <c r="V822" i="1"/>
  <c r="Y822" i="1" s="1"/>
  <c r="M822" i="1"/>
  <c r="M821" i="1" s="1"/>
  <c r="L822" i="1"/>
  <c r="X820" i="1"/>
  <c r="AA820" i="1" s="1"/>
  <c r="V820" i="1"/>
  <c r="Y820" i="1" s="1"/>
  <c r="M820" i="1"/>
  <c r="L820" i="1"/>
  <c r="X819" i="1"/>
  <c r="V819" i="1"/>
  <c r="Y819" i="1" s="1"/>
  <c r="M819" i="1"/>
  <c r="L819" i="1"/>
  <c r="Y818" i="1"/>
  <c r="X818" i="1"/>
  <c r="AA818" i="1" s="1"/>
  <c r="V818" i="1"/>
  <c r="W818" i="1" s="1"/>
  <c r="Z818" i="1" s="1"/>
  <c r="M818" i="1"/>
  <c r="L818" i="1"/>
  <c r="X817" i="1"/>
  <c r="AA817" i="1" s="1"/>
  <c r="V817" i="1"/>
  <c r="M817" i="1"/>
  <c r="L817" i="1"/>
  <c r="X816" i="1"/>
  <c r="X815" i="1" s="1"/>
  <c r="V816" i="1"/>
  <c r="M816" i="1"/>
  <c r="L816" i="1"/>
  <c r="M815" i="1"/>
  <c r="X814" i="1"/>
  <c r="W814" i="1"/>
  <c r="V814" i="1"/>
  <c r="M814" i="1"/>
  <c r="L814" i="1"/>
  <c r="X813" i="1"/>
  <c r="V813" i="1"/>
  <c r="M813" i="1"/>
  <c r="L813" i="1"/>
  <c r="X812" i="1"/>
  <c r="V812" i="1"/>
  <c r="M812" i="1"/>
  <c r="Y812" i="1" s="1"/>
  <c r="L812" i="1"/>
  <c r="X811" i="1"/>
  <c r="W811" i="1" s="1"/>
  <c r="V811" i="1"/>
  <c r="M811" i="1"/>
  <c r="AA811" i="1" s="1"/>
  <c r="L811" i="1"/>
  <c r="X810" i="1"/>
  <c r="V810" i="1"/>
  <c r="M810" i="1"/>
  <c r="M809" i="1" s="1"/>
  <c r="L810" i="1"/>
  <c r="L809" i="1" s="1"/>
  <c r="X808" i="1"/>
  <c r="W808" i="1"/>
  <c r="Z808" i="1" s="1"/>
  <c r="V808" i="1"/>
  <c r="M808" i="1"/>
  <c r="L808" i="1"/>
  <c r="AA807" i="1"/>
  <c r="X807" i="1"/>
  <c r="W807" i="1"/>
  <c r="V807" i="1"/>
  <c r="M807" i="1"/>
  <c r="L807" i="1"/>
  <c r="X806" i="1"/>
  <c r="V806" i="1"/>
  <c r="M806" i="1"/>
  <c r="L806" i="1"/>
  <c r="X805" i="1"/>
  <c r="AA805" i="1" s="1"/>
  <c r="V805" i="1"/>
  <c r="M805" i="1"/>
  <c r="L805" i="1"/>
  <c r="X804" i="1"/>
  <c r="V804" i="1"/>
  <c r="M804" i="1"/>
  <c r="M803" i="1" s="1"/>
  <c r="L804" i="1"/>
  <c r="L803" i="1" s="1"/>
  <c r="X802" i="1"/>
  <c r="V802" i="1"/>
  <c r="M802" i="1"/>
  <c r="L802" i="1"/>
  <c r="X801" i="1"/>
  <c r="V801" i="1"/>
  <c r="M801" i="1"/>
  <c r="L801" i="1"/>
  <c r="Y800" i="1"/>
  <c r="X800" i="1"/>
  <c r="V800" i="1"/>
  <c r="W800" i="1" s="1"/>
  <c r="Z800" i="1" s="1"/>
  <c r="M800" i="1"/>
  <c r="L800" i="1"/>
  <c r="X799" i="1"/>
  <c r="W799" i="1"/>
  <c r="Z799" i="1" s="1"/>
  <c r="V799" i="1"/>
  <c r="M799" i="1"/>
  <c r="L799" i="1"/>
  <c r="X798" i="1"/>
  <c r="V798" i="1"/>
  <c r="M798" i="1"/>
  <c r="M797" i="1" s="1"/>
  <c r="L798" i="1"/>
  <c r="V797" i="1"/>
  <c r="Y795" i="1"/>
  <c r="X795" i="1"/>
  <c r="V795" i="1"/>
  <c r="M795" i="1"/>
  <c r="L795" i="1"/>
  <c r="X794" i="1"/>
  <c r="AA794" i="1" s="1"/>
  <c r="V794" i="1"/>
  <c r="M794" i="1"/>
  <c r="L794" i="1"/>
  <c r="X793" i="1"/>
  <c r="V793" i="1"/>
  <c r="V789" i="1" s="1"/>
  <c r="M793" i="1"/>
  <c r="L793" i="1"/>
  <c r="X792" i="1"/>
  <c r="V792" i="1"/>
  <c r="M792" i="1"/>
  <c r="L792" i="1"/>
  <c r="X791" i="1"/>
  <c r="V791" i="1"/>
  <c r="Y791" i="1" s="1"/>
  <c r="M791" i="1"/>
  <c r="L791" i="1"/>
  <c r="X790" i="1"/>
  <c r="V790" i="1"/>
  <c r="Y790" i="1" s="1"/>
  <c r="M790" i="1"/>
  <c r="M789" i="1" s="1"/>
  <c r="M788" i="1" s="1"/>
  <c r="L790" i="1"/>
  <c r="X786" i="1"/>
  <c r="V786" i="1"/>
  <c r="M786" i="1"/>
  <c r="L786" i="1"/>
  <c r="X785" i="1"/>
  <c r="V785" i="1"/>
  <c r="M785" i="1"/>
  <c r="Y785" i="1" s="1"/>
  <c r="L785" i="1"/>
  <c r="AA784" i="1"/>
  <c r="AA783" i="1" s="1"/>
  <c r="X784" i="1"/>
  <c r="V784" i="1"/>
  <c r="Y784" i="1" s="1"/>
  <c r="Y783" i="1" s="1"/>
  <c r="M784" i="1"/>
  <c r="L784" i="1"/>
  <c r="X783" i="1"/>
  <c r="M783" i="1"/>
  <c r="X782" i="1"/>
  <c r="AA782" i="1" s="1"/>
  <c r="V782" i="1"/>
  <c r="W782" i="1" s="1"/>
  <c r="Z782" i="1" s="1"/>
  <c r="M782" i="1"/>
  <c r="L782" i="1"/>
  <c r="X781" i="1"/>
  <c r="V781" i="1"/>
  <c r="Y781" i="1" s="1"/>
  <c r="M781" i="1"/>
  <c r="AA781" i="1" s="1"/>
  <c r="L781" i="1"/>
  <c r="X780" i="1"/>
  <c r="V780" i="1"/>
  <c r="M780" i="1"/>
  <c r="M779" i="1" s="1"/>
  <c r="M778" i="1" s="1"/>
  <c r="L780" i="1"/>
  <c r="X779" i="1"/>
  <c r="X777" i="1"/>
  <c r="W777" i="1"/>
  <c r="Z777" i="1" s="1"/>
  <c r="V777" i="1"/>
  <c r="M777" i="1"/>
  <c r="Y777" i="1" s="1"/>
  <c r="L777" i="1"/>
  <c r="X776" i="1"/>
  <c r="W776" i="1" s="1"/>
  <c r="V776" i="1"/>
  <c r="M776" i="1"/>
  <c r="L776" i="1"/>
  <c r="X775" i="1"/>
  <c r="V775" i="1"/>
  <c r="M775" i="1"/>
  <c r="L775" i="1"/>
  <c r="X774" i="1"/>
  <c r="V774" i="1"/>
  <c r="M774" i="1"/>
  <c r="L774" i="1"/>
  <c r="Y773" i="1"/>
  <c r="X773" i="1"/>
  <c r="W773" i="1"/>
  <c r="V773" i="1"/>
  <c r="V772" i="1" s="1"/>
  <c r="M773" i="1"/>
  <c r="M772" i="1" s="1"/>
  <c r="L773" i="1"/>
  <c r="X772" i="1"/>
  <c r="X771" i="1"/>
  <c r="AA771" i="1" s="1"/>
  <c r="V771" i="1"/>
  <c r="Y771" i="1" s="1"/>
  <c r="M771" i="1"/>
  <c r="L771" i="1"/>
  <c r="X770" i="1"/>
  <c r="V770" i="1"/>
  <c r="M770" i="1"/>
  <c r="L770" i="1"/>
  <c r="X769" i="1"/>
  <c r="V769" i="1"/>
  <c r="Y769" i="1" s="1"/>
  <c r="M769" i="1"/>
  <c r="AA769" i="1" s="1"/>
  <c r="L769" i="1"/>
  <c r="X768" i="1"/>
  <c r="V768" i="1"/>
  <c r="Y768" i="1" s="1"/>
  <c r="M768" i="1"/>
  <c r="L768" i="1"/>
  <c r="X767" i="1"/>
  <c r="V767" i="1"/>
  <c r="M767" i="1"/>
  <c r="L767" i="1"/>
  <c r="X766" i="1"/>
  <c r="V766" i="1"/>
  <c r="M766" i="1"/>
  <c r="L766" i="1"/>
  <c r="V765" i="1"/>
  <c r="M765" i="1"/>
  <c r="X764" i="1"/>
  <c r="V764" i="1"/>
  <c r="W764" i="1" s="1"/>
  <c r="Z764" i="1" s="1"/>
  <c r="M764" i="1"/>
  <c r="L764" i="1"/>
  <c r="Y763" i="1"/>
  <c r="X763" i="1"/>
  <c r="AA763" i="1" s="1"/>
  <c r="V763" i="1"/>
  <c r="M763" i="1"/>
  <c r="L763" i="1"/>
  <c r="X762" i="1"/>
  <c r="V762" i="1"/>
  <c r="M762" i="1"/>
  <c r="L762" i="1"/>
  <c r="X761" i="1"/>
  <c r="V761" i="1"/>
  <c r="M761" i="1"/>
  <c r="L761" i="1"/>
  <c r="X760" i="1"/>
  <c r="AA760" i="1" s="1"/>
  <c r="V760" i="1"/>
  <c r="Y760" i="1" s="1"/>
  <c r="M760" i="1"/>
  <c r="L760" i="1"/>
  <c r="Y759" i="1"/>
  <c r="X759" i="1"/>
  <c r="V759" i="1"/>
  <c r="M759" i="1"/>
  <c r="AA759" i="1" s="1"/>
  <c r="L759" i="1"/>
  <c r="X758" i="1"/>
  <c r="M758" i="1"/>
  <c r="Y757" i="1"/>
  <c r="X757" i="1"/>
  <c r="AA757" i="1" s="1"/>
  <c r="V757" i="1"/>
  <c r="W757" i="1" s="1"/>
  <c r="Z757" i="1" s="1"/>
  <c r="M757" i="1"/>
  <c r="L757" i="1"/>
  <c r="X756" i="1"/>
  <c r="V756" i="1"/>
  <c r="Y756" i="1" s="1"/>
  <c r="M756" i="1"/>
  <c r="L756" i="1"/>
  <c r="X755" i="1"/>
  <c r="W755" i="1"/>
  <c r="V755" i="1"/>
  <c r="M755" i="1"/>
  <c r="AA755" i="1" s="1"/>
  <c r="L755" i="1"/>
  <c r="X754" i="1"/>
  <c r="W754" i="1" s="1"/>
  <c r="V754" i="1"/>
  <c r="M754" i="1"/>
  <c r="L754" i="1"/>
  <c r="X753" i="1"/>
  <c r="V753" i="1"/>
  <c r="Y753" i="1" s="1"/>
  <c r="M753" i="1"/>
  <c r="L753" i="1"/>
  <c r="X752" i="1"/>
  <c r="AA752" i="1" s="1"/>
  <c r="V752" i="1"/>
  <c r="M752" i="1"/>
  <c r="M751" i="1" s="1"/>
  <c r="L752" i="1"/>
  <c r="X750" i="1"/>
  <c r="W750" i="1"/>
  <c r="V750" i="1"/>
  <c r="M750" i="1"/>
  <c r="AA750" i="1" s="1"/>
  <c r="L750" i="1"/>
  <c r="X749" i="1"/>
  <c r="V749" i="1"/>
  <c r="Y749" i="1" s="1"/>
  <c r="M749" i="1"/>
  <c r="AA749" i="1" s="1"/>
  <c r="L749" i="1"/>
  <c r="X748" i="1"/>
  <c r="V748" i="1"/>
  <c r="M748" i="1"/>
  <c r="L748" i="1"/>
  <c r="X747" i="1"/>
  <c r="V747" i="1"/>
  <c r="Y747" i="1" s="1"/>
  <c r="M747" i="1"/>
  <c r="L747" i="1"/>
  <c r="X746" i="1"/>
  <c r="V746" i="1"/>
  <c r="M746" i="1"/>
  <c r="L746" i="1"/>
  <c r="X745" i="1"/>
  <c r="V745" i="1"/>
  <c r="Y745" i="1" s="1"/>
  <c r="M745" i="1"/>
  <c r="L745" i="1"/>
  <c r="M744" i="1"/>
  <c r="AA743" i="1"/>
  <c r="X743" i="1"/>
  <c r="V743" i="1"/>
  <c r="Y743" i="1" s="1"/>
  <c r="M743" i="1"/>
  <c r="L743" i="1"/>
  <c r="X742" i="1"/>
  <c r="AA742" i="1" s="1"/>
  <c r="W742" i="1"/>
  <c r="Z742" i="1" s="1"/>
  <c r="V742" i="1"/>
  <c r="M742" i="1"/>
  <c r="Y742" i="1" s="1"/>
  <c r="L742" i="1"/>
  <c r="Y741" i="1"/>
  <c r="X741" i="1"/>
  <c r="W741" i="1"/>
  <c r="V741" i="1"/>
  <c r="M741" i="1"/>
  <c r="L741" i="1"/>
  <c r="X740" i="1"/>
  <c r="W740" i="1" s="1"/>
  <c r="V740" i="1"/>
  <c r="M740" i="1"/>
  <c r="L740" i="1"/>
  <c r="X739" i="1"/>
  <c r="V739" i="1"/>
  <c r="Y739" i="1" s="1"/>
  <c r="M739" i="1"/>
  <c r="L739" i="1"/>
  <c r="X738" i="1"/>
  <c r="AA738" i="1" s="1"/>
  <c r="V738" i="1"/>
  <c r="M738" i="1"/>
  <c r="L738" i="1"/>
  <c r="M737" i="1"/>
  <c r="M736" i="1" s="1"/>
  <c r="Y735" i="1"/>
  <c r="X735" i="1"/>
  <c r="W735" i="1"/>
  <c r="Z735" i="1" s="1"/>
  <c r="V735" i="1"/>
  <c r="M735" i="1"/>
  <c r="L735" i="1"/>
  <c r="AA734" i="1"/>
  <c r="X734" i="1"/>
  <c r="V734" i="1"/>
  <c r="Y734" i="1" s="1"/>
  <c r="M734" i="1"/>
  <c r="L734" i="1"/>
  <c r="Y733" i="1"/>
  <c r="X733" i="1"/>
  <c r="W733" i="1"/>
  <c r="Z733" i="1" s="1"/>
  <c r="V733" i="1"/>
  <c r="M733" i="1"/>
  <c r="AA733" i="1" s="1"/>
  <c r="L733" i="1"/>
  <c r="Y732" i="1"/>
  <c r="X732" i="1"/>
  <c r="W732" i="1"/>
  <c r="V732" i="1"/>
  <c r="M732" i="1"/>
  <c r="L732" i="1"/>
  <c r="AA731" i="1"/>
  <c r="X731" i="1"/>
  <c r="V731" i="1"/>
  <c r="Y731" i="1" s="1"/>
  <c r="M731" i="1"/>
  <c r="L731" i="1"/>
  <c r="X730" i="1"/>
  <c r="X729" i="1" s="1"/>
  <c r="W730" i="1"/>
  <c r="V730" i="1"/>
  <c r="V729" i="1" s="1"/>
  <c r="M730" i="1"/>
  <c r="M729" i="1" s="1"/>
  <c r="L730" i="1"/>
  <c r="X728" i="1"/>
  <c r="W728" i="1" s="1"/>
  <c r="Z728" i="1" s="1"/>
  <c r="V728" i="1"/>
  <c r="M728" i="1"/>
  <c r="L728" i="1"/>
  <c r="AA727" i="1"/>
  <c r="X727" i="1"/>
  <c r="W727" i="1" s="1"/>
  <c r="Z727" i="1" s="1"/>
  <c r="V727" i="1"/>
  <c r="Y727" i="1" s="1"/>
  <c r="M727" i="1"/>
  <c r="L727" i="1"/>
  <c r="X726" i="1"/>
  <c r="V726" i="1"/>
  <c r="Y726" i="1" s="1"/>
  <c r="M726" i="1"/>
  <c r="L726" i="1"/>
  <c r="X725" i="1"/>
  <c r="V725" i="1"/>
  <c r="Y725" i="1" s="1"/>
  <c r="M725" i="1"/>
  <c r="L725" i="1"/>
  <c r="X724" i="1"/>
  <c r="V724" i="1"/>
  <c r="Y724" i="1" s="1"/>
  <c r="M724" i="1"/>
  <c r="L724" i="1"/>
  <c r="X723" i="1"/>
  <c r="V723" i="1"/>
  <c r="Y723" i="1" s="1"/>
  <c r="M723" i="1"/>
  <c r="L723" i="1"/>
  <c r="M722" i="1"/>
  <c r="X720" i="1"/>
  <c r="V720" i="1"/>
  <c r="Y720" i="1" s="1"/>
  <c r="M720" i="1"/>
  <c r="L720" i="1"/>
  <c r="X719" i="1"/>
  <c r="W719" i="1" s="1"/>
  <c r="Z719" i="1" s="1"/>
  <c r="V719" i="1"/>
  <c r="Y719" i="1" s="1"/>
  <c r="M719" i="1"/>
  <c r="L719" i="1"/>
  <c r="X718" i="1"/>
  <c r="W718" i="1" s="1"/>
  <c r="Z718" i="1" s="1"/>
  <c r="V718" i="1"/>
  <c r="Y718" i="1" s="1"/>
  <c r="M718" i="1"/>
  <c r="L718" i="1"/>
  <c r="X717" i="1"/>
  <c r="V717" i="1"/>
  <c r="M717" i="1"/>
  <c r="Y717" i="1" s="1"/>
  <c r="L717" i="1"/>
  <c r="X716" i="1"/>
  <c r="V716" i="1"/>
  <c r="Y716" i="1" s="1"/>
  <c r="M716" i="1"/>
  <c r="L716" i="1"/>
  <c r="Y715" i="1"/>
  <c r="X715" i="1"/>
  <c r="X714" i="1" s="1"/>
  <c r="W715" i="1"/>
  <c r="Z715" i="1" s="1"/>
  <c r="V715" i="1"/>
  <c r="V714" i="1" s="1"/>
  <c r="M715" i="1"/>
  <c r="L715" i="1"/>
  <c r="L714" i="1" s="1"/>
  <c r="W714" i="1"/>
  <c r="M714" i="1"/>
  <c r="X713" i="1"/>
  <c r="V713" i="1"/>
  <c r="M713" i="1"/>
  <c r="L713" i="1"/>
  <c r="AA712" i="1"/>
  <c r="X712" i="1"/>
  <c r="V712" i="1"/>
  <c r="Y712" i="1" s="1"/>
  <c r="M712" i="1"/>
  <c r="L712" i="1"/>
  <c r="X711" i="1"/>
  <c r="V711" i="1"/>
  <c r="Y711" i="1" s="1"/>
  <c r="M711" i="1"/>
  <c r="L711" i="1"/>
  <c r="X710" i="1"/>
  <c r="V710" i="1"/>
  <c r="M710" i="1"/>
  <c r="AA710" i="1" s="1"/>
  <c r="L710" i="1"/>
  <c r="X709" i="1"/>
  <c r="W709" i="1" s="1"/>
  <c r="Z709" i="1" s="1"/>
  <c r="V709" i="1"/>
  <c r="Y709" i="1" s="1"/>
  <c r="M709" i="1"/>
  <c r="L709" i="1"/>
  <c r="X708" i="1"/>
  <c r="V708" i="1"/>
  <c r="M708" i="1"/>
  <c r="L708" i="1"/>
  <c r="X707" i="1"/>
  <c r="M707" i="1"/>
  <c r="X706" i="1"/>
  <c r="V706" i="1"/>
  <c r="Y706" i="1" s="1"/>
  <c r="M706" i="1"/>
  <c r="L706" i="1"/>
  <c r="X705" i="1"/>
  <c r="V705" i="1"/>
  <c r="Y705" i="1" s="1"/>
  <c r="M705" i="1"/>
  <c r="L705" i="1"/>
  <c r="X704" i="1"/>
  <c r="V704" i="1"/>
  <c r="M704" i="1"/>
  <c r="L704" i="1"/>
  <c r="X703" i="1"/>
  <c r="V703" i="1"/>
  <c r="Y703" i="1" s="1"/>
  <c r="M703" i="1"/>
  <c r="L703" i="1"/>
  <c r="Y702" i="1"/>
  <c r="X702" i="1"/>
  <c r="W702" i="1"/>
  <c r="V702" i="1"/>
  <c r="M702" i="1"/>
  <c r="L702" i="1"/>
  <c r="X701" i="1"/>
  <c r="W701" i="1" s="1"/>
  <c r="V701" i="1"/>
  <c r="V700" i="1" s="1"/>
  <c r="M701" i="1"/>
  <c r="M700" i="1" s="1"/>
  <c r="L701" i="1"/>
  <c r="X699" i="1"/>
  <c r="V699" i="1"/>
  <c r="Y699" i="1" s="1"/>
  <c r="M699" i="1"/>
  <c r="L699" i="1"/>
  <c r="X698" i="1"/>
  <c r="W698" i="1" s="1"/>
  <c r="Z698" i="1" s="1"/>
  <c r="V698" i="1"/>
  <c r="Y698" i="1" s="1"/>
  <c r="M698" i="1"/>
  <c r="L698" i="1"/>
  <c r="X697" i="1"/>
  <c r="V697" i="1"/>
  <c r="Y697" i="1" s="1"/>
  <c r="M697" i="1"/>
  <c r="L697" i="1"/>
  <c r="X696" i="1"/>
  <c r="AA696" i="1" s="1"/>
  <c r="V696" i="1"/>
  <c r="Y696" i="1" s="1"/>
  <c r="M696" i="1"/>
  <c r="L696" i="1"/>
  <c r="X695" i="1"/>
  <c r="V695" i="1"/>
  <c r="M695" i="1"/>
  <c r="L695" i="1"/>
  <c r="Y694" i="1"/>
  <c r="X694" i="1"/>
  <c r="V694" i="1"/>
  <c r="M694" i="1"/>
  <c r="L694" i="1"/>
  <c r="L693" i="1" s="1"/>
  <c r="V693" i="1"/>
  <c r="M693" i="1"/>
  <c r="X692" i="1"/>
  <c r="V692" i="1"/>
  <c r="M692" i="1"/>
  <c r="L692" i="1"/>
  <c r="X691" i="1"/>
  <c r="W691" i="1" s="1"/>
  <c r="V691" i="1"/>
  <c r="M691" i="1"/>
  <c r="L691" i="1"/>
  <c r="X690" i="1"/>
  <c r="V690" i="1"/>
  <c r="Y690" i="1" s="1"/>
  <c r="M690" i="1"/>
  <c r="L690" i="1"/>
  <c r="X689" i="1"/>
  <c r="V689" i="1"/>
  <c r="Y689" i="1" s="1"/>
  <c r="M689" i="1"/>
  <c r="L689" i="1"/>
  <c r="X688" i="1"/>
  <c r="V688" i="1"/>
  <c r="M688" i="1"/>
  <c r="L688" i="1"/>
  <c r="X687" i="1"/>
  <c r="V687" i="1"/>
  <c r="Y687" i="1" s="1"/>
  <c r="M687" i="1"/>
  <c r="M686" i="1" s="1"/>
  <c r="L687" i="1"/>
  <c r="V686" i="1"/>
  <c r="X684" i="1"/>
  <c r="V684" i="1"/>
  <c r="M684" i="1"/>
  <c r="L684" i="1"/>
  <c r="X683" i="1"/>
  <c r="V683" i="1"/>
  <c r="M683" i="1"/>
  <c r="L683" i="1"/>
  <c r="X682" i="1"/>
  <c r="W682" i="1"/>
  <c r="V682" i="1"/>
  <c r="M682" i="1"/>
  <c r="Y682" i="1" s="1"/>
  <c r="L682" i="1"/>
  <c r="Y681" i="1"/>
  <c r="X681" i="1"/>
  <c r="W681" i="1"/>
  <c r="Z681" i="1" s="1"/>
  <c r="V681" i="1"/>
  <c r="M681" i="1"/>
  <c r="L681" i="1"/>
  <c r="X680" i="1"/>
  <c r="V680" i="1"/>
  <c r="V679" i="1" s="1"/>
  <c r="M680" i="1"/>
  <c r="M679" i="1" s="1"/>
  <c r="L680" i="1"/>
  <c r="L679" i="1" s="1"/>
  <c r="X679" i="1"/>
  <c r="X678" i="1"/>
  <c r="AA678" i="1" s="1"/>
  <c r="V678" i="1"/>
  <c r="Y678" i="1" s="1"/>
  <c r="M678" i="1"/>
  <c r="L678" i="1"/>
  <c r="X677" i="1"/>
  <c r="V677" i="1"/>
  <c r="Y677" i="1" s="1"/>
  <c r="M677" i="1"/>
  <c r="L677" i="1"/>
  <c r="AA676" i="1"/>
  <c r="Y676" i="1"/>
  <c r="X676" i="1"/>
  <c r="V676" i="1"/>
  <c r="M676" i="1"/>
  <c r="L676" i="1"/>
  <c r="X675" i="1"/>
  <c r="W675" i="1"/>
  <c r="Z675" i="1" s="1"/>
  <c r="V675" i="1"/>
  <c r="M675" i="1"/>
  <c r="L675" i="1"/>
  <c r="X674" i="1"/>
  <c r="V674" i="1"/>
  <c r="M674" i="1"/>
  <c r="L674" i="1"/>
  <c r="Y673" i="1"/>
  <c r="X673" i="1"/>
  <c r="V673" i="1"/>
  <c r="W673" i="1" s="1"/>
  <c r="Z673" i="1" s="1"/>
  <c r="M673" i="1"/>
  <c r="AA673" i="1" s="1"/>
  <c r="L673" i="1"/>
  <c r="X672" i="1"/>
  <c r="M672" i="1"/>
  <c r="X671" i="1"/>
  <c r="W671" i="1" s="1"/>
  <c r="V671" i="1"/>
  <c r="M671" i="1"/>
  <c r="L671" i="1"/>
  <c r="X670" i="1"/>
  <c r="V670" i="1"/>
  <c r="Y670" i="1" s="1"/>
  <c r="M670" i="1"/>
  <c r="L670" i="1"/>
  <c r="X669" i="1"/>
  <c r="V669" i="1"/>
  <c r="M669" i="1"/>
  <c r="L669" i="1"/>
  <c r="X668" i="1"/>
  <c r="V668" i="1"/>
  <c r="M668" i="1"/>
  <c r="Y668" i="1" s="1"/>
  <c r="L668" i="1"/>
  <c r="X667" i="1"/>
  <c r="V667" i="1"/>
  <c r="Y667" i="1" s="1"/>
  <c r="M667" i="1"/>
  <c r="L667" i="1"/>
  <c r="X666" i="1"/>
  <c r="X665" i="1" s="1"/>
  <c r="V666" i="1"/>
  <c r="V665" i="1" s="1"/>
  <c r="M666" i="1"/>
  <c r="M665" i="1" s="1"/>
  <c r="L666" i="1"/>
  <c r="X664" i="1"/>
  <c r="V664" i="1"/>
  <c r="Y664" i="1" s="1"/>
  <c r="M664" i="1"/>
  <c r="L664" i="1"/>
  <c r="X663" i="1"/>
  <c r="V663" i="1"/>
  <c r="M663" i="1"/>
  <c r="L663" i="1"/>
  <c r="X662" i="1"/>
  <c r="V662" i="1"/>
  <c r="M662" i="1"/>
  <c r="L662" i="1"/>
  <c r="X661" i="1"/>
  <c r="V661" i="1"/>
  <c r="Y661" i="1" s="1"/>
  <c r="M661" i="1"/>
  <c r="L661" i="1"/>
  <c r="X660" i="1"/>
  <c r="V660" i="1"/>
  <c r="M660" i="1"/>
  <c r="L660" i="1"/>
  <c r="X659" i="1"/>
  <c r="V659" i="1"/>
  <c r="M659" i="1"/>
  <c r="L659" i="1"/>
  <c r="X658" i="1"/>
  <c r="V658" i="1"/>
  <c r="X657" i="1"/>
  <c r="V657" i="1"/>
  <c r="Y657" i="1" s="1"/>
  <c r="M657" i="1"/>
  <c r="L657" i="1"/>
  <c r="X656" i="1"/>
  <c r="W656" i="1"/>
  <c r="V656" i="1"/>
  <c r="M656" i="1"/>
  <c r="Y656" i="1" s="1"/>
  <c r="L656" i="1"/>
  <c r="Y655" i="1"/>
  <c r="X655" i="1"/>
  <c r="W655" i="1" s="1"/>
  <c r="V655" i="1"/>
  <c r="M655" i="1"/>
  <c r="L655" i="1"/>
  <c r="X654" i="1"/>
  <c r="AA654" i="1" s="1"/>
  <c r="V654" i="1"/>
  <c r="Y654" i="1" s="1"/>
  <c r="M654" i="1"/>
  <c r="L654" i="1"/>
  <c r="X653" i="1"/>
  <c r="W653" i="1"/>
  <c r="Z653" i="1" s="1"/>
  <c r="V653" i="1"/>
  <c r="M653" i="1"/>
  <c r="Y653" i="1" s="1"/>
  <c r="L653" i="1"/>
  <c r="X652" i="1"/>
  <c r="W652" i="1" s="1"/>
  <c r="V652" i="1"/>
  <c r="V651" i="1" s="1"/>
  <c r="M652" i="1"/>
  <c r="M651" i="1" s="1"/>
  <c r="L652" i="1"/>
  <c r="X650" i="1"/>
  <c r="W650" i="1" s="1"/>
  <c r="V650" i="1"/>
  <c r="M650" i="1"/>
  <c r="Y650" i="1" s="1"/>
  <c r="L650" i="1"/>
  <c r="AA649" i="1"/>
  <c r="X649" i="1"/>
  <c r="W649" i="1"/>
  <c r="Z649" i="1" s="1"/>
  <c r="V649" i="1"/>
  <c r="M649" i="1"/>
  <c r="Y649" i="1" s="1"/>
  <c r="L649" i="1"/>
  <c r="X648" i="1"/>
  <c r="V648" i="1"/>
  <c r="Y648" i="1" s="1"/>
  <c r="M648" i="1"/>
  <c r="L648" i="1"/>
  <c r="X647" i="1"/>
  <c r="V647" i="1"/>
  <c r="M647" i="1"/>
  <c r="L647" i="1"/>
  <c r="X646" i="1"/>
  <c r="AA646" i="1" s="1"/>
  <c r="W646" i="1"/>
  <c r="V646" i="1"/>
  <c r="M646" i="1"/>
  <c r="Y646" i="1" s="1"/>
  <c r="L646" i="1"/>
  <c r="X645" i="1"/>
  <c r="V645" i="1"/>
  <c r="M645" i="1"/>
  <c r="M644" i="1" s="1"/>
  <c r="L645" i="1"/>
  <c r="X643" i="1"/>
  <c r="V643" i="1"/>
  <c r="M643" i="1"/>
  <c r="L643" i="1"/>
  <c r="X642" i="1"/>
  <c r="V642" i="1"/>
  <c r="Y642" i="1" s="1"/>
  <c r="M642" i="1"/>
  <c r="L642" i="1"/>
  <c r="X641" i="1"/>
  <c r="V641" i="1"/>
  <c r="M641" i="1"/>
  <c r="L641" i="1"/>
  <c r="X640" i="1"/>
  <c r="V640" i="1"/>
  <c r="Y640" i="1" s="1"/>
  <c r="M640" i="1"/>
  <c r="L640" i="1"/>
  <c r="X639" i="1"/>
  <c r="W639" i="1"/>
  <c r="V639" i="1"/>
  <c r="M639" i="1"/>
  <c r="L639" i="1"/>
  <c r="X638" i="1"/>
  <c r="V638" i="1"/>
  <c r="V637" i="1" s="1"/>
  <c r="M638" i="1"/>
  <c r="L638" i="1"/>
  <c r="AA636" i="1"/>
  <c r="X636" i="1"/>
  <c r="W636" i="1" s="1"/>
  <c r="V636" i="1"/>
  <c r="M636" i="1"/>
  <c r="L636" i="1"/>
  <c r="X635" i="1"/>
  <c r="V635" i="1"/>
  <c r="M635" i="1"/>
  <c r="L635" i="1"/>
  <c r="AA634" i="1"/>
  <c r="Y634" i="1"/>
  <c r="X634" i="1"/>
  <c r="W634" i="1"/>
  <c r="Z634" i="1" s="1"/>
  <c r="V634" i="1"/>
  <c r="M634" i="1"/>
  <c r="L634" i="1"/>
  <c r="X633" i="1"/>
  <c r="V633" i="1"/>
  <c r="M633" i="1"/>
  <c r="L633" i="1"/>
  <c r="X632" i="1"/>
  <c r="W632" i="1" s="1"/>
  <c r="Z632" i="1" s="1"/>
  <c r="V632" i="1"/>
  <c r="M632" i="1"/>
  <c r="Y632" i="1" s="1"/>
  <c r="L632" i="1"/>
  <c r="X631" i="1"/>
  <c r="X630" i="1" s="1"/>
  <c r="V631" i="1"/>
  <c r="V630" i="1" s="1"/>
  <c r="M631" i="1"/>
  <c r="M630" i="1" s="1"/>
  <c r="L631" i="1"/>
  <c r="X628" i="1"/>
  <c r="AA628" i="1" s="1"/>
  <c r="V628" i="1"/>
  <c r="Y628" i="1" s="1"/>
  <c r="M628" i="1"/>
  <c r="L628" i="1"/>
  <c r="X627" i="1"/>
  <c r="W627" i="1" s="1"/>
  <c r="V627" i="1"/>
  <c r="M627" i="1"/>
  <c r="L627" i="1"/>
  <c r="X626" i="1"/>
  <c r="W626" i="1"/>
  <c r="V626" i="1"/>
  <c r="M626" i="1"/>
  <c r="Y626" i="1" s="1"/>
  <c r="L626" i="1"/>
  <c r="X625" i="1"/>
  <c r="W625" i="1" s="1"/>
  <c r="Z625" i="1" s="1"/>
  <c r="V625" i="1"/>
  <c r="Y625" i="1" s="1"/>
  <c r="M625" i="1"/>
  <c r="L625" i="1"/>
  <c r="X624" i="1"/>
  <c r="AA624" i="1" s="1"/>
  <c r="V624" i="1"/>
  <c r="Y624" i="1" s="1"/>
  <c r="M624" i="1"/>
  <c r="L624" i="1"/>
  <c r="L622" i="1" s="1"/>
  <c r="X623" i="1"/>
  <c r="X622" i="1" s="1"/>
  <c r="V623" i="1"/>
  <c r="M623" i="1"/>
  <c r="Y623" i="1" s="1"/>
  <c r="L623" i="1"/>
  <c r="V622" i="1"/>
  <c r="X621" i="1"/>
  <c r="V621" i="1"/>
  <c r="Y621" i="1" s="1"/>
  <c r="M621" i="1"/>
  <c r="L621" i="1"/>
  <c r="X620" i="1"/>
  <c r="V620" i="1"/>
  <c r="M620" i="1"/>
  <c r="Y620" i="1" s="1"/>
  <c r="L620" i="1"/>
  <c r="X619" i="1"/>
  <c r="V619" i="1"/>
  <c r="M619" i="1"/>
  <c r="L619" i="1"/>
  <c r="X618" i="1"/>
  <c r="V618" i="1"/>
  <c r="Y618" i="1" s="1"/>
  <c r="M618" i="1"/>
  <c r="AA618" i="1" s="1"/>
  <c r="L618" i="1"/>
  <c r="L615" i="1" s="1"/>
  <c r="X617" i="1"/>
  <c r="V617" i="1"/>
  <c r="M617" i="1"/>
  <c r="Y617" i="1" s="1"/>
  <c r="L617" i="1"/>
  <c r="X616" i="1"/>
  <c r="AA616" i="1" s="1"/>
  <c r="V616" i="1"/>
  <c r="M616" i="1"/>
  <c r="L616" i="1"/>
  <c r="M615" i="1"/>
  <c r="X614" i="1"/>
  <c r="W614" i="1"/>
  <c r="V614" i="1"/>
  <c r="M614" i="1"/>
  <c r="AA614" i="1" s="1"/>
  <c r="L614" i="1"/>
  <c r="X613" i="1"/>
  <c r="V613" i="1"/>
  <c r="M613" i="1"/>
  <c r="L613" i="1"/>
  <c r="X612" i="1"/>
  <c r="V612" i="1"/>
  <c r="Y612" i="1" s="1"/>
  <c r="M612" i="1"/>
  <c r="L612" i="1"/>
  <c r="X611" i="1"/>
  <c r="V611" i="1"/>
  <c r="Y611" i="1" s="1"/>
  <c r="M611" i="1"/>
  <c r="L611" i="1"/>
  <c r="X610" i="1"/>
  <c r="W610" i="1"/>
  <c r="V610" i="1"/>
  <c r="M610" i="1"/>
  <c r="Y610" i="1" s="1"/>
  <c r="L610" i="1"/>
  <c r="X609" i="1"/>
  <c r="W609" i="1"/>
  <c r="V609" i="1"/>
  <c r="V608" i="1" s="1"/>
  <c r="M609" i="1"/>
  <c r="M608" i="1" s="1"/>
  <c r="L609" i="1"/>
  <c r="X608" i="1"/>
  <c r="W608" i="1"/>
  <c r="X607" i="1"/>
  <c r="V607" i="1"/>
  <c r="Y607" i="1" s="1"/>
  <c r="M607" i="1"/>
  <c r="L607" i="1"/>
  <c r="X606" i="1"/>
  <c r="W606" i="1"/>
  <c r="V606" i="1"/>
  <c r="M606" i="1"/>
  <c r="AA606" i="1" s="1"/>
  <c r="L606" i="1"/>
  <c r="X605" i="1"/>
  <c r="W605" i="1" s="1"/>
  <c r="Z605" i="1" s="1"/>
  <c r="V605" i="1"/>
  <c r="Y605" i="1" s="1"/>
  <c r="M605" i="1"/>
  <c r="L605" i="1"/>
  <c r="X604" i="1"/>
  <c r="V604" i="1"/>
  <c r="M604" i="1"/>
  <c r="L604" i="1"/>
  <c r="X603" i="1"/>
  <c r="W603" i="1" s="1"/>
  <c r="V603" i="1"/>
  <c r="M603" i="1"/>
  <c r="Y603" i="1" s="1"/>
  <c r="L603" i="1"/>
  <c r="X602" i="1"/>
  <c r="X601" i="1" s="1"/>
  <c r="V602" i="1"/>
  <c r="V601" i="1" s="1"/>
  <c r="M602" i="1"/>
  <c r="M601" i="1" s="1"/>
  <c r="L602" i="1"/>
  <c r="X600" i="1"/>
  <c r="V600" i="1"/>
  <c r="Y600" i="1" s="1"/>
  <c r="M600" i="1"/>
  <c r="L600" i="1"/>
  <c r="X599" i="1"/>
  <c r="AA599" i="1" s="1"/>
  <c r="V599" i="1"/>
  <c r="Y599" i="1" s="1"/>
  <c r="M599" i="1"/>
  <c r="L599" i="1"/>
  <c r="X598" i="1"/>
  <c r="V598" i="1"/>
  <c r="Y598" i="1" s="1"/>
  <c r="M598" i="1"/>
  <c r="L598" i="1"/>
  <c r="X597" i="1"/>
  <c r="AA597" i="1" s="1"/>
  <c r="V597" i="1"/>
  <c r="M597" i="1"/>
  <c r="L597" i="1"/>
  <c r="X596" i="1"/>
  <c r="AA596" i="1" s="1"/>
  <c r="V596" i="1"/>
  <c r="Y596" i="1" s="1"/>
  <c r="M596" i="1"/>
  <c r="L596" i="1"/>
  <c r="X595" i="1"/>
  <c r="V595" i="1"/>
  <c r="M595" i="1"/>
  <c r="L595" i="1"/>
  <c r="X594" i="1"/>
  <c r="V594" i="1"/>
  <c r="Y594" i="1" s="1"/>
  <c r="M594" i="1"/>
  <c r="AA594" i="1" s="1"/>
  <c r="L594" i="1"/>
  <c r="X593" i="1"/>
  <c r="V593" i="1"/>
  <c r="V592" i="1" s="1"/>
  <c r="M593" i="1"/>
  <c r="AA593" i="1" s="1"/>
  <c r="L593" i="1"/>
  <c r="X592" i="1"/>
  <c r="X591" i="1"/>
  <c r="V591" i="1"/>
  <c r="M591" i="1"/>
  <c r="L591" i="1"/>
  <c r="X590" i="1"/>
  <c r="V590" i="1"/>
  <c r="M590" i="1"/>
  <c r="L590" i="1"/>
  <c r="X589" i="1"/>
  <c r="W589" i="1" s="1"/>
  <c r="V589" i="1"/>
  <c r="M589" i="1"/>
  <c r="L589" i="1"/>
  <c r="X588" i="1"/>
  <c r="AA588" i="1" s="1"/>
  <c r="V588" i="1"/>
  <c r="M588" i="1"/>
  <c r="Y588" i="1" s="1"/>
  <c r="L588" i="1"/>
  <c r="X587" i="1"/>
  <c r="W587" i="1" s="1"/>
  <c r="Z587" i="1" s="1"/>
  <c r="V587" i="1"/>
  <c r="Y587" i="1" s="1"/>
  <c r="M587" i="1"/>
  <c r="L587" i="1"/>
  <c r="X586" i="1"/>
  <c r="W586" i="1" s="1"/>
  <c r="V586" i="1"/>
  <c r="M586" i="1"/>
  <c r="L586" i="1"/>
  <c r="X585" i="1"/>
  <c r="V585" i="1"/>
  <c r="M585" i="1"/>
  <c r="L585" i="1"/>
  <c r="X584" i="1"/>
  <c r="AA584" i="1" s="1"/>
  <c r="V584" i="1"/>
  <c r="V583" i="1" s="1"/>
  <c r="M584" i="1"/>
  <c r="L584" i="1"/>
  <c r="M583" i="1"/>
  <c r="X582" i="1"/>
  <c r="W582" i="1"/>
  <c r="V582" i="1"/>
  <c r="M582" i="1"/>
  <c r="L582" i="1"/>
  <c r="X581" i="1"/>
  <c r="V581" i="1"/>
  <c r="M581" i="1"/>
  <c r="Y581" i="1" s="1"/>
  <c r="L581" i="1"/>
  <c r="X580" i="1"/>
  <c r="V580" i="1"/>
  <c r="M580" i="1"/>
  <c r="L580" i="1"/>
  <c r="X579" i="1"/>
  <c r="V579" i="1"/>
  <c r="Y579" i="1" s="1"/>
  <c r="M579" i="1"/>
  <c r="L579" i="1"/>
  <c r="X578" i="1"/>
  <c r="W578" i="1"/>
  <c r="Z578" i="1" s="1"/>
  <c r="V578" i="1"/>
  <c r="M578" i="1"/>
  <c r="Y578" i="1" s="1"/>
  <c r="L578" i="1"/>
  <c r="X577" i="1"/>
  <c r="W577" i="1"/>
  <c r="V577" i="1"/>
  <c r="V576" i="1" s="1"/>
  <c r="M577" i="1"/>
  <c r="L577" i="1"/>
  <c r="W576" i="1"/>
  <c r="X571" i="1"/>
  <c r="AA571" i="1" s="1"/>
  <c r="AA570" i="1" s="1"/>
  <c r="AA569" i="1" s="1"/>
  <c r="AA568" i="1" s="1"/>
  <c r="V571" i="1"/>
  <c r="V570" i="1" s="1"/>
  <c r="V569" i="1" s="1"/>
  <c r="V568" i="1" s="1"/>
  <c r="M571" i="1"/>
  <c r="L571" i="1"/>
  <c r="L570" i="1" s="1"/>
  <c r="M570" i="1"/>
  <c r="M569" i="1" s="1"/>
  <c r="M568" i="1" s="1"/>
  <c r="L569" i="1"/>
  <c r="L568" i="1" s="1"/>
  <c r="X567" i="1"/>
  <c r="X566" i="1" s="1"/>
  <c r="V567" i="1"/>
  <c r="Y567" i="1" s="1"/>
  <c r="Y566" i="1" s="1"/>
  <c r="M567" i="1"/>
  <c r="L567" i="1"/>
  <c r="L566" i="1" s="1"/>
  <c r="V566" i="1"/>
  <c r="M566" i="1"/>
  <c r="X565" i="1"/>
  <c r="V565" i="1"/>
  <c r="V564" i="1" s="1"/>
  <c r="M565" i="1"/>
  <c r="M564" i="1" s="1"/>
  <c r="L565" i="1"/>
  <c r="L564" i="1" s="1"/>
  <c r="X563" i="1"/>
  <c r="W563" i="1"/>
  <c r="W562" i="1" s="1"/>
  <c r="V563" i="1"/>
  <c r="M563" i="1"/>
  <c r="L563" i="1"/>
  <c r="L562" i="1" s="1"/>
  <c r="X562" i="1"/>
  <c r="V562" i="1"/>
  <c r="X561" i="1"/>
  <c r="X560" i="1" s="1"/>
  <c r="W561" i="1"/>
  <c r="V561" i="1"/>
  <c r="V560" i="1" s="1"/>
  <c r="M561" i="1"/>
  <c r="L561" i="1"/>
  <c r="L560" i="1" s="1"/>
  <c r="M560" i="1"/>
  <c r="X559" i="1"/>
  <c r="V559" i="1"/>
  <c r="V558" i="1" s="1"/>
  <c r="M559" i="1"/>
  <c r="M558" i="1" s="1"/>
  <c r="L559" i="1"/>
  <c r="L558" i="1"/>
  <c r="X554" i="1"/>
  <c r="W554" i="1"/>
  <c r="V554" i="1"/>
  <c r="M554" i="1"/>
  <c r="X553" i="1"/>
  <c r="W553" i="1"/>
  <c r="V553" i="1"/>
  <c r="M553" i="1"/>
  <c r="X552" i="1"/>
  <c r="W552" i="1"/>
  <c r="V552" i="1"/>
  <c r="M552" i="1"/>
  <c r="AA552" i="1" s="1"/>
  <c r="AA551" i="1"/>
  <c r="X551" i="1"/>
  <c r="V551" i="1"/>
  <c r="M551" i="1"/>
  <c r="Y550" i="1"/>
  <c r="X550" i="1"/>
  <c r="AA550" i="1" s="1"/>
  <c r="W550" i="1"/>
  <c r="Z550" i="1" s="1"/>
  <c r="V550" i="1"/>
  <c r="M550" i="1"/>
  <c r="AA549" i="1"/>
  <c r="X549" i="1"/>
  <c r="V549" i="1"/>
  <c r="V548" i="1" s="1"/>
  <c r="M549" i="1"/>
  <c r="L548" i="1"/>
  <c r="X547" i="1"/>
  <c r="V547" i="1"/>
  <c r="Y547" i="1" s="1"/>
  <c r="M547" i="1"/>
  <c r="AA547" i="1" s="1"/>
  <c r="X546" i="1"/>
  <c r="W546" i="1" s="1"/>
  <c r="Z546" i="1" s="1"/>
  <c r="V546" i="1"/>
  <c r="M546" i="1"/>
  <c r="X545" i="1"/>
  <c r="V545" i="1"/>
  <c r="M545" i="1"/>
  <c r="X544" i="1"/>
  <c r="W544" i="1"/>
  <c r="V544" i="1"/>
  <c r="M544" i="1"/>
  <c r="X543" i="1"/>
  <c r="W543" i="1" s="1"/>
  <c r="Z543" i="1" s="1"/>
  <c r="V543" i="1"/>
  <c r="M543" i="1"/>
  <c r="Y543" i="1" s="1"/>
  <c r="X542" i="1"/>
  <c r="V542" i="1"/>
  <c r="Y542" i="1" s="1"/>
  <c r="M542" i="1"/>
  <c r="L541" i="1"/>
  <c r="M540" i="1"/>
  <c r="M539" i="1" s="1"/>
  <c r="L540" i="1"/>
  <c r="L539" i="1" s="1"/>
  <c r="Y538" i="1"/>
  <c r="X538" i="1"/>
  <c r="V538" i="1"/>
  <c r="M538" i="1"/>
  <c r="X537" i="1"/>
  <c r="V537" i="1"/>
  <c r="Y537" i="1" s="1"/>
  <c r="M537" i="1"/>
  <c r="X536" i="1"/>
  <c r="W536" i="1" s="1"/>
  <c r="Z536" i="1" s="1"/>
  <c r="V536" i="1"/>
  <c r="M536" i="1"/>
  <c r="X535" i="1"/>
  <c r="V535" i="1"/>
  <c r="M535" i="1"/>
  <c r="X534" i="1"/>
  <c r="AA534" i="1" s="1"/>
  <c r="W534" i="1"/>
  <c r="Z534" i="1" s="1"/>
  <c r="V534" i="1"/>
  <c r="M534" i="1"/>
  <c r="X533" i="1"/>
  <c r="W533" i="1" s="1"/>
  <c r="V533" i="1"/>
  <c r="M533" i="1"/>
  <c r="L532" i="1"/>
  <c r="X531" i="1"/>
  <c r="W531" i="1"/>
  <c r="Z531" i="1" s="1"/>
  <c r="V531" i="1"/>
  <c r="M531" i="1"/>
  <c r="X530" i="1"/>
  <c r="V530" i="1"/>
  <c r="M530" i="1"/>
  <c r="AA530" i="1" s="1"/>
  <c r="X529" i="1"/>
  <c r="AA529" i="1" s="1"/>
  <c r="V529" i="1"/>
  <c r="M529" i="1"/>
  <c r="X528" i="1"/>
  <c r="V528" i="1"/>
  <c r="M528" i="1"/>
  <c r="Y528" i="1" s="1"/>
  <c r="X527" i="1"/>
  <c r="V527" i="1"/>
  <c r="Y527" i="1" s="1"/>
  <c r="M527" i="1"/>
  <c r="X526" i="1"/>
  <c r="V526" i="1"/>
  <c r="M526" i="1"/>
  <c r="L525" i="1"/>
  <c r="M524" i="1"/>
  <c r="M523" i="1" s="1"/>
  <c r="M522" i="1" s="1"/>
  <c r="X521" i="1"/>
  <c r="V521" i="1"/>
  <c r="W521" i="1" s="1"/>
  <c r="M521" i="1"/>
  <c r="AA521" i="1" s="1"/>
  <c r="L521" i="1"/>
  <c r="X520" i="1"/>
  <c r="W520" i="1"/>
  <c r="V520" i="1"/>
  <c r="M520" i="1"/>
  <c r="Y520" i="1" s="1"/>
  <c r="L520" i="1"/>
  <c r="AA519" i="1"/>
  <c r="X519" i="1"/>
  <c r="W519" i="1" s="1"/>
  <c r="V519" i="1"/>
  <c r="M519" i="1"/>
  <c r="L519" i="1"/>
  <c r="X518" i="1"/>
  <c r="W518" i="1"/>
  <c r="V518" i="1"/>
  <c r="M518" i="1"/>
  <c r="Y518" i="1" s="1"/>
  <c r="L518" i="1"/>
  <c r="X517" i="1"/>
  <c r="W517" i="1" s="1"/>
  <c r="V517" i="1"/>
  <c r="Y517" i="1" s="1"/>
  <c r="M517" i="1"/>
  <c r="L517" i="1"/>
  <c r="X515" i="1"/>
  <c r="AA515" i="1" s="1"/>
  <c r="V515" i="1"/>
  <c r="W515" i="1" s="1"/>
  <c r="Z515" i="1" s="1"/>
  <c r="M515" i="1"/>
  <c r="L515" i="1"/>
  <c r="X514" i="1"/>
  <c r="V514" i="1"/>
  <c r="Y514" i="1" s="1"/>
  <c r="M514" i="1"/>
  <c r="L514" i="1"/>
  <c r="Y513" i="1"/>
  <c r="X513" i="1"/>
  <c r="W513" i="1" s="1"/>
  <c r="V513" i="1"/>
  <c r="M513" i="1"/>
  <c r="L513" i="1"/>
  <c r="X512" i="1"/>
  <c r="W512" i="1" s="1"/>
  <c r="V512" i="1"/>
  <c r="Y512" i="1" s="1"/>
  <c r="M512" i="1"/>
  <c r="L512" i="1"/>
  <c r="X511" i="1"/>
  <c r="W511" i="1" s="1"/>
  <c r="V511" i="1"/>
  <c r="M511" i="1"/>
  <c r="L511" i="1"/>
  <c r="X510" i="1"/>
  <c r="AA510" i="1" s="1"/>
  <c r="V510" i="1"/>
  <c r="Y510" i="1" s="1"/>
  <c r="M510" i="1"/>
  <c r="L510" i="1"/>
  <c r="X508" i="1"/>
  <c r="V508" i="1"/>
  <c r="Y508" i="1" s="1"/>
  <c r="M508" i="1"/>
  <c r="L508" i="1"/>
  <c r="X507" i="1"/>
  <c r="V507" i="1"/>
  <c r="M507" i="1"/>
  <c r="Y507" i="1" s="1"/>
  <c r="L507" i="1"/>
  <c r="X506" i="1"/>
  <c r="V506" i="1"/>
  <c r="Y506" i="1" s="1"/>
  <c r="M506" i="1"/>
  <c r="L506" i="1"/>
  <c r="X505" i="1"/>
  <c r="AA505" i="1" s="1"/>
  <c r="V505" i="1"/>
  <c r="Y505" i="1" s="1"/>
  <c r="M505" i="1"/>
  <c r="L505" i="1"/>
  <c r="X504" i="1"/>
  <c r="W504" i="1" s="1"/>
  <c r="Z504" i="1" s="1"/>
  <c r="V504" i="1"/>
  <c r="M504" i="1"/>
  <c r="L504" i="1"/>
  <c r="X503" i="1"/>
  <c r="W503" i="1" s="1"/>
  <c r="V503" i="1"/>
  <c r="M503" i="1"/>
  <c r="Y503" i="1" s="1"/>
  <c r="L503" i="1"/>
  <c r="AA502" i="1"/>
  <c r="X502" i="1"/>
  <c r="W502" i="1" s="1"/>
  <c r="V502" i="1"/>
  <c r="M502" i="1"/>
  <c r="L502" i="1"/>
  <c r="X501" i="1"/>
  <c r="V501" i="1"/>
  <c r="M501" i="1"/>
  <c r="L501" i="1"/>
  <c r="M499" i="1"/>
  <c r="M498" i="1"/>
  <c r="M497" i="1" s="1"/>
  <c r="Y496" i="1"/>
  <c r="Y495" i="1" s="1"/>
  <c r="X496" i="1"/>
  <c r="V496" i="1"/>
  <c r="V495" i="1" s="1"/>
  <c r="M496" i="1"/>
  <c r="AA496" i="1" s="1"/>
  <c r="AA495" i="1" s="1"/>
  <c r="L496" i="1"/>
  <c r="L495" i="1" s="1"/>
  <c r="X495" i="1"/>
  <c r="M495" i="1"/>
  <c r="X494" i="1"/>
  <c r="X493" i="1" s="1"/>
  <c r="V494" i="1"/>
  <c r="W494" i="1" s="1"/>
  <c r="M494" i="1"/>
  <c r="M493" i="1" s="1"/>
  <c r="L494" i="1"/>
  <c r="L493" i="1" s="1"/>
  <c r="X492" i="1"/>
  <c r="V492" i="1"/>
  <c r="Y492" i="1" s="1"/>
  <c r="Y491" i="1" s="1"/>
  <c r="M492" i="1"/>
  <c r="L492" i="1"/>
  <c r="L491" i="1"/>
  <c r="X490" i="1"/>
  <c r="X489" i="1" s="1"/>
  <c r="V490" i="1"/>
  <c r="V489" i="1" s="1"/>
  <c r="M490" i="1"/>
  <c r="L490" i="1"/>
  <c r="L489" i="1" s="1"/>
  <c r="M489" i="1"/>
  <c r="X488" i="1"/>
  <c r="X487" i="1" s="1"/>
  <c r="V488" i="1"/>
  <c r="M488" i="1"/>
  <c r="M487" i="1" s="1"/>
  <c r="L488" i="1"/>
  <c r="L487" i="1"/>
  <c r="X486" i="1"/>
  <c r="X485" i="1" s="1"/>
  <c r="V486" i="1"/>
  <c r="V485" i="1" s="1"/>
  <c r="M486" i="1"/>
  <c r="L486" i="1"/>
  <c r="L485" i="1"/>
  <c r="X482" i="1"/>
  <c r="V482" i="1"/>
  <c r="M482" i="1"/>
  <c r="L482" i="1"/>
  <c r="AA481" i="1"/>
  <c r="X481" i="1"/>
  <c r="V481" i="1"/>
  <c r="Y481" i="1" s="1"/>
  <c r="M481" i="1"/>
  <c r="L481" i="1"/>
  <c r="L476" i="1" s="1"/>
  <c r="X480" i="1"/>
  <c r="AA480" i="1" s="1"/>
  <c r="W480" i="1"/>
  <c r="Z480" i="1" s="1"/>
  <c r="V480" i="1"/>
  <c r="Y480" i="1" s="1"/>
  <c r="M480" i="1"/>
  <c r="L480" i="1"/>
  <c r="X479" i="1"/>
  <c r="V479" i="1"/>
  <c r="M479" i="1"/>
  <c r="L479" i="1"/>
  <c r="X478" i="1"/>
  <c r="V478" i="1"/>
  <c r="M478" i="1"/>
  <c r="L478" i="1"/>
  <c r="X477" i="1"/>
  <c r="V477" i="1"/>
  <c r="M477" i="1"/>
  <c r="M476" i="1" s="1"/>
  <c r="L477" i="1"/>
  <c r="V476" i="1"/>
  <c r="X475" i="1"/>
  <c r="AA475" i="1" s="1"/>
  <c r="V475" i="1"/>
  <c r="M475" i="1"/>
  <c r="L475" i="1"/>
  <c r="X474" i="1"/>
  <c r="V474" i="1"/>
  <c r="M474" i="1"/>
  <c r="L474" i="1"/>
  <c r="X473" i="1"/>
  <c r="V473" i="1"/>
  <c r="M473" i="1"/>
  <c r="L473" i="1"/>
  <c r="X472" i="1"/>
  <c r="AA472" i="1" s="1"/>
  <c r="V472" i="1"/>
  <c r="M472" i="1"/>
  <c r="L472" i="1"/>
  <c r="X471" i="1"/>
  <c r="AA471" i="1" s="1"/>
  <c r="V471" i="1"/>
  <c r="Y471" i="1" s="1"/>
  <c r="M471" i="1"/>
  <c r="L471" i="1"/>
  <c r="X470" i="1"/>
  <c r="X469" i="1" s="1"/>
  <c r="V470" i="1"/>
  <c r="M470" i="1"/>
  <c r="L470" i="1"/>
  <c r="M469" i="1"/>
  <c r="X468" i="1"/>
  <c r="V468" i="1"/>
  <c r="M468" i="1"/>
  <c r="Y468" i="1" s="1"/>
  <c r="L468" i="1"/>
  <c r="X467" i="1"/>
  <c r="V467" i="1"/>
  <c r="M467" i="1"/>
  <c r="Y467" i="1" s="1"/>
  <c r="L467" i="1"/>
  <c r="X466" i="1"/>
  <c r="AA466" i="1" s="1"/>
  <c r="V466" i="1"/>
  <c r="M466" i="1"/>
  <c r="L466" i="1"/>
  <c r="X465" i="1"/>
  <c r="W465" i="1" s="1"/>
  <c r="Z465" i="1" s="1"/>
  <c r="V465" i="1"/>
  <c r="Y465" i="1" s="1"/>
  <c r="M465" i="1"/>
  <c r="L465" i="1"/>
  <c r="X464" i="1"/>
  <c r="V464" i="1"/>
  <c r="M464" i="1"/>
  <c r="L464" i="1"/>
  <c r="X463" i="1"/>
  <c r="V463" i="1"/>
  <c r="M463" i="1"/>
  <c r="M462" i="1" s="1"/>
  <c r="L463" i="1"/>
  <c r="X462" i="1"/>
  <c r="X461" i="1"/>
  <c r="V461" i="1"/>
  <c r="M461" i="1"/>
  <c r="L461" i="1"/>
  <c r="X460" i="1"/>
  <c r="V460" i="1"/>
  <c r="M460" i="1"/>
  <c r="L460" i="1"/>
  <c r="Y459" i="1"/>
  <c r="X459" i="1"/>
  <c r="V459" i="1"/>
  <c r="M459" i="1"/>
  <c r="L459" i="1"/>
  <c r="X458" i="1"/>
  <c r="V458" i="1"/>
  <c r="M458" i="1"/>
  <c r="Y458" i="1" s="1"/>
  <c r="L458" i="1"/>
  <c r="AA457" i="1"/>
  <c r="X457" i="1"/>
  <c r="V457" i="1"/>
  <c r="Y457" i="1" s="1"/>
  <c r="M457" i="1"/>
  <c r="L457" i="1"/>
  <c r="X456" i="1"/>
  <c r="W456" i="1" s="1"/>
  <c r="V456" i="1"/>
  <c r="M456" i="1"/>
  <c r="M455" i="1" s="1"/>
  <c r="L456" i="1"/>
  <c r="L455" i="1" s="1"/>
  <c r="V455" i="1"/>
  <c r="X454" i="1"/>
  <c r="AA454" i="1" s="1"/>
  <c r="V454" i="1"/>
  <c r="Y454" i="1" s="1"/>
  <c r="M454" i="1"/>
  <c r="L454" i="1"/>
  <c r="X453" i="1"/>
  <c r="AA453" i="1" s="1"/>
  <c r="V453" i="1"/>
  <c r="Y453" i="1" s="1"/>
  <c r="M453" i="1"/>
  <c r="L453" i="1"/>
  <c r="X452" i="1"/>
  <c r="V452" i="1"/>
  <c r="M452" i="1"/>
  <c r="L452" i="1"/>
  <c r="X451" i="1"/>
  <c r="W451" i="1" s="1"/>
  <c r="Z451" i="1" s="1"/>
  <c r="V451" i="1"/>
  <c r="M451" i="1"/>
  <c r="L451" i="1"/>
  <c r="X450" i="1"/>
  <c r="V450" i="1"/>
  <c r="Y450" i="1" s="1"/>
  <c r="M450" i="1"/>
  <c r="L450" i="1"/>
  <c r="X449" i="1"/>
  <c r="X448" i="1" s="1"/>
  <c r="V449" i="1"/>
  <c r="M449" i="1"/>
  <c r="L449" i="1"/>
  <c r="M448" i="1"/>
  <c r="X447" i="1"/>
  <c r="V447" i="1"/>
  <c r="M447" i="1"/>
  <c r="L447" i="1"/>
  <c r="X446" i="1"/>
  <c r="V446" i="1"/>
  <c r="M446" i="1"/>
  <c r="L446" i="1"/>
  <c r="X445" i="1"/>
  <c r="V445" i="1"/>
  <c r="M445" i="1"/>
  <c r="L445" i="1"/>
  <c r="X444" i="1"/>
  <c r="AA444" i="1" s="1"/>
  <c r="V444" i="1"/>
  <c r="Y444" i="1" s="1"/>
  <c r="M444" i="1"/>
  <c r="L444" i="1"/>
  <c r="X443" i="1"/>
  <c r="V443" i="1"/>
  <c r="Y443" i="1" s="1"/>
  <c r="M443" i="1"/>
  <c r="L443" i="1"/>
  <c r="X442" i="1"/>
  <c r="V442" i="1"/>
  <c r="Y442" i="1" s="1"/>
  <c r="M442" i="1"/>
  <c r="M441" i="1" s="1"/>
  <c r="L442" i="1"/>
  <c r="X441" i="1"/>
  <c r="X440" i="1"/>
  <c r="V440" i="1"/>
  <c r="M440" i="1"/>
  <c r="L440" i="1"/>
  <c r="AA439" i="1"/>
  <c r="X439" i="1"/>
  <c r="V439" i="1"/>
  <c r="Y439" i="1" s="1"/>
  <c r="M439" i="1"/>
  <c r="L439" i="1"/>
  <c r="X438" i="1"/>
  <c r="V438" i="1"/>
  <c r="M438" i="1"/>
  <c r="L438" i="1"/>
  <c r="Y437" i="1"/>
  <c r="X437" i="1"/>
  <c r="W437" i="1"/>
  <c r="Z437" i="1" s="1"/>
  <c r="V437" i="1"/>
  <c r="M437" i="1"/>
  <c r="L437" i="1"/>
  <c r="X436" i="1"/>
  <c r="AA436" i="1" s="1"/>
  <c r="V436" i="1"/>
  <c r="M436" i="1"/>
  <c r="Y436" i="1" s="1"/>
  <c r="L436" i="1"/>
  <c r="X435" i="1"/>
  <c r="W435" i="1" s="1"/>
  <c r="V435" i="1"/>
  <c r="V434" i="1" s="1"/>
  <c r="M435" i="1"/>
  <c r="M434" i="1" s="1"/>
  <c r="L435" i="1"/>
  <c r="X433" i="1"/>
  <c r="V433" i="1"/>
  <c r="Y433" i="1" s="1"/>
  <c r="M433" i="1"/>
  <c r="L433" i="1"/>
  <c r="X432" i="1"/>
  <c r="V432" i="1"/>
  <c r="M432" i="1"/>
  <c r="L432" i="1"/>
  <c r="X431" i="1"/>
  <c r="V431" i="1"/>
  <c r="W431" i="1" s="1"/>
  <c r="Z431" i="1" s="1"/>
  <c r="M431" i="1"/>
  <c r="L431" i="1"/>
  <c r="X430" i="1"/>
  <c r="V430" i="1"/>
  <c r="M430" i="1"/>
  <c r="L430" i="1"/>
  <c r="X429" i="1"/>
  <c r="V429" i="1"/>
  <c r="Y429" i="1" s="1"/>
  <c r="M429" i="1"/>
  <c r="L429" i="1"/>
  <c r="X428" i="1"/>
  <c r="V428" i="1"/>
  <c r="M428" i="1"/>
  <c r="M427" i="1" s="1"/>
  <c r="L428" i="1"/>
  <c r="V427" i="1"/>
  <c r="AA426" i="1"/>
  <c r="X426" i="1"/>
  <c r="V426" i="1"/>
  <c r="Y426" i="1" s="1"/>
  <c r="M426" i="1"/>
  <c r="L426" i="1"/>
  <c r="X425" i="1"/>
  <c r="V425" i="1"/>
  <c r="M425" i="1"/>
  <c r="L425" i="1"/>
  <c r="AA424" i="1"/>
  <c r="X424" i="1"/>
  <c r="V424" i="1"/>
  <c r="Y424" i="1" s="1"/>
  <c r="M424" i="1"/>
  <c r="L424" i="1"/>
  <c r="X423" i="1"/>
  <c r="V423" i="1"/>
  <c r="M423" i="1"/>
  <c r="Y423" i="1" s="1"/>
  <c r="L423" i="1"/>
  <c r="X422" i="1"/>
  <c r="W422" i="1"/>
  <c r="Z422" i="1" s="1"/>
  <c r="V422" i="1"/>
  <c r="M422" i="1"/>
  <c r="Y422" i="1" s="1"/>
  <c r="L422" i="1"/>
  <c r="X421" i="1"/>
  <c r="AA421" i="1" s="1"/>
  <c r="V421" i="1"/>
  <c r="M421" i="1"/>
  <c r="M420" i="1" s="1"/>
  <c r="L421" i="1"/>
  <c r="X419" i="1"/>
  <c r="W419" i="1" s="1"/>
  <c r="Z419" i="1" s="1"/>
  <c r="V419" i="1"/>
  <c r="Y419" i="1" s="1"/>
  <c r="M419" i="1"/>
  <c r="L419" i="1"/>
  <c r="X418" i="1"/>
  <c r="V418" i="1"/>
  <c r="M418" i="1"/>
  <c r="Y418" i="1" s="1"/>
  <c r="L418" i="1"/>
  <c r="X417" i="1"/>
  <c r="V417" i="1"/>
  <c r="Y417" i="1" s="1"/>
  <c r="M417" i="1"/>
  <c r="L417" i="1"/>
  <c r="X416" i="1"/>
  <c r="W416" i="1"/>
  <c r="V416" i="1"/>
  <c r="M416" i="1"/>
  <c r="Y416" i="1" s="1"/>
  <c r="L416" i="1"/>
  <c r="X415" i="1"/>
  <c r="V415" i="1"/>
  <c r="Y415" i="1" s="1"/>
  <c r="M415" i="1"/>
  <c r="L415" i="1"/>
  <c r="X414" i="1"/>
  <c r="X413" i="1" s="1"/>
  <c r="V414" i="1"/>
  <c r="V413" i="1" s="1"/>
  <c r="M414" i="1"/>
  <c r="L414" i="1"/>
  <c r="M413" i="1"/>
  <c r="X412" i="1"/>
  <c r="V412" i="1"/>
  <c r="Y412" i="1" s="1"/>
  <c r="M412" i="1"/>
  <c r="L412" i="1"/>
  <c r="X411" i="1"/>
  <c r="V411" i="1"/>
  <c r="M411" i="1"/>
  <c r="L411" i="1"/>
  <c r="X410" i="1"/>
  <c r="W410" i="1"/>
  <c r="V410" i="1"/>
  <c r="M410" i="1"/>
  <c r="Y410" i="1" s="1"/>
  <c r="L410" i="1"/>
  <c r="AA409" i="1"/>
  <c r="X409" i="1"/>
  <c r="V409" i="1"/>
  <c r="Y409" i="1" s="1"/>
  <c r="M409" i="1"/>
  <c r="L409" i="1"/>
  <c r="X408" i="1"/>
  <c r="V408" i="1"/>
  <c r="M408" i="1"/>
  <c r="L408" i="1"/>
  <c r="X407" i="1"/>
  <c r="V407" i="1"/>
  <c r="M407" i="1"/>
  <c r="M406" i="1" s="1"/>
  <c r="L407" i="1"/>
  <c r="Y403" i="1"/>
  <c r="X403" i="1"/>
  <c r="V403" i="1"/>
  <c r="M403" i="1"/>
  <c r="AA403" i="1" s="1"/>
  <c r="L403" i="1"/>
  <c r="X402" i="1"/>
  <c r="AA402" i="1" s="1"/>
  <c r="V402" i="1"/>
  <c r="M402" i="1"/>
  <c r="L402" i="1"/>
  <c r="X401" i="1"/>
  <c r="W401" i="1" s="1"/>
  <c r="Z401" i="1" s="1"/>
  <c r="V401" i="1"/>
  <c r="Y401" i="1" s="1"/>
  <c r="M401" i="1"/>
  <c r="L401" i="1"/>
  <c r="AA400" i="1"/>
  <c r="X400" i="1"/>
  <c r="V400" i="1"/>
  <c r="M400" i="1"/>
  <c r="L400" i="1"/>
  <c r="X399" i="1"/>
  <c r="V399" i="1"/>
  <c r="M399" i="1"/>
  <c r="M398" i="1" s="1"/>
  <c r="L399" i="1"/>
  <c r="L398" i="1" s="1"/>
  <c r="X397" i="1"/>
  <c r="V397" i="1"/>
  <c r="M397" i="1"/>
  <c r="L397" i="1"/>
  <c r="X396" i="1"/>
  <c r="AA396" i="1" s="1"/>
  <c r="V396" i="1"/>
  <c r="Y396" i="1" s="1"/>
  <c r="M396" i="1"/>
  <c r="L396" i="1"/>
  <c r="X395" i="1"/>
  <c r="V395" i="1"/>
  <c r="Y395" i="1" s="1"/>
  <c r="M395" i="1"/>
  <c r="L395" i="1"/>
  <c r="X394" i="1"/>
  <c r="W394" i="1" s="1"/>
  <c r="Z394" i="1" s="1"/>
  <c r="V394" i="1"/>
  <c r="M394" i="1"/>
  <c r="L394" i="1"/>
  <c r="X393" i="1"/>
  <c r="V393" i="1"/>
  <c r="M393" i="1"/>
  <c r="L393" i="1"/>
  <c r="M392" i="1"/>
  <c r="X391" i="1"/>
  <c r="V391" i="1"/>
  <c r="M391" i="1"/>
  <c r="AA391" i="1" s="1"/>
  <c r="L391" i="1"/>
  <c r="X390" i="1"/>
  <c r="V390" i="1"/>
  <c r="Y390" i="1" s="1"/>
  <c r="M390" i="1"/>
  <c r="L390" i="1"/>
  <c r="X389" i="1"/>
  <c r="V389" i="1"/>
  <c r="M389" i="1"/>
  <c r="L389" i="1"/>
  <c r="X388" i="1"/>
  <c r="AA388" i="1" s="1"/>
  <c r="V388" i="1"/>
  <c r="M388" i="1"/>
  <c r="Y388" i="1" s="1"/>
  <c r="L388" i="1"/>
  <c r="X387" i="1"/>
  <c r="V387" i="1"/>
  <c r="M387" i="1"/>
  <c r="M386" i="1" s="1"/>
  <c r="L387" i="1"/>
  <c r="L386" i="1" s="1"/>
  <c r="X385" i="1"/>
  <c r="AA385" i="1" s="1"/>
  <c r="V385" i="1"/>
  <c r="M385" i="1"/>
  <c r="Y385" i="1" s="1"/>
  <c r="L385" i="1"/>
  <c r="X384" i="1"/>
  <c r="V384" i="1"/>
  <c r="M384" i="1"/>
  <c r="L384" i="1"/>
  <c r="X383" i="1"/>
  <c r="V383" i="1"/>
  <c r="M383" i="1"/>
  <c r="Y383" i="1" s="1"/>
  <c r="L383" i="1"/>
  <c r="X382" i="1"/>
  <c r="AA382" i="1" s="1"/>
  <c r="V382" i="1"/>
  <c r="M382" i="1"/>
  <c r="L382" i="1"/>
  <c r="X381" i="1"/>
  <c r="V381" i="1"/>
  <c r="V380" i="1" s="1"/>
  <c r="M381" i="1"/>
  <c r="M380" i="1" s="1"/>
  <c r="L381" i="1"/>
  <c r="X379" i="1"/>
  <c r="V379" i="1"/>
  <c r="M379" i="1"/>
  <c r="L379" i="1"/>
  <c r="X378" i="1"/>
  <c r="V378" i="1"/>
  <c r="Y378" i="1" s="1"/>
  <c r="M378" i="1"/>
  <c r="L378" i="1"/>
  <c r="X377" i="1"/>
  <c r="W377" i="1" s="1"/>
  <c r="Z377" i="1" s="1"/>
  <c r="V377" i="1"/>
  <c r="M377" i="1"/>
  <c r="Y377" i="1" s="1"/>
  <c r="L377" i="1"/>
  <c r="X376" i="1"/>
  <c r="V376" i="1"/>
  <c r="Y376" i="1" s="1"/>
  <c r="M376" i="1"/>
  <c r="L376" i="1"/>
  <c r="X375" i="1"/>
  <c r="AA375" i="1" s="1"/>
  <c r="V375" i="1"/>
  <c r="V374" i="1" s="1"/>
  <c r="M375" i="1"/>
  <c r="M374" i="1" s="1"/>
  <c r="L375" i="1"/>
  <c r="X373" i="1"/>
  <c r="V373" i="1"/>
  <c r="M373" i="1"/>
  <c r="L373" i="1"/>
  <c r="X372" i="1"/>
  <c r="V372" i="1"/>
  <c r="Y372" i="1" s="1"/>
  <c r="M372" i="1"/>
  <c r="L372" i="1"/>
  <c r="X371" i="1"/>
  <c r="V371" i="1"/>
  <c r="M371" i="1"/>
  <c r="L371" i="1"/>
  <c r="AA370" i="1"/>
  <c r="X370" i="1"/>
  <c r="V370" i="1"/>
  <c r="Y370" i="1" s="1"/>
  <c r="M370" i="1"/>
  <c r="L370" i="1"/>
  <c r="X369" i="1"/>
  <c r="V369" i="1"/>
  <c r="M369" i="1"/>
  <c r="M368" i="1" s="1"/>
  <c r="L369" i="1"/>
  <c r="AA367" i="1"/>
  <c r="X367" i="1"/>
  <c r="V367" i="1"/>
  <c r="Y367" i="1" s="1"/>
  <c r="M367" i="1"/>
  <c r="L367" i="1"/>
  <c r="X366" i="1"/>
  <c r="AA366" i="1" s="1"/>
  <c r="V366" i="1"/>
  <c r="M366" i="1"/>
  <c r="L366" i="1"/>
  <c r="X365" i="1"/>
  <c r="W365" i="1"/>
  <c r="Z365" i="1" s="1"/>
  <c r="V365" i="1"/>
  <c r="M365" i="1"/>
  <c r="Y365" i="1" s="1"/>
  <c r="L365" i="1"/>
  <c r="X364" i="1"/>
  <c r="AA364" i="1" s="1"/>
  <c r="V364" i="1"/>
  <c r="Y364" i="1" s="1"/>
  <c r="M364" i="1"/>
  <c r="L364" i="1"/>
  <c r="X363" i="1"/>
  <c r="W363" i="1" s="1"/>
  <c r="Z363" i="1" s="1"/>
  <c r="V363" i="1"/>
  <c r="M363" i="1"/>
  <c r="L363" i="1"/>
  <c r="X361" i="1"/>
  <c r="V361" i="1"/>
  <c r="M361" i="1"/>
  <c r="L361" i="1"/>
  <c r="X360" i="1"/>
  <c r="V360" i="1"/>
  <c r="M360" i="1"/>
  <c r="Y360" i="1" s="1"/>
  <c r="L360" i="1"/>
  <c r="X359" i="1"/>
  <c r="W359" i="1" s="1"/>
  <c r="Z359" i="1" s="1"/>
  <c r="V359" i="1"/>
  <c r="Y359" i="1" s="1"/>
  <c r="M359" i="1"/>
  <c r="L359" i="1"/>
  <c r="X358" i="1"/>
  <c r="W358" i="1" s="1"/>
  <c r="Z358" i="1" s="1"/>
  <c r="V358" i="1"/>
  <c r="M358" i="1"/>
  <c r="L358" i="1"/>
  <c r="X357" i="1"/>
  <c r="X356" i="1" s="1"/>
  <c r="V357" i="1"/>
  <c r="M357" i="1"/>
  <c r="M356" i="1" s="1"/>
  <c r="L357" i="1"/>
  <c r="X355" i="1"/>
  <c r="V355" i="1"/>
  <c r="M355" i="1"/>
  <c r="Y355" i="1" s="1"/>
  <c r="L355" i="1"/>
  <c r="X354" i="1"/>
  <c r="V354" i="1"/>
  <c r="M354" i="1"/>
  <c r="L354" i="1"/>
  <c r="X353" i="1"/>
  <c r="V353" i="1"/>
  <c r="M353" i="1"/>
  <c r="L353" i="1"/>
  <c r="X352" i="1"/>
  <c r="V352" i="1"/>
  <c r="M352" i="1"/>
  <c r="L352" i="1"/>
  <c r="X351" i="1"/>
  <c r="V351" i="1"/>
  <c r="M351" i="1"/>
  <c r="M350" i="1" s="1"/>
  <c r="L351" i="1"/>
  <c r="L350" i="1" s="1"/>
  <c r="X349" i="1"/>
  <c r="V349" i="1"/>
  <c r="Y349" i="1" s="1"/>
  <c r="M349" i="1"/>
  <c r="AA349" i="1" s="1"/>
  <c r="L349" i="1"/>
  <c r="X348" i="1"/>
  <c r="AA348" i="1" s="1"/>
  <c r="V348" i="1"/>
  <c r="M348" i="1"/>
  <c r="L348" i="1"/>
  <c r="X347" i="1"/>
  <c r="V347" i="1"/>
  <c r="Y347" i="1" s="1"/>
  <c r="M347" i="1"/>
  <c r="L347" i="1"/>
  <c r="AA346" i="1"/>
  <c r="X346" i="1"/>
  <c r="V346" i="1"/>
  <c r="Y346" i="1" s="1"/>
  <c r="M346" i="1"/>
  <c r="L346" i="1"/>
  <c r="X345" i="1"/>
  <c r="X344" i="1" s="1"/>
  <c r="V345" i="1"/>
  <c r="M345" i="1"/>
  <c r="AA345" i="1" s="1"/>
  <c r="L345" i="1"/>
  <c r="X343" i="1"/>
  <c r="V343" i="1"/>
  <c r="M343" i="1"/>
  <c r="L343" i="1"/>
  <c r="X342" i="1"/>
  <c r="AA342" i="1" s="1"/>
  <c r="V342" i="1"/>
  <c r="Y342" i="1" s="1"/>
  <c r="M342" i="1"/>
  <c r="L342" i="1"/>
  <c r="X341" i="1"/>
  <c r="W341" i="1"/>
  <c r="V341" i="1"/>
  <c r="M341" i="1"/>
  <c r="L341" i="1"/>
  <c r="X340" i="1"/>
  <c r="W340" i="1" s="1"/>
  <c r="V340" i="1"/>
  <c r="M340" i="1"/>
  <c r="L340" i="1"/>
  <c r="X339" i="1"/>
  <c r="V339" i="1"/>
  <c r="V338" i="1" s="1"/>
  <c r="M339" i="1"/>
  <c r="L339" i="1"/>
  <c r="M338" i="1"/>
  <c r="X337" i="1"/>
  <c r="AA337" i="1" s="1"/>
  <c r="V337" i="1"/>
  <c r="M337" i="1"/>
  <c r="Y337" i="1" s="1"/>
  <c r="L337" i="1"/>
  <c r="X336" i="1"/>
  <c r="V336" i="1"/>
  <c r="Y336" i="1" s="1"/>
  <c r="M336" i="1"/>
  <c r="L336" i="1"/>
  <c r="X335" i="1"/>
  <c r="V335" i="1"/>
  <c r="M335" i="1"/>
  <c r="L335" i="1"/>
  <c r="X334" i="1"/>
  <c r="AA334" i="1" s="1"/>
  <c r="V334" i="1"/>
  <c r="M334" i="1"/>
  <c r="Y334" i="1" s="1"/>
  <c r="L334" i="1"/>
  <c r="X333" i="1"/>
  <c r="V333" i="1"/>
  <c r="M333" i="1"/>
  <c r="L333" i="1"/>
  <c r="M332" i="1"/>
  <c r="X329" i="1"/>
  <c r="V329" i="1"/>
  <c r="Y329" i="1" s="1"/>
  <c r="M329" i="1"/>
  <c r="L329" i="1"/>
  <c r="AA328" i="1"/>
  <c r="X328" i="1"/>
  <c r="V328" i="1"/>
  <c r="Y328" i="1" s="1"/>
  <c r="M328" i="1"/>
  <c r="L328" i="1"/>
  <c r="X327" i="1"/>
  <c r="W327" i="1" s="1"/>
  <c r="Z327" i="1" s="1"/>
  <c r="V327" i="1"/>
  <c r="Y327" i="1" s="1"/>
  <c r="M327" i="1"/>
  <c r="L327" i="1"/>
  <c r="X326" i="1"/>
  <c r="W326" i="1" s="1"/>
  <c r="Z326" i="1" s="1"/>
  <c r="V326" i="1"/>
  <c r="M326" i="1"/>
  <c r="Y326" i="1" s="1"/>
  <c r="L326" i="1"/>
  <c r="X325" i="1"/>
  <c r="V325" i="1"/>
  <c r="M325" i="1"/>
  <c r="L325" i="1"/>
  <c r="M324" i="1"/>
  <c r="M323" i="1"/>
  <c r="X322" i="1"/>
  <c r="V322" i="1"/>
  <c r="Y322" i="1" s="1"/>
  <c r="M322" i="1"/>
  <c r="L322" i="1"/>
  <c r="X321" i="1"/>
  <c r="V321" i="1"/>
  <c r="M321" i="1"/>
  <c r="L321" i="1"/>
  <c r="X320" i="1"/>
  <c r="V320" i="1"/>
  <c r="M320" i="1"/>
  <c r="L320" i="1"/>
  <c r="X319" i="1"/>
  <c r="V319" i="1"/>
  <c r="V317" i="1" s="1"/>
  <c r="M319" i="1"/>
  <c r="L319" i="1"/>
  <c r="X318" i="1"/>
  <c r="W318" i="1" s="1"/>
  <c r="V318" i="1"/>
  <c r="M318" i="1"/>
  <c r="L318" i="1"/>
  <c r="M317" i="1"/>
  <c r="AA316" i="1"/>
  <c r="Y316" i="1"/>
  <c r="X316" i="1"/>
  <c r="V316" i="1"/>
  <c r="M316" i="1"/>
  <c r="L316" i="1"/>
  <c r="X315" i="1"/>
  <c r="W315" i="1" s="1"/>
  <c r="Z315" i="1" s="1"/>
  <c r="V315" i="1"/>
  <c r="M315" i="1"/>
  <c r="L315" i="1"/>
  <c r="X314" i="1"/>
  <c r="V314" i="1"/>
  <c r="M314" i="1"/>
  <c r="L314" i="1"/>
  <c r="Y313" i="1"/>
  <c r="X313" i="1"/>
  <c r="V313" i="1"/>
  <c r="M313" i="1"/>
  <c r="AA313" i="1" s="1"/>
  <c r="L313" i="1"/>
  <c r="X312" i="1"/>
  <c r="V312" i="1"/>
  <c r="M312" i="1"/>
  <c r="Y312" i="1" s="1"/>
  <c r="L312" i="1"/>
  <c r="Y310" i="1"/>
  <c r="X310" i="1"/>
  <c r="V310" i="1"/>
  <c r="M310" i="1"/>
  <c r="AA310" i="1" s="1"/>
  <c r="L310" i="1"/>
  <c r="X309" i="1"/>
  <c r="W309" i="1"/>
  <c r="V309" i="1"/>
  <c r="M309" i="1"/>
  <c r="AA309" i="1" s="1"/>
  <c r="L309" i="1"/>
  <c r="X308" i="1"/>
  <c r="V308" i="1"/>
  <c r="M308" i="1"/>
  <c r="L308" i="1"/>
  <c r="X307" i="1"/>
  <c r="V307" i="1"/>
  <c r="M307" i="1"/>
  <c r="L307" i="1"/>
  <c r="L305" i="1" s="1"/>
  <c r="X306" i="1"/>
  <c r="V306" i="1"/>
  <c r="M306" i="1"/>
  <c r="M305" i="1" s="1"/>
  <c r="L306" i="1"/>
  <c r="AA304" i="1"/>
  <c r="X304" i="1"/>
  <c r="V304" i="1"/>
  <c r="M304" i="1"/>
  <c r="L304" i="1"/>
  <c r="X303" i="1"/>
  <c r="AA303" i="1" s="1"/>
  <c r="V303" i="1"/>
  <c r="Y303" i="1" s="1"/>
  <c r="M303" i="1"/>
  <c r="L303" i="1"/>
  <c r="X302" i="1"/>
  <c r="W302" i="1" s="1"/>
  <c r="Z302" i="1" s="1"/>
  <c r="V302" i="1"/>
  <c r="Y302" i="1" s="1"/>
  <c r="M302" i="1"/>
  <c r="L302" i="1"/>
  <c r="X301" i="1"/>
  <c r="V301" i="1"/>
  <c r="M301" i="1"/>
  <c r="L301" i="1"/>
  <c r="X300" i="1"/>
  <c r="V300" i="1"/>
  <c r="M300" i="1"/>
  <c r="M299" i="1" s="1"/>
  <c r="L300" i="1"/>
  <c r="X298" i="1"/>
  <c r="V298" i="1"/>
  <c r="Y298" i="1" s="1"/>
  <c r="M298" i="1"/>
  <c r="L298" i="1"/>
  <c r="X297" i="1"/>
  <c r="V297" i="1"/>
  <c r="M297" i="1"/>
  <c r="L297" i="1"/>
  <c r="X296" i="1"/>
  <c r="V296" i="1"/>
  <c r="M296" i="1"/>
  <c r="L296" i="1"/>
  <c r="X295" i="1"/>
  <c r="V295" i="1"/>
  <c r="Y295" i="1" s="1"/>
  <c r="M295" i="1"/>
  <c r="L295" i="1"/>
  <c r="X294" i="1"/>
  <c r="W294" i="1" s="1"/>
  <c r="Z294" i="1" s="1"/>
  <c r="V294" i="1"/>
  <c r="Y294" i="1" s="1"/>
  <c r="M294" i="1"/>
  <c r="M293" i="1" s="1"/>
  <c r="L294" i="1"/>
  <c r="AA292" i="1"/>
  <c r="X292" i="1"/>
  <c r="V292" i="1"/>
  <c r="Y292" i="1" s="1"/>
  <c r="M292" i="1"/>
  <c r="L292" i="1"/>
  <c r="X291" i="1"/>
  <c r="V291" i="1"/>
  <c r="M291" i="1"/>
  <c r="L291" i="1"/>
  <c r="Y290" i="1"/>
  <c r="X290" i="1"/>
  <c r="AA290" i="1" s="1"/>
  <c r="V290" i="1"/>
  <c r="M290" i="1"/>
  <c r="L290" i="1"/>
  <c r="X289" i="1"/>
  <c r="V289" i="1"/>
  <c r="M289" i="1"/>
  <c r="L289" i="1"/>
  <c r="X288" i="1"/>
  <c r="W288" i="1" s="1"/>
  <c r="Z288" i="1" s="1"/>
  <c r="V288" i="1"/>
  <c r="M288" i="1"/>
  <c r="L288" i="1"/>
  <c r="X287" i="1"/>
  <c r="X286" i="1"/>
  <c r="V286" i="1"/>
  <c r="M286" i="1"/>
  <c r="L286" i="1"/>
  <c r="X285" i="1"/>
  <c r="V285" i="1"/>
  <c r="Y285" i="1" s="1"/>
  <c r="M285" i="1"/>
  <c r="L285" i="1"/>
  <c r="X284" i="1"/>
  <c r="V284" i="1"/>
  <c r="W284" i="1" s="1"/>
  <c r="Z284" i="1" s="1"/>
  <c r="M284" i="1"/>
  <c r="L284" i="1"/>
  <c r="AA283" i="1"/>
  <c r="X283" i="1"/>
  <c r="V283" i="1"/>
  <c r="M283" i="1"/>
  <c r="L283" i="1"/>
  <c r="X282" i="1"/>
  <c r="AA282" i="1" s="1"/>
  <c r="V282" i="1"/>
  <c r="M282" i="1"/>
  <c r="M281" i="1" s="1"/>
  <c r="L282" i="1"/>
  <c r="X280" i="1"/>
  <c r="V280" i="1"/>
  <c r="Y280" i="1" s="1"/>
  <c r="M280" i="1"/>
  <c r="L280" i="1"/>
  <c r="X279" i="1"/>
  <c r="W279" i="1"/>
  <c r="V279" i="1"/>
  <c r="M279" i="1"/>
  <c r="Y279" i="1" s="1"/>
  <c r="L279" i="1"/>
  <c r="X278" i="1"/>
  <c r="W278" i="1" s="1"/>
  <c r="V278" i="1"/>
  <c r="M278" i="1"/>
  <c r="L278" i="1"/>
  <c r="AA277" i="1"/>
  <c r="X277" i="1"/>
  <c r="V277" i="1"/>
  <c r="M277" i="1"/>
  <c r="L277" i="1"/>
  <c r="X276" i="1"/>
  <c r="AA276" i="1" s="1"/>
  <c r="W276" i="1"/>
  <c r="V276" i="1"/>
  <c r="M276" i="1"/>
  <c r="M275" i="1" s="1"/>
  <c r="L276" i="1"/>
  <c r="X274" i="1"/>
  <c r="V274" i="1"/>
  <c r="M274" i="1"/>
  <c r="L274" i="1"/>
  <c r="X273" i="1"/>
  <c r="V273" i="1"/>
  <c r="M273" i="1"/>
  <c r="L273" i="1"/>
  <c r="AA272" i="1"/>
  <c r="X272" i="1"/>
  <c r="V272" i="1"/>
  <c r="Y272" i="1" s="1"/>
  <c r="M272" i="1"/>
  <c r="L272" i="1"/>
  <c r="X271" i="1"/>
  <c r="V271" i="1"/>
  <c r="M271" i="1"/>
  <c r="L271" i="1"/>
  <c r="Y270" i="1"/>
  <c r="X270" i="1"/>
  <c r="AA270" i="1" s="1"/>
  <c r="V270" i="1"/>
  <c r="M270" i="1"/>
  <c r="L270" i="1"/>
  <c r="M269" i="1"/>
  <c r="X268" i="1"/>
  <c r="V268" i="1"/>
  <c r="W268" i="1" s="1"/>
  <c r="M268" i="1"/>
  <c r="AA268" i="1" s="1"/>
  <c r="L268" i="1"/>
  <c r="X267" i="1"/>
  <c r="AA267" i="1" s="1"/>
  <c r="V267" i="1"/>
  <c r="Y267" i="1" s="1"/>
  <c r="M267" i="1"/>
  <c r="L267" i="1"/>
  <c r="X266" i="1"/>
  <c r="V266" i="1"/>
  <c r="M266" i="1"/>
  <c r="L266" i="1"/>
  <c r="X265" i="1"/>
  <c r="V265" i="1"/>
  <c r="M265" i="1"/>
  <c r="L265" i="1"/>
  <c r="X264" i="1"/>
  <c r="V264" i="1"/>
  <c r="Y264" i="1" s="1"/>
  <c r="M264" i="1"/>
  <c r="L264" i="1"/>
  <c r="M263" i="1"/>
  <c r="X262" i="1"/>
  <c r="AA262" i="1" s="1"/>
  <c r="V262" i="1"/>
  <c r="Y262" i="1" s="1"/>
  <c r="M262" i="1"/>
  <c r="L262" i="1"/>
  <c r="X261" i="1"/>
  <c r="V261" i="1"/>
  <c r="Y261" i="1" s="1"/>
  <c r="M261" i="1"/>
  <c r="L261" i="1"/>
  <c r="X260" i="1"/>
  <c r="V260" i="1"/>
  <c r="M260" i="1"/>
  <c r="L260" i="1"/>
  <c r="X259" i="1"/>
  <c r="V259" i="1"/>
  <c r="Y259" i="1" s="1"/>
  <c r="M259" i="1"/>
  <c r="L259" i="1"/>
  <c r="L257" i="1" s="1"/>
  <c r="X258" i="1"/>
  <c r="W258" i="1"/>
  <c r="Z258" i="1" s="1"/>
  <c r="V258" i="1"/>
  <c r="M258" i="1"/>
  <c r="M257" i="1" s="1"/>
  <c r="L258" i="1"/>
  <c r="X256" i="1"/>
  <c r="V256" i="1"/>
  <c r="M256" i="1"/>
  <c r="L256" i="1"/>
  <c r="X255" i="1"/>
  <c r="V255" i="1"/>
  <c r="M255" i="1"/>
  <c r="L255" i="1"/>
  <c r="AA254" i="1"/>
  <c r="X254" i="1"/>
  <c r="V254" i="1"/>
  <c r="Y254" i="1" s="1"/>
  <c r="M254" i="1"/>
  <c r="L254" i="1"/>
  <c r="X253" i="1"/>
  <c r="W253" i="1" s="1"/>
  <c r="V253" i="1"/>
  <c r="M253" i="1"/>
  <c r="L253" i="1"/>
  <c r="X252" i="1"/>
  <c r="AA252" i="1" s="1"/>
  <c r="V252" i="1"/>
  <c r="Y252" i="1" s="1"/>
  <c r="M252" i="1"/>
  <c r="L252" i="1"/>
  <c r="M251" i="1"/>
  <c r="X250" i="1"/>
  <c r="V250" i="1"/>
  <c r="W250" i="1" s="1"/>
  <c r="M250" i="1"/>
  <c r="AA250" i="1" s="1"/>
  <c r="L250" i="1"/>
  <c r="Y249" i="1"/>
  <c r="X249" i="1"/>
  <c r="AA249" i="1" s="1"/>
  <c r="V249" i="1"/>
  <c r="M249" i="1"/>
  <c r="L249" i="1"/>
  <c r="X248" i="1"/>
  <c r="V248" i="1"/>
  <c r="M248" i="1"/>
  <c r="L248" i="1"/>
  <c r="X247" i="1"/>
  <c r="V247" i="1"/>
  <c r="M247" i="1"/>
  <c r="L247" i="1"/>
  <c r="X246" i="1"/>
  <c r="W246" i="1" s="1"/>
  <c r="V246" i="1"/>
  <c r="Y246" i="1" s="1"/>
  <c r="M246" i="1"/>
  <c r="L246" i="1"/>
  <c r="L245" i="1" s="1"/>
  <c r="M245" i="1"/>
  <c r="X243" i="1"/>
  <c r="V243" i="1"/>
  <c r="Y243" i="1" s="1"/>
  <c r="M243" i="1"/>
  <c r="L243" i="1"/>
  <c r="X242" i="1"/>
  <c r="V242" i="1"/>
  <c r="Y242" i="1" s="1"/>
  <c r="M242" i="1"/>
  <c r="L242" i="1"/>
  <c r="X241" i="1"/>
  <c r="AA241" i="1" s="1"/>
  <c r="V241" i="1"/>
  <c r="M241" i="1"/>
  <c r="L241" i="1"/>
  <c r="X240" i="1"/>
  <c r="W240" i="1"/>
  <c r="V240" i="1"/>
  <c r="M240" i="1"/>
  <c r="L240" i="1"/>
  <c r="AA239" i="1"/>
  <c r="X239" i="1"/>
  <c r="V239" i="1"/>
  <c r="Y239" i="1" s="1"/>
  <c r="M239" i="1"/>
  <c r="L239" i="1"/>
  <c r="X238" i="1"/>
  <c r="V238" i="1"/>
  <c r="M238" i="1"/>
  <c r="L238" i="1"/>
  <c r="M237" i="1"/>
  <c r="M236" i="1" s="1"/>
  <c r="Y234" i="1"/>
  <c r="X234" i="1"/>
  <c r="AA234" i="1" s="1"/>
  <c r="V234" i="1"/>
  <c r="M234" i="1"/>
  <c r="L234" i="1"/>
  <c r="X233" i="1"/>
  <c r="V233" i="1"/>
  <c r="M233" i="1"/>
  <c r="Y233" i="1" s="1"/>
  <c r="L233" i="1"/>
  <c r="X232" i="1"/>
  <c r="X231" i="1" s="1"/>
  <c r="V232" i="1"/>
  <c r="M232" i="1"/>
  <c r="AA232" i="1" s="1"/>
  <c r="AA231" i="1" s="1"/>
  <c r="L232" i="1"/>
  <c r="X230" i="1"/>
  <c r="V230" i="1"/>
  <c r="M230" i="1"/>
  <c r="L230" i="1"/>
  <c r="X229" i="1"/>
  <c r="V229" i="1"/>
  <c r="M229" i="1"/>
  <c r="AA229" i="1" s="1"/>
  <c r="L229" i="1"/>
  <c r="L227" i="1" s="1"/>
  <c r="X228" i="1"/>
  <c r="W228" i="1" s="1"/>
  <c r="V228" i="1"/>
  <c r="M228" i="1"/>
  <c r="Y228" i="1" s="1"/>
  <c r="L228" i="1"/>
  <c r="X225" i="1"/>
  <c r="W225" i="1"/>
  <c r="Z225" i="1" s="1"/>
  <c r="V225" i="1"/>
  <c r="M225" i="1"/>
  <c r="Y225" i="1" s="1"/>
  <c r="L225" i="1"/>
  <c r="X224" i="1"/>
  <c r="V224" i="1"/>
  <c r="Y224" i="1" s="1"/>
  <c r="M224" i="1"/>
  <c r="L224" i="1"/>
  <c r="X223" i="1"/>
  <c r="V223" i="1"/>
  <c r="M223" i="1"/>
  <c r="L223" i="1"/>
  <c r="X222" i="1"/>
  <c r="W222" i="1" s="1"/>
  <c r="V222" i="1"/>
  <c r="M222" i="1"/>
  <c r="L222" i="1"/>
  <c r="X221" i="1"/>
  <c r="W221" i="1" s="1"/>
  <c r="W220" i="1" s="1"/>
  <c r="V221" i="1"/>
  <c r="M221" i="1"/>
  <c r="Y221" i="1" s="1"/>
  <c r="L221" i="1"/>
  <c r="V220" i="1"/>
  <c r="X219" i="1"/>
  <c r="V219" i="1"/>
  <c r="M219" i="1"/>
  <c r="L219" i="1"/>
  <c r="X218" i="1"/>
  <c r="V218" i="1"/>
  <c r="M218" i="1"/>
  <c r="AA218" i="1" s="1"/>
  <c r="L218" i="1"/>
  <c r="X217" i="1"/>
  <c r="V217" i="1"/>
  <c r="M217" i="1"/>
  <c r="L217" i="1"/>
  <c r="Y216" i="1"/>
  <c r="X216" i="1"/>
  <c r="V216" i="1"/>
  <c r="M216" i="1"/>
  <c r="L216" i="1"/>
  <c r="AA215" i="1"/>
  <c r="X215" i="1"/>
  <c r="V215" i="1"/>
  <c r="Y215" i="1" s="1"/>
  <c r="M215" i="1"/>
  <c r="L215" i="1"/>
  <c r="X214" i="1"/>
  <c r="V214" i="1"/>
  <c r="W214" i="1" s="1"/>
  <c r="M214" i="1"/>
  <c r="L214" i="1"/>
  <c r="X213" i="1"/>
  <c r="X212" i="1"/>
  <c r="V212" i="1"/>
  <c r="M212" i="1"/>
  <c r="L212" i="1"/>
  <c r="X211" i="1"/>
  <c r="W211" i="1" s="1"/>
  <c r="V211" i="1"/>
  <c r="M211" i="1"/>
  <c r="AA211" i="1" s="1"/>
  <c r="L211" i="1"/>
  <c r="Y210" i="1"/>
  <c r="X210" i="1"/>
  <c r="W210" i="1" s="1"/>
  <c r="Z210" i="1" s="1"/>
  <c r="V210" i="1"/>
  <c r="M210" i="1"/>
  <c r="L210" i="1"/>
  <c r="X209" i="1"/>
  <c r="V209" i="1"/>
  <c r="M209" i="1"/>
  <c r="L209" i="1"/>
  <c r="X208" i="1"/>
  <c r="AA208" i="1" s="1"/>
  <c r="V208" i="1"/>
  <c r="Y208" i="1" s="1"/>
  <c r="M208" i="1"/>
  <c r="L208" i="1"/>
  <c r="X207" i="1"/>
  <c r="X206" i="1" s="1"/>
  <c r="V207" i="1"/>
  <c r="Y207" i="1" s="1"/>
  <c r="M207" i="1"/>
  <c r="M206" i="1" s="1"/>
  <c r="L207" i="1"/>
  <c r="X205" i="1"/>
  <c r="V205" i="1"/>
  <c r="M205" i="1"/>
  <c r="L205" i="1"/>
  <c r="X204" i="1"/>
  <c r="W204" i="1"/>
  <c r="V204" i="1"/>
  <c r="M204" i="1"/>
  <c r="L204" i="1"/>
  <c r="X203" i="1"/>
  <c r="V203" i="1"/>
  <c r="Y203" i="1" s="1"/>
  <c r="M203" i="1"/>
  <c r="L203" i="1"/>
  <c r="X202" i="1"/>
  <c r="V202" i="1"/>
  <c r="M202" i="1"/>
  <c r="L202" i="1"/>
  <c r="X201" i="1"/>
  <c r="V201" i="1"/>
  <c r="W201" i="1" s="1"/>
  <c r="Z201" i="1" s="1"/>
  <c r="M201" i="1"/>
  <c r="L201" i="1"/>
  <c r="L199" i="1" s="1"/>
  <c r="AA200" i="1"/>
  <c r="Y200" i="1"/>
  <c r="X200" i="1"/>
  <c r="V200" i="1"/>
  <c r="V199" i="1" s="1"/>
  <c r="M200" i="1"/>
  <c r="M199" i="1" s="1"/>
  <c r="L200" i="1"/>
  <c r="X199" i="1"/>
  <c r="X198" i="1"/>
  <c r="V198" i="1"/>
  <c r="Y198" i="1" s="1"/>
  <c r="M198" i="1"/>
  <c r="L198" i="1"/>
  <c r="X197" i="1"/>
  <c r="AA197" i="1" s="1"/>
  <c r="V197" i="1"/>
  <c r="Y197" i="1" s="1"/>
  <c r="M197" i="1"/>
  <c r="L197" i="1"/>
  <c r="X196" i="1"/>
  <c r="V196" i="1"/>
  <c r="M196" i="1"/>
  <c r="AA196" i="1" s="1"/>
  <c r="L196" i="1"/>
  <c r="X195" i="1"/>
  <c r="AA195" i="1" s="1"/>
  <c r="V195" i="1"/>
  <c r="Y195" i="1" s="1"/>
  <c r="M195" i="1"/>
  <c r="L195" i="1"/>
  <c r="X194" i="1"/>
  <c r="V194" i="1"/>
  <c r="M194" i="1"/>
  <c r="L194" i="1"/>
  <c r="X193" i="1"/>
  <c r="X192" i="1" s="1"/>
  <c r="V193" i="1"/>
  <c r="V192" i="1" s="1"/>
  <c r="M193" i="1"/>
  <c r="M192" i="1" s="1"/>
  <c r="L193" i="1"/>
  <c r="X191" i="1"/>
  <c r="V191" i="1"/>
  <c r="Y191" i="1" s="1"/>
  <c r="M191" i="1"/>
  <c r="L191" i="1"/>
  <c r="X190" i="1"/>
  <c r="V190" i="1"/>
  <c r="Y190" i="1" s="1"/>
  <c r="M190" i="1"/>
  <c r="L190" i="1"/>
  <c r="X189" i="1"/>
  <c r="AA189" i="1" s="1"/>
  <c r="V189" i="1"/>
  <c r="M189" i="1"/>
  <c r="L189" i="1"/>
  <c r="X188" i="1"/>
  <c r="V188" i="1"/>
  <c r="M188" i="1"/>
  <c r="AA188" i="1" s="1"/>
  <c r="L188" i="1"/>
  <c r="X187" i="1"/>
  <c r="W187" i="1"/>
  <c r="V187" i="1"/>
  <c r="M187" i="1"/>
  <c r="L187" i="1"/>
  <c r="X186" i="1"/>
  <c r="W186" i="1" s="1"/>
  <c r="V186" i="1"/>
  <c r="V185" i="1" s="1"/>
  <c r="M186" i="1"/>
  <c r="M185" i="1" s="1"/>
  <c r="L186" i="1"/>
  <c r="X183" i="1"/>
  <c r="AA183" i="1" s="1"/>
  <c r="V183" i="1"/>
  <c r="Y183" i="1" s="1"/>
  <c r="M183" i="1"/>
  <c r="L183" i="1"/>
  <c r="X182" i="1"/>
  <c r="W182" i="1" s="1"/>
  <c r="V182" i="1"/>
  <c r="M182" i="1"/>
  <c r="Y182" i="1" s="1"/>
  <c r="L182" i="1"/>
  <c r="X181" i="1"/>
  <c r="V181" i="1"/>
  <c r="M181" i="1"/>
  <c r="Y181" i="1" s="1"/>
  <c r="L181" i="1"/>
  <c r="X180" i="1"/>
  <c r="W180" i="1"/>
  <c r="V180" i="1"/>
  <c r="M180" i="1"/>
  <c r="Y180" i="1" s="1"/>
  <c r="L180" i="1"/>
  <c r="X179" i="1"/>
  <c r="W179" i="1" s="1"/>
  <c r="V179" i="1"/>
  <c r="M179" i="1"/>
  <c r="L179" i="1"/>
  <c r="X178" i="1"/>
  <c r="X177" i="1" s="1"/>
  <c r="V178" i="1"/>
  <c r="Y178" i="1" s="1"/>
  <c r="Y177" i="1" s="1"/>
  <c r="M178" i="1"/>
  <c r="L178" i="1"/>
  <c r="V177" i="1"/>
  <c r="X176" i="1"/>
  <c r="V176" i="1"/>
  <c r="M176" i="1"/>
  <c r="Y176" i="1" s="1"/>
  <c r="L176" i="1"/>
  <c r="X175" i="1"/>
  <c r="AA175" i="1" s="1"/>
  <c r="V175" i="1"/>
  <c r="M175" i="1"/>
  <c r="L175" i="1"/>
  <c r="X174" i="1"/>
  <c r="V174" i="1"/>
  <c r="M174" i="1"/>
  <c r="L174" i="1"/>
  <c r="X173" i="1"/>
  <c r="W173" i="1" s="1"/>
  <c r="V173" i="1"/>
  <c r="M173" i="1"/>
  <c r="Y173" i="1" s="1"/>
  <c r="L173" i="1"/>
  <c r="X172" i="1"/>
  <c r="V172" i="1"/>
  <c r="Y172" i="1" s="1"/>
  <c r="M172" i="1"/>
  <c r="L172" i="1"/>
  <c r="Y171" i="1"/>
  <c r="X171" i="1"/>
  <c r="W171" i="1"/>
  <c r="W170" i="1" s="1"/>
  <c r="V171" i="1"/>
  <c r="V170" i="1" s="1"/>
  <c r="V169" i="1" s="1"/>
  <c r="M171" i="1"/>
  <c r="M170" i="1" s="1"/>
  <c r="L171" i="1"/>
  <c r="X170" i="1"/>
  <c r="X168" i="1"/>
  <c r="W168" i="1" s="1"/>
  <c r="V168" i="1"/>
  <c r="M168" i="1"/>
  <c r="Y168" i="1" s="1"/>
  <c r="L168" i="1"/>
  <c r="Y167" i="1"/>
  <c r="X167" i="1"/>
  <c r="V167" i="1"/>
  <c r="M167" i="1"/>
  <c r="AA167" i="1" s="1"/>
  <c r="L167" i="1"/>
  <c r="X166" i="1"/>
  <c r="V166" i="1"/>
  <c r="Y166" i="1" s="1"/>
  <c r="M166" i="1"/>
  <c r="L166" i="1"/>
  <c r="X165" i="1"/>
  <c r="V165" i="1"/>
  <c r="M165" i="1"/>
  <c r="L165" i="1"/>
  <c r="X164" i="1"/>
  <c r="V164" i="1"/>
  <c r="M164" i="1"/>
  <c r="L164" i="1"/>
  <c r="X163" i="1"/>
  <c r="X162" i="1" s="1"/>
  <c r="V163" i="1"/>
  <c r="V162" i="1" s="1"/>
  <c r="M163" i="1"/>
  <c r="M162" i="1" s="1"/>
  <c r="L163" i="1"/>
  <c r="X161" i="1"/>
  <c r="V161" i="1"/>
  <c r="M161" i="1"/>
  <c r="L161" i="1"/>
  <c r="X160" i="1"/>
  <c r="V160" i="1"/>
  <c r="M160" i="1"/>
  <c r="L160" i="1"/>
  <c r="X159" i="1"/>
  <c r="W159" i="1"/>
  <c r="Z159" i="1" s="1"/>
  <c r="V159" i="1"/>
  <c r="M159" i="1"/>
  <c r="Y159" i="1" s="1"/>
  <c r="L159" i="1"/>
  <c r="X158" i="1"/>
  <c r="V158" i="1"/>
  <c r="M158" i="1"/>
  <c r="AA158" i="1" s="1"/>
  <c r="L158" i="1"/>
  <c r="Z157" i="1"/>
  <c r="X157" i="1"/>
  <c r="W157" i="1" s="1"/>
  <c r="V157" i="1"/>
  <c r="M157" i="1"/>
  <c r="AA157" i="1" s="1"/>
  <c r="L157" i="1"/>
  <c r="X156" i="1"/>
  <c r="V156" i="1"/>
  <c r="M156" i="1"/>
  <c r="M155" i="1" s="1"/>
  <c r="L156" i="1"/>
  <c r="X154" i="1"/>
  <c r="V154" i="1"/>
  <c r="M154" i="1"/>
  <c r="Y154" i="1" s="1"/>
  <c r="L154" i="1"/>
  <c r="X153" i="1"/>
  <c r="W153" i="1" s="1"/>
  <c r="V153" i="1"/>
  <c r="M153" i="1"/>
  <c r="L153" i="1"/>
  <c r="X152" i="1"/>
  <c r="AA152" i="1" s="1"/>
  <c r="V152" i="1"/>
  <c r="M152" i="1"/>
  <c r="Y152" i="1" s="1"/>
  <c r="L152" i="1"/>
  <c r="X151" i="1"/>
  <c r="AA151" i="1" s="1"/>
  <c r="V151" i="1"/>
  <c r="M151" i="1"/>
  <c r="L151" i="1"/>
  <c r="X150" i="1"/>
  <c r="W150" i="1" s="1"/>
  <c r="Z150" i="1" s="1"/>
  <c r="V150" i="1"/>
  <c r="M150" i="1"/>
  <c r="Y150" i="1" s="1"/>
  <c r="L150" i="1"/>
  <c r="L148" i="1" s="1"/>
  <c r="Y149" i="1"/>
  <c r="X149" i="1"/>
  <c r="V149" i="1"/>
  <c r="V148" i="1" s="1"/>
  <c r="M149" i="1"/>
  <c r="AA149" i="1" s="1"/>
  <c r="L149" i="1"/>
  <c r="X148" i="1"/>
  <c r="M148" i="1"/>
  <c r="X147" i="1"/>
  <c r="V147" i="1"/>
  <c r="W147" i="1" s="1"/>
  <c r="Z147" i="1" s="1"/>
  <c r="M147" i="1"/>
  <c r="L147" i="1"/>
  <c r="X146" i="1"/>
  <c r="V146" i="1"/>
  <c r="Y146" i="1" s="1"/>
  <c r="M146" i="1"/>
  <c r="L146" i="1"/>
  <c r="X145" i="1"/>
  <c r="V145" i="1"/>
  <c r="M145" i="1"/>
  <c r="L145" i="1"/>
  <c r="X144" i="1"/>
  <c r="W144" i="1" s="1"/>
  <c r="Z144" i="1" s="1"/>
  <c r="V144" i="1"/>
  <c r="Y144" i="1" s="1"/>
  <c r="M144" i="1"/>
  <c r="L144" i="1"/>
  <c r="X143" i="1"/>
  <c r="V143" i="1"/>
  <c r="M143" i="1"/>
  <c r="L143" i="1"/>
  <c r="X142" i="1"/>
  <c r="V142" i="1"/>
  <c r="V141" i="1" s="1"/>
  <c r="M142" i="1"/>
  <c r="L142" i="1"/>
  <c r="L141" i="1" s="1"/>
  <c r="M141" i="1"/>
  <c r="X140" i="1"/>
  <c r="V140" i="1"/>
  <c r="Y140" i="1" s="1"/>
  <c r="M140" i="1"/>
  <c r="L140" i="1"/>
  <c r="X139" i="1"/>
  <c r="V139" i="1"/>
  <c r="Y139" i="1" s="1"/>
  <c r="M139" i="1"/>
  <c r="L139" i="1"/>
  <c r="X138" i="1"/>
  <c r="W138" i="1" s="1"/>
  <c r="Z138" i="1" s="1"/>
  <c r="V138" i="1"/>
  <c r="Y138" i="1" s="1"/>
  <c r="M138" i="1"/>
  <c r="L138" i="1"/>
  <c r="X137" i="1"/>
  <c r="V137" i="1"/>
  <c r="M137" i="1"/>
  <c r="L137" i="1"/>
  <c r="X136" i="1"/>
  <c r="V136" i="1"/>
  <c r="Y136" i="1" s="1"/>
  <c r="M136" i="1"/>
  <c r="L136" i="1"/>
  <c r="L134" i="1" s="1"/>
  <c r="X135" i="1"/>
  <c r="V135" i="1"/>
  <c r="V134" i="1" s="1"/>
  <c r="M135" i="1"/>
  <c r="M134" i="1" s="1"/>
  <c r="L135" i="1"/>
  <c r="X134" i="1"/>
  <c r="X132" i="1"/>
  <c r="W132" i="1"/>
  <c r="Z132" i="1" s="1"/>
  <c r="V132" i="1"/>
  <c r="M132" i="1"/>
  <c r="L132" i="1"/>
  <c r="AA131" i="1"/>
  <c r="X131" i="1"/>
  <c r="V131" i="1"/>
  <c r="M131" i="1"/>
  <c r="Y131" i="1" s="1"/>
  <c r="L131" i="1"/>
  <c r="X130" i="1"/>
  <c r="W130" i="1" s="1"/>
  <c r="Z130" i="1" s="1"/>
  <c r="V130" i="1"/>
  <c r="Y130" i="1" s="1"/>
  <c r="M130" i="1"/>
  <c r="L130" i="1"/>
  <c r="X129" i="1"/>
  <c r="W129" i="1" s="1"/>
  <c r="V129" i="1"/>
  <c r="M129" i="1"/>
  <c r="L129" i="1"/>
  <c r="X128" i="1"/>
  <c r="V128" i="1"/>
  <c r="M128" i="1"/>
  <c r="M127" i="1" s="1"/>
  <c r="L128" i="1"/>
  <c r="X127" i="1"/>
  <c r="Y126" i="1"/>
  <c r="X126" i="1"/>
  <c r="W126" i="1"/>
  <c r="Z126" i="1" s="1"/>
  <c r="V126" i="1"/>
  <c r="M126" i="1"/>
  <c r="L126" i="1"/>
  <c r="X125" i="1"/>
  <c r="V125" i="1"/>
  <c r="M125" i="1"/>
  <c r="L125" i="1"/>
  <c r="X124" i="1"/>
  <c r="AA124" i="1" s="1"/>
  <c r="V124" i="1"/>
  <c r="Y124" i="1" s="1"/>
  <c r="M124" i="1"/>
  <c r="L124" i="1"/>
  <c r="X123" i="1"/>
  <c r="W123" i="1"/>
  <c r="Z123" i="1" s="1"/>
  <c r="V123" i="1"/>
  <c r="M123" i="1"/>
  <c r="Y123" i="1" s="1"/>
  <c r="L123" i="1"/>
  <c r="X122" i="1"/>
  <c r="V122" i="1"/>
  <c r="M122" i="1"/>
  <c r="AA122" i="1" s="1"/>
  <c r="L122" i="1"/>
  <c r="AA121" i="1"/>
  <c r="X121" i="1"/>
  <c r="V121" i="1"/>
  <c r="Y121" i="1" s="1"/>
  <c r="M121" i="1"/>
  <c r="L121" i="1"/>
  <c r="X120" i="1"/>
  <c r="V120" i="1"/>
  <c r="M120" i="1"/>
  <c r="X119" i="1"/>
  <c r="AA119" i="1" s="1"/>
  <c r="V119" i="1"/>
  <c r="Y119" i="1" s="1"/>
  <c r="M119" i="1"/>
  <c r="L119" i="1"/>
  <c r="X118" i="1"/>
  <c r="W118" i="1" s="1"/>
  <c r="V118" i="1"/>
  <c r="M118" i="1"/>
  <c r="Y118" i="1" s="1"/>
  <c r="L118" i="1"/>
  <c r="X117" i="1"/>
  <c r="W117" i="1"/>
  <c r="Z117" i="1" s="1"/>
  <c r="V117" i="1"/>
  <c r="M117" i="1"/>
  <c r="L117" i="1"/>
  <c r="X116" i="1"/>
  <c r="V116" i="1"/>
  <c r="M116" i="1"/>
  <c r="AA116" i="1" s="1"/>
  <c r="L116" i="1"/>
  <c r="X115" i="1"/>
  <c r="AA115" i="1" s="1"/>
  <c r="V115" i="1"/>
  <c r="M115" i="1"/>
  <c r="L115" i="1"/>
  <c r="X114" i="1"/>
  <c r="V114" i="1"/>
  <c r="V113" i="1" s="1"/>
  <c r="M114" i="1"/>
  <c r="L114" i="1"/>
  <c r="M113" i="1"/>
  <c r="X112" i="1"/>
  <c r="V112" i="1"/>
  <c r="M112" i="1"/>
  <c r="L112" i="1"/>
  <c r="X111" i="1"/>
  <c r="V111" i="1"/>
  <c r="Y111" i="1" s="1"/>
  <c r="M111" i="1"/>
  <c r="L111" i="1"/>
  <c r="X110" i="1"/>
  <c r="AA110" i="1" s="1"/>
  <c r="V110" i="1"/>
  <c r="M110" i="1"/>
  <c r="L110" i="1"/>
  <c r="X109" i="1"/>
  <c r="V109" i="1"/>
  <c r="M109" i="1"/>
  <c r="L109" i="1"/>
  <c r="Y108" i="1"/>
  <c r="X108" i="1"/>
  <c r="V108" i="1"/>
  <c r="M108" i="1"/>
  <c r="L108" i="1"/>
  <c r="X107" i="1"/>
  <c r="W107" i="1" s="1"/>
  <c r="V107" i="1"/>
  <c r="M107" i="1"/>
  <c r="M106" i="1" s="1"/>
  <c r="L107" i="1"/>
  <c r="L106" i="1" s="1"/>
  <c r="Y105" i="1"/>
  <c r="X105" i="1"/>
  <c r="V105" i="1"/>
  <c r="M105" i="1"/>
  <c r="L105" i="1"/>
  <c r="X104" i="1"/>
  <c r="W104" i="1" s="1"/>
  <c r="V104" i="1"/>
  <c r="M104" i="1"/>
  <c r="L104" i="1"/>
  <c r="X103" i="1"/>
  <c r="V103" i="1"/>
  <c r="M103" i="1"/>
  <c r="Y103" i="1" s="1"/>
  <c r="L103" i="1"/>
  <c r="X102" i="1"/>
  <c r="V102" i="1"/>
  <c r="M102" i="1"/>
  <c r="L102" i="1"/>
  <c r="X101" i="1"/>
  <c r="W101" i="1" s="1"/>
  <c r="Z101" i="1" s="1"/>
  <c r="V101" i="1"/>
  <c r="M101" i="1"/>
  <c r="L101" i="1"/>
  <c r="X100" i="1"/>
  <c r="V100" i="1"/>
  <c r="M100" i="1"/>
  <c r="M99" i="1" s="1"/>
  <c r="L100" i="1"/>
  <c r="X98" i="1"/>
  <c r="W98" i="1" s="1"/>
  <c r="Z98" i="1" s="1"/>
  <c r="V98" i="1"/>
  <c r="M98" i="1"/>
  <c r="L98" i="1"/>
  <c r="X97" i="1"/>
  <c r="V97" i="1"/>
  <c r="M97" i="1"/>
  <c r="L97" i="1"/>
  <c r="X96" i="1"/>
  <c r="V96" i="1"/>
  <c r="Y96" i="1" s="1"/>
  <c r="M96" i="1"/>
  <c r="L96" i="1"/>
  <c r="X95" i="1"/>
  <c r="V95" i="1"/>
  <c r="M95" i="1"/>
  <c r="L95" i="1"/>
  <c r="X94" i="1"/>
  <c r="V94" i="1"/>
  <c r="Y94" i="1" s="1"/>
  <c r="M94" i="1"/>
  <c r="L94" i="1"/>
  <c r="X93" i="1"/>
  <c r="X92" i="1" s="1"/>
  <c r="V93" i="1"/>
  <c r="Y93" i="1" s="1"/>
  <c r="M93" i="1"/>
  <c r="M92" i="1" s="1"/>
  <c r="L93" i="1"/>
  <c r="X91" i="1"/>
  <c r="AA91" i="1" s="1"/>
  <c r="V91" i="1"/>
  <c r="Y91" i="1" s="1"/>
  <c r="M91" i="1"/>
  <c r="L91" i="1"/>
  <c r="X90" i="1"/>
  <c r="V90" i="1"/>
  <c r="Y90" i="1" s="1"/>
  <c r="M90" i="1"/>
  <c r="L90" i="1"/>
  <c r="X89" i="1"/>
  <c r="W89" i="1" s="1"/>
  <c r="V89" i="1"/>
  <c r="M89" i="1"/>
  <c r="Y89" i="1" s="1"/>
  <c r="L89" i="1"/>
  <c r="X88" i="1"/>
  <c r="AA88" i="1" s="1"/>
  <c r="V88" i="1"/>
  <c r="Y88" i="1" s="1"/>
  <c r="M88" i="1"/>
  <c r="L88" i="1"/>
  <c r="X87" i="1"/>
  <c r="V87" i="1"/>
  <c r="M87" i="1"/>
  <c r="Y87" i="1" s="1"/>
  <c r="L87" i="1"/>
  <c r="X86" i="1"/>
  <c r="AA86" i="1" s="1"/>
  <c r="V86" i="1"/>
  <c r="V85" i="1" s="1"/>
  <c r="M86" i="1"/>
  <c r="M85" i="1" s="1"/>
  <c r="L86" i="1"/>
  <c r="X85" i="1"/>
  <c r="X84" i="1"/>
  <c r="V84" i="1"/>
  <c r="M84" i="1"/>
  <c r="L84" i="1"/>
  <c r="X83" i="1"/>
  <c r="W83" i="1" s="1"/>
  <c r="Z83" i="1" s="1"/>
  <c r="V83" i="1"/>
  <c r="M83" i="1"/>
  <c r="L83" i="1"/>
  <c r="X82" i="1"/>
  <c r="AA82" i="1" s="1"/>
  <c r="V82" i="1"/>
  <c r="Y82" i="1" s="1"/>
  <c r="M82" i="1"/>
  <c r="L82" i="1"/>
  <c r="X81" i="1"/>
  <c r="V81" i="1"/>
  <c r="Y81" i="1" s="1"/>
  <c r="M81" i="1"/>
  <c r="L81" i="1"/>
  <c r="X80" i="1"/>
  <c r="W80" i="1" s="1"/>
  <c r="Z80" i="1" s="1"/>
  <c r="V80" i="1"/>
  <c r="M80" i="1"/>
  <c r="L80" i="1"/>
  <c r="X79" i="1"/>
  <c r="AA79" i="1" s="1"/>
  <c r="V79" i="1"/>
  <c r="Y79" i="1" s="1"/>
  <c r="M79" i="1"/>
  <c r="L79" i="1"/>
  <c r="X78" i="1"/>
  <c r="V78" i="1"/>
  <c r="Y78" i="1" s="1"/>
  <c r="M78" i="1"/>
  <c r="L78" i="1"/>
  <c r="X77" i="1"/>
  <c r="X76" i="1" s="1"/>
  <c r="V77" i="1"/>
  <c r="V76" i="1" s="1"/>
  <c r="M77" i="1"/>
  <c r="M76" i="1" s="1"/>
  <c r="L77" i="1"/>
  <c r="X74" i="1"/>
  <c r="W74" i="1" s="1"/>
  <c r="Z74" i="1" s="1"/>
  <c r="V74" i="1"/>
  <c r="M74" i="1"/>
  <c r="L74" i="1"/>
  <c r="X73" i="1"/>
  <c r="V73" i="1"/>
  <c r="M73" i="1"/>
  <c r="L73" i="1"/>
  <c r="X72" i="1"/>
  <c r="V72" i="1"/>
  <c r="M72" i="1"/>
  <c r="L72" i="1"/>
  <c r="X71" i="1"/>
  <c r="W71" i="1" s="1"/>
  <c r="Z71" i="1" s="1"/>
  <c r="V71" i="1"/>
  <c r="Y71" i="1" s="1"/>
  <c r="M71" i="1"/>
  <c r="L71" i="1"/>
  <c r="X70" i="1"/>
  <c r="V70" i="1"/>
  <c r="M70" i="1"/>
  <c r="L70" i="1"/>
  <c r="Y69" i="1"/>
  <c r="X69" i="1"/>
  <c r="X68" i="1" s="1"/>
  <c r="V69" i="1"/>
  <c r="V68" i="1" s="1"/>
  <c r="M69" i="1"/>
  <c r="L69" i="1"/>
  <c r="M68" i="1"/>
  <c r="X67" i="1"/>
  <c r="AA67" i="1" s="1"/>
  <c r="V67" i="1"/>
  <c r="Y67" i="1" s="1"/>
  <c r="M67" i="1"/>
  <c r="L67" i="1"/>
  <c r="X66" i="1"/>
  <c r="V66" i="1"/>
  <c r="M66" i="1"/>
  <c r="L66" i="1"/>
  <c r="X65" i="1"/>
  <c r="V65" i="1"/>
  <c r="M65" i="1"/>
  <c r="L65" i="1"/>
  <c r="X64" i="1"/>
  <c r="AA64" i="1" s="1"/>
  <c r="V64" i="1"/>
  <c r="Y64" i="1" s="1"/>
  <c r="M64" i="1"/>
  <c r="L64" i="1"/>
  <c r="L61" i="1" s="1"/>
  <c r="X63" i="1"/>
  <c r="V63" i="1"/>
  <c r="M63" i="1"/>
  <c r="L63" i="1"/>
  <c r="X62" i="1"/>
  <c r="V62" i="1"/>
  <c r="Y62" i="1" s="1"/>
  <c r="M62" i="1"/>
  <c r="M61" i="1" s="1"/>
  <c r="L62" i="1"/>
  <c r="V61" i="1"/>
  <c r="X60" i="1"/>
  <c r="V60" i="1"/>
  <c r="Y60" i="1" s="1"/>
  <c r="M60" i="1"/>
  <c r="L60" i="1"/>
  <c r="X59" i="1"/>
  <c r="AA59" i="1" s="1"/>
  <c r="V59" i="1"/>
  <c r="M59" i="1"/>
  <c r="L59" i="1"/>
  <c r="X58" i="1"/>
  <c r="V58" i="1"/>
  <c r="M58" i="1"/>
  <c r="L58" i="1"/>
  <c r="X57" i="1"/>
  <c r="V57" i="1"/>
  <c r="Y57" i="1" s="1"/>
  <c r="M57" i="1"/>
  <c r="L57" i="1"/>
  <c r="X56" i="1"/>
  <c r="V56" i="1"/>
  <c r="M56" i="1"/>
  <c r="Y56" i="1" s="1"/>
  <c r="L56" i="1"/>
  <c r="X55" i="1"/>
  <c r="V55" i="1"/>
  <c r="M55" i="1"/>
  <c r="M54" i="1" s="1"/>
  <c r="L55" i="1"/>
  <c r="X53" i="1"/>
  <c r="W53" i="1" s="1"/>
  <c r="Z53" i="1" s="1"/>
  <c r="V53" i="1"/>
  <c r="Y53" i="1" s="1"/>
  <c r="M53" i="1"/>
  <c r="L53" i="1"/>
  <c r="X52" i="1"/>
  <c r="V52" i="1"/>
  <c r="M52" i="1"/>
  <c r="L52" i="1"/>
  <c r="X51" i="1"/>
  <c r="V51" i="1"/>
  <c r="Y51" i="1" s="1"/>
  <c r="M51" i="1"/>
  <c r="L51" i="1"/>
  <c r="X50" i="1"/>
  <c r="V50" i="1"/>
  <c r="M50" i="1"/>
  <c r="L50" i="1"/>
  <c r="X49" i="1"/>
  <c r="V49" i="1"/>
  <c r="M49" i="1"/>
  <c r="L49" i="1"/>
  <c r="X48" i="1"/>
  <c r="X47" i="1" s="1"/>
  <c r="V48" i="1"/>
  <c r="Y48" i="1" s="1"/>
  <c r="M48" i="1"/>
  <c r="L48" i="1"/>
  <c r="L47" i="1" s="1"/>
  <c r="M47" i="1"/>
  <c r="X46" i="1"/>
  <c r="AA46" i="1" s="1"/>
  <c r="V46" i="1"/>
  <c r="Y46" i="1" s="1"/>
  <c r="M46" i="1"/>
  <c r="L46" i="1"/>
  <c r="X45" i="1"/>
  <c r="V45" i="1"/>
  <c r="Y45" i="1" s="1"/>
  <c r="M45" i="1"/>
  <c r="L45" i="1"/>
  <c r="X44" i="1"/>
  <c r="W44" i="1" s="1"/>
  <c r="V44" i="1"/>
  <c r="M44" i="1"/>
  <c r="L44" i="1"/>
  <c r="X43" i="1"/>
  <c r="AA43" i="1" s="1"/>
  <c r="V43" i="1"/>
  <c r="Y43" i="1" s="1"/>
  <c r="M43" i="1"/>
  <c r="L43" i="1"/>
  <c r="X42" i="1"/>
  <c r="V42" i="1"/>
  <c r="Y42" i="1" s="1"/>
  <c r="M42" i="1"/>
  <c r="L42" i="1"/>
  <c r="X41" i="1"/>
  <c r="V41" i="1"/>
  <c r="Y41" i="1" s="1"/>
  <c r="M41" i="1"/>
  <c r="L41" i="1"/>
  <c r="X40" i="1"/>
  <c r="AA40" i="1" s="1"/>
  <c r="V40" i="1"/>
  <c r="M40" i="1"/>
  <c r="L40" i="1"/>
  <c r="X39" i="1"/>
  <c r="X38" i="1" s="1"/>
  <c r="V39" i="1"/>
  <c r="M39" i="1"/>
  <c r="M38" i="1" s="1"/>
  <c r="L39" i="1"/>
  <c r="X37" i="1"/>
  <c r="AA37" i="1" s="1"/>
  <c r="V37" i="1"/>
  <c r="Y37" i="1" s="1"/>
  <c r="M37" i="1"/>
  <c r="L37" i="1"/>
  <c r="X36" i="1"/>
  <c r="V36" i="1"/>
  <c r="M36" i="1"/>
  <c r="L36" i="1"/>
  <c r="X35" i="1"/>
  <c r="V35" i="1"/>
  <c r="M35" i="1"/>
  <c r="L35" i="1"/>
  <c r="X34" i="1"/>
  <c r="V34" i="1"/>
  <c r="M34" i="1"/>
  <c r="L34" i="1"/>
  <c r="X33" i="1"/>
  <c r="V33" i="1"/>
  <c r="Y33" i="1" s="1"/>
  <c r="M33" i="1"/>
  <c r="L33" i="1"/>
  <c r="X32" i="1"/>
  <c r="V32" i="1"/>
  <c r="Y32" i="1" s="1"/>
  <c r="M32" i="1"/>
  <c r="L32" i="1"/>
  <c r="L29" i="1" s="1"/>
  <c r="X31" i="1"/>
  <c r="V31" i="1"/>
  <c r="Y31" i="1" s="1"/>
  <c r="M31" i="1"/>
  <c r="L31" i="1"/>
  <c r="X30" i="1"/>
  <c r="AA30" i="1" s="1"/>
  <c r="V30" i="1"/>
  <c r="V29" i="1" s="1"/>
  <c r="M30" i="1"/>
  <c r="M29" i="1" s="1"/>
  <c r="L30" i="1"/>
  <c r="X29" i="1"/>
  <c r="X28" i="1"/>
  <c r="W28" i="1"/>
  <c r="Z28" i="1" s="1"/>
  <c r="V28" i="1"/>
  <c r="M28" i="1"/>
  <c r="L28" i="1"/>
  <c r="X27" i="1"/>
  <c r="V27" i="1"/>
  <c r="M27" i="1"/>
  <c r="AA27" i="1" s="1"/>
  <c r="L27" i="1"/>
  <c r="X26" i="1"/>
  <c r="AA26" i="1" s="1"/>
  <c r="V26" i="1"/>
  <c r="Y26" i="1" s="1"/>
  <c r="M26" i="1"/>
  <c r="L26" i="1"/>
  <c r="Y25" i="1"/>
  <c r="X25" i="1"/>
  <c r="V25" i="1"/>
  <c r="W25" i="1" s="1"/>
  <c r="Z25" i="1" s="1"/>
  <c r="M25" i="1"/>
  <c r="L25" i="1"/>
  <c r="X24" i="1"/>
  <c r="AA24" i="1" s="1"/>
  <c r="V24" i="1"/>
  <c r="Y24" i="1" s="1"/>
  <c r="L24" i="1"/>
  <c r="X23" i="1"/>
  <c r="X22" i="1" s="1"/>
  <c r="V23" i="1"/>
  <c r="Y23" i="1" s="1"/>
  <c r="M23" i="1"/>
  <c r="M22" i="1" s="1"/>
  <c r="L23" i="1"/>
  <c r="Y17" i="1"/>
  <c r="Y15" i="1" s="1"/>
  <c r="Y14" i="1" s="1"/>
  <c r="Y13" i="1" s="1"/>
  <c r="Y12" i="1" s="1"/>
  <c r="Y11" i="1" s="1"/>
  <c r="X17" i="1"/>
  <c r="W17" i="1" s="1"/>
  <c r="Z17" i="1" s="1"/>
  <c r="V17" i="1"/>
  <c r="L17" i="1"/>
  <c r="X16" i="1"/>
  <c r="AA16" i="1" s="1"/>
  <c r="V16" i="1"/>
  <c r="Y16" i="1" s="1"/>
  <c r="L16" i="1"/>
  <c r="V15" i="1"/>
  <c r="V14" i="1" s="1"/>
  <c r="V13" i="1" s="1"/>
  <c r="V12" i="1" s="1"/>
  <c r="M15" i="1"/>
  <c r="M14" i="1"/>
  <c r="M13" i="1" s="1"/>
  <c r="M12" i="1" s="1"/>
  <c r="M11" i="1" s="1"/>
  <c r="AA10" i="1"/>
  <c r="Y10" i="1"/>
  <c r="W10" i="1"/>
  <c r="AA9" i="1"/>
  <c r="Y9" i="1"/>
  <c r="Y8" i="1" s="1"/>
  <c r="Y7" i="1" s="1"/>
  <c r="Y6" i="1" s="1"/>
  <c r="Y5" i="1" s="1"/>
  <c r="Y4" i="1" s="1"/>
  <c r="W9" i="1"/>
  <c r="AA8" i="1"/>
  <c r="AA7" i="1" s="1"/>
  <c r="AA6" i="1" s="1"/>
  <c r="AA5" i="1" s="1"/>
  <c r="AA4" i="1" s="1"/>
  <c r="Z8" i="1"/>
  <c r="Z7" i="1" s="1"/>
  <c r="Z6" i="1" s="1"/>
  <c r="Z5" i="1" s="1"/>
  <c r="Z4" i="1" s="1"/>
  <c r="L8" i="1"/>
  <c r="X4" i="1"/>
  <c r="W4" i="1"/>
  <c r="V4" i="1"/>
  <c r="M4" i="1"/>
  <c r="L4" i="1"/>
  <c r="AA15" i="1" l="1"/>
  <c r="AA14" i="1" s="1"/>
  <c r="AA13" i="1" s="1"/>
  <c r="AA12" i="1" s="1"/>
  <c r="AA11" i="1" s="1"/>
  <c r="Y35" i="1"/>
  <c r="AA329" i="1"/>
  <c r="W329" i="1"/>
  <c r="Z329" i="1" s="1"/>
  <c r="W668" i="1"/>
  <c r="Z668" i="1" s="1"/>
  <c r="AA668" i="1"/>
  <c r="AA35" i="1"/>
  <c r="Y39" i="1"/>
  <c r="AA55" i="1"/>
  <c r="Y58" i="1"/>
  <c r="Y74" i="1"/>
  <c r="Y68" i="1" s="1"/>
  <c r="Y84" i="1"/>
  <c r="AA94" i="1"/>
  <c r="Y97" i="1"/>
  <c r="Y132" i="1"/>
  <c r="X169" i="1"/>
  <c r="W264" i="1"/>
  <c r="V275" i="1"/>
  <c r="Y277" i="1"/>
  <c r="Y352" i="1"/>
  <c r="W600" i="1"/>
  <c r="Z600" i="1" s="1"/>
  <c r="AA600" i="1"/>
  <c r="Y449" i="1"/>
  <c r="Y448" i="1" s="1"/>
  <c r="V448" i="1"/>
  <c r="L22" i="1"/>
  <c r="AA690" i="1"/>
  <c r="W690" i="1"/>
  <c r="Z690" i="1" s="1"/>
  <c r="AA17" i="1"/>
  <c r="Y30" i="1"/>
  <c r="AA58" i="1"/>
  <c r="Y65" i="1"/>
  <c r="L76" i="1"/>
  <c r="W106" i="1"/>
  <c r="Z107" i="1"/>
  <c r="AA142" i="1"/>
  <c r="Z168" i="1"/>
  <c r="W243" i="1"/>
  <c r="Z243" i="1" s="1"/>
  <c r="AA352" i="1"/>
  <c r="AA355" i="1"/>
  <c r="AA383" i="1"/>
  <c r="W383" i="1"/>
  <c r="Z383" i="1" s="1"/>
  <c r="L601" i="1"/>
  <c r="Z626" i="1"/>
  <c r="AA664" i="1"/>
  <c r="W664" i="1"/>
  <c r="Z664" i="1" s="1"/>
  <c r="Y27" i="1"/>
  <c r="L68" i="1"/>
  <c r="L21" i="1" s="1"/>
  <c r="L113" i="1"/>
  <c r="AA418" i="1"/>
  <c r="AA582" i="1"/>
  <c r="Y582" i="1"/>
  <c r="W683" i="1"/>
  <c r="Z683" i="1" s="1"/>
  <c r="AA683" i="1"/>
  <c r="W298" i="1"/>
  <c r="Z298" i="1" s="1"/>
  <c r="AA298" i="1"/>
  <c r="X15" i="1"/>
  <c r="X14" i="1" s="1"/>
  <c r="X13" i="1" s="1"/>
  <c r="X12" i="1" s="1"/>
  <c r="V22" i="1"/>
  <c r="Y49" i="1"/>
  <c r="W62" i="1"/>
  <c r="Z62" i="1" s="1"/>
  <c r="W65" i="1"/>
  <c r="Z65" i="1" s="1"/>
  <c r="L85" i="1"/>
  <c r="Z104" i="1"/>
  <c r="Y117" i="1"/>
  <c r="AA139" i="1"/>
  <c r="AA143" i="1"/>
  <c r="Y145" i="1"/>
  <c r="Y153" i="1"/>
  <c r="L170" i="1"/>
  <c r="L169" i="1" s="1"/>
  <c r="Y179" i="1"/>
  <c r="Y193" i="1"/>
  <c r="W261" i="1"/>
  <c r="Z261" i="1" s="1"/>
  <c r="L324" i="1"/>
  <c r="L323" i="1" s="1"/>
  <c r="AA428" i="1"/>
  <c r="W428" i="1"/>
  <c r="W440" i="1"/>
  <c r="Z440" i="1" s="1"/>
  <c r="Z544" i="1"/>
  <c r="W688" i="1"/>
  <c r="Z688" i="1" s="1"/>
  <c r="AA688" i="1"/>
  <c r="L38" i="1"/>
  <c r="W661" i="1"/>
  <c r="Z661" i="1" s="1"/>
  <c r="AA661" i="1"/>
  <c r="AA33" i="1"/>
  <c r="Y36" i="1"/>
  <c r="AA49" i="1"/>
  <c r="Y52" i="1"/>
  <c r="W16" i="1"/>
  <c r="W15" i="1" s="1"/>
  <c r="W14" i="1" s="1"/>
  <c r="W13" i="1" s="1"/>
  <c r="W12" i="1" s="1"/>
  <c r="W11" i="1" s="1"/>
  <c r="M21" i="1"/>
  <c r="Y28" i="1"/>
  <c r="AA95" i="1"/>
  <c r="Y102" i="1"/>
  <c r="Y114" i="1"/>
  <c r="Y125" i="1"/>
  <c r="Z153" i="1"/>
  <c r="Z173" i="1"/>
  <c r="Z179" i="1"/>
  <c r="Z211" i="1"/>
  <c r="AA288" i="1"/>
  <c r="M311" i="1"/>
  <c r="Z416" i="1"/>
  <c r="Y431" i="1"/>
  <c r="Y460" i="1"/>
  <c r="AA477" i="1"/>
  <c r="W477" i="1"/>
  <c r="W476" i="1" s="1"/>
  <c r="AA620" i="1"/>
  <c r="W620" i="1"/>
  <c r="Z620" i="1" s="1"/>
  <c r="Z656" i="1"/>
  <c r="Z44" i="1"/>
  <c r="M75" i="1"/>
  <c r="L92" i="1"/>
  <c r="Y122" i="1"/>
  <c r="Z182" i="1"/>
  <c r="Z187" i="1"/>
  <c r="AA233" i="1"/>
  <c r="V287" i="1"/>
  <c r="W308" i="1"/>
  <c r="AA360" i="1"/>
  <c r="X380" i="1"/>
  <c r="W381" i="1"/>
  <c r="Z381" i="1" s="1"/>
  <c r="W460" i="1"/>
  <c r="Z460" i="1" s="1"/>
  <c r="AA460" i="1"/>
  <c r="L592" i="1"/>
  <c r="Y684" i="1"/>
  <c r="Y708" i="1"/>
  <c r="W708" i="1"/>
  <c r="V707" i="1"/>
  <c r="V685" i="1" s="1"/>
  <c r="W31" i="1"/>
  <c r="Z31" i="1" s="1"/>
  <c r="Y34" i="1"/>
  <c r="Y50" i="1"/>
  <c r="Y63" i="1"/>
  <c r="Y66" i="1"/>
  <c r="Y80" i="1"/>
  <c r="Y83" i="1"/>
  <c r="W125" i="1"/>
  <c r="AA173" i="1"/>
  <c r="Z340" i="1"/>
  <c r="L448" i="1"/>
  <c r="AA451" i="1"/>
  <c r="M562" i="1"/>
  <c r="Y563" i="1"/>
  <c r="Y562" i="1" s="1"/>
  <c r="Z589" i="1"/>
  <c r="AA528" i="1"/>
  <c r="W528" i="1"/>
  <c r="Z528" i="1" s="1"/>
  <c r="W32" i="1"/>
  <c r="Z32" i="1" s="1"/>
  <c r="Y55" i="1"/>
  <c r="Y54" i="1" s="1"/>
  <c r="W23" i="1"/>
  <c r="W22" i="1" s="1"/>
  <c r="AA23" i="1"/>
  <c r="W34" i="1"/>
  <c r="Z34" i="1" s="1"/>
  <c r="AA50" i="1"/>
  <c r="AA77" i="1"/>
  <c r="Z89" i="1"/>
  <c r="L99" i="1"/>
  <c r="Y115" i="1"/>
  <c r="AA125" i="1"/>
  <c r="AA137" i="1"/>
  <c r="AA160" i="1"/>
  <c r="W291" i="1"/>
  <c r="Z291" i="1" s="1"/>
  <c r="W395" i="1"/>
  <c r="Z395" i="1" s="1"/>
  <c r="X398" i="1"/>
  <c r="W399" i="1"/>
  <c r="X420" i="1"/>
  <c r="L583" i="1"/>
  <c r="W641" i="1"/>
  <c r="Z641" i="1" s="1"/>
  <c r="AA641" i="1"/>
  <c r="AA645" i="1"/>
  <c r="AA705" i="1"/>
  <c r="W705" i="1"/>
  <c r="Z705" i="1" s="1"/>
  <c r="AA41" i="1"/>
  <c r="Y44" i="1"/>
  <c r="L54" i="1"/>
  <c r="Y70" i="1"/>
  <c r="Y73" i="1"/>
  <c r="Y100" i="1"/>
  <c r="Y109" i="1"/>
  <c r="W112" i="1"/>
  <c r="Z112" i="1" s="1"/>
  <c r="Y112" i="1"/>
  <c r="Y120" i="1"/>
  <c r="W135" i="1"/>
  <c r="W134" i="1" s="1"/>
  <c r="X141" i="1"/>
  <c r="Y158" i="1"/>
  <c r="Y161" i="1"/>
  <c r="Y165" i="1"/>
  <c r="L177" i="1"/>
  <c r="Y341" i="1"/>
  <c r="L368" i="1"/>
  <c r="V509" i="1"/>
  <c r="AA70" i="1"/>
  <c r="AA73" i="1"/>
  <c r="AA100" i="1"/>
  <c r="AA103" i="1"/>
  <c r="AA109" i="1"/>
  <c r="AA112" i="1"/>
  <c r="Z118" i="1"/>
  <c r="Y135" i="1"/>
  <c r="Y147" i="1"/>
  <c r="W165" i="1"/>
  <c r="Z165" i="1" s="1"/>
  <c r="Z279" i="1"/>
  <c r="X491" i="1"/>
  <c r="W492" i="1"/>
  <c r="Z553" i="1"/>
  <c r="Z639" i="1"/>
  <c r="Y738" i="1"/>
  <c r="V737" i="1"/>
  <c r="W879" i="1"/>
  <c r="Z879" i="1" s="1"/>
  <c r="AA879" i="1"/>
  <c r="Z897" i="1"/>
  <c r="W203" i="1"/>
  <c r="Z203" i="1" s="1"/>
  <c r="V206" i="1"/>
  <c r="L206" i="1"/>
  <c r="Y217" i="1"/>
  <c r="M220" i="1"/>
  <c r="L251" i="1"/>
  <c r="Y255" i="1"/>
  <c r="W273" i="1"/>
  <c r="Z273" i="1" s="1"/>
  <c r="W282" i="1"/>
  <c r="Z282" i="1" s="1"/>
  <c r="W296" i="1"/>
  <c r="Z296" i="1" s="1"/>
  <c r="V305" i="1"/>
  <c r="Y320" i="1"/>
  <c r="AA327" i="1"/>
  <c r="Y343" i="1"/>
  <c r="Y358" i="1"/>
  <c r="W389" i="1"/>
  <c r="M405" i="1"/>
  <c r="M404" i="1" s="1"/>
  <c r="Y421" i="1"/>
  <c r="Y446" i="1"/>
  <c r="Y466" i="1"/>
  <c r="Y475" i="1"/>
  <c r="Y478" i="1"/>
  <c r="Y476" i="1" s="1"/>
  <c r="X509" i="1"/>
  <c r="Y529" i="1"/>
  <c r="Y536" i="1"/>
  <c r="Y544" i="1"/>
  <c r="W547" i="1"/>
  <c r="Z547" i="1" s="1"/>
  <c r="AA553" i="1"/>
  <c r="X570" i="1"/>
  <c r="X569" i="1" s="1"/>
  <c r="X568" i="1" s="1"/>
  <c r="W579" i="1"/>
  <c r="Z579" i="1" s="1"/>
  <c r="Y585" i="1"/>
  <c r="AA612" i="1"/>
  <c r="W618" i="1"/>
  <c r="Z618" i="1" s="1"/>
  <c r="W624" i="1"/>
  <c r="Z624" i="1" s="1"/>
  <c r="AA626" i="1"/>
  <c r="AA639" i="1"/>
  <c r="Y691" i="1"/>
  <c r="AA711" i="1"/>
  <c r="W711" i="1"/>
  <c r="Z711" i="1" s="1"/>
  <c r="AA724" i="1"/>
  <c r="W724" i="1"/>
  <c r="Z724" i="1" s="1"/>
  <c r="Y730" i="1"/>
  <c r="Y729" i="1" s="1"/>
  <c r="AA766" i="1"/>
  <c r="X765" i="1"/>
  <c r="W919" i="1"/>
  <c r="Z919" i="1" s="1"/>
  <c r="X914" i="1"/>
  <c r="M932" i="1"/>
  <c r="AA933" i="1"/>
  <c r="Y933" i="1"/>
  <c r="L500" i="1"/>
  <c r="L509" i="1"/>
  <c r="Z512" i="1"/>
  <c r="Z518" i="1"/>
  <c r="X525" i="1"/>
  <c r="Z577" i="1"/>
  <c r="Z582" i="1"/>
  <c r="Z610" i="1"/>
  <c r="AA659" i="1"/>
  <c r="AA684" i="1"/>
  <c r="W684" i="1"/>
  <c r="Z684" i="1" s="1"/>
  <c r="Z691" i="1"/>
  <c r="AA697" i="1"/>
  <c r="W697" i="1"/>
  <c r="Z697" i="1" s="1"/>
  <c r="W703" i="1"/>
  <c r="Z703" i="1" s="1"/>
  <c r="AA703" i="1"/>
  <c r="AA840" i="1"/>
  <c r="W840" i="1"/>
  <c r="Z840" i="1" s="1"/>
  <c r="Y1019" i="1"/>
  <c r="W1043" i="1"/>
  <c r="Z1044" i="1"/>
  <c r="Z1043" i="1" s="1"/>
  <c r="W176" i="1"/>
  <c r="Z176" i="1" s="1"/>
  <c r="Y187" i="1"/>
  <c r="AA198" i="1"/>
  <c r="AA203" i="1"/>
  <c r="Y209" i="1"/>
  <c r="X220" i="1"/>
  <c r="W229" i="1"/>
  <c r="Z229" i="1" s="1"/>
  <c r="V237" i="1"/>
  <c r="AA247" i="1"/>
  <c r="AA259" i="1"/>
  <c r="AA265" i="1"/>
  <c r="L263" i="1"/>
  <c r="W277" i="1"/>
  <c r="Z277" i="1" s="1"/>
  <c r="L281" i="1"/>
  <c r="W285" i="1"/>
  <c r="Z285" i="1" s="1"/>
  <c r="X299" i="1"/>
  <c r="Y306" i="1"/>
  <c r="W320" i="1"/>
  <c r="Z320" i="1" s="1"/>
  <c r="L344" i="1"/>
  <c r="Y361" i="1"/>
  <c r="AA378" i="1"/>
  <c r="Y382" i="1"/>
  <c r="AA384" i="1"/>
  <c r="AA393" i="1"/>
  <c r="W407" i="1"/>
  <c r="L413" i="1"/>
  <c r="W426" i="1"/>
  <c r="Z426" i="1" s="1"/>
  <c r="AA429" i="1"/>
  <c r="Y432" i="1"/>
  <c r="V441" i="1"/>
  <c r="L441" i="1"/>
  <c r="Y452" i="1"/>
  <c r="X455" i="1"/>
  <c r="W481" i="1"/>
  <c r="Z481" i="1" s="1"/>
  <c r="W486" i="1"/>
  <c r="W485" i="1" s="1"/>
  <c r="Y490" i="1"/>
  <c r="Y489" i="1" s="1"/>
  <c r="AA518" i="1"/>
  <c r="AA544" i="1"/>
  <c r="AA577" i="1"/>
  <c r="X576" i="1"/>
  <c r="AA585" i="1"/>
  <c r="Y590" i="1"/>
  <c r="W593" i="1"/>
  <c r="AA607" i="1"/>
  <c r="AA610" i="1"/>
  <c r="Y619" i="1"/>
  <c r="W621" i="1"/>
  <c r="Z621" i="1" s="1"/>
  <c r="Z636" i="1"/>
  <c r="W662" i="1"/>
  <c r="Z662" i="1" s="1"/>
  <c r="Y669" i="1"/>
  <c r="V672" i="1"/>
  <c r="W674" i="1"/>
  <c r="AA691" i="1"/>
  <c r="AA717" i="1"/>
  <c r="W717" i="1"/>
  <c r="Z717" i="1" s="1"/>
  <c r="AA739" i="1"/>
  <c r="W739" i="1"/>
  <c r="Z739" i="1" s="1"/>
  <c r="W819" i="1"/>
  <c r="Z819" i="1" s="1"/>
  <c r="Y977" i="1"/>
  <c r="W977" i="1"/>
  <c r="Z977" i="1" s="1"/>
  <c r="AA209" i="1"/>
  <c r="Z253" i="1"/>
  <c r="Z309" i="1"/>
  <c r="L311" i="1"/>
  <c r="Z341" i="1"/>
  <c r="L427" i="1"/>
  <c r="AA432" i="1"/>
  <c r="AA438" i="1"/>
  <c r="AA490" i="1"/>
  <c r="AA489" i="1" s="1"/>
  <c r="V500" i="1"/>
  <c r="AA512" i="1"/>
  <c r="AA536" i="1"/>
  <c r="Y593" i="1"/>
  <c r="Z646" i="1"/>
  <c r="L651" i="1"/>
  <c r="Z682" i="1"/>
  <c r="Z701" i="1"/>
  <c r="AA720" i="1"/>
  <c r="W720" i="1"/>
  <c r="Z720" i="1" s="1"/>
  <c r="X744" i="1"/>
  <c r="AA745" i="1"/>
  <c r="W745" i="1"/>
  <c r="AA873" i="1"/>
  <c r="W873" i="1"/>
  <c r="Z873" i="1" s="1"/>
  <c r="W207" i="1"/>
  <c r="Y223" i="1"/>
  <c r="M227" i="1"/>
  <c r="W247" i="1"/>
  <c r="Z247" i="1" s="1"/>
  <c r="Z250" i="1"/>
  <c r="Y256" i="1"/>
  <c r="AA260" i="1"/>
  <c r="W265" i="1"/>
  <c r="Z265" i="1" s="1"/>
  <c r="Z268" i="1"/>
  <c r="Y274" i="1"/>
  <c r="Y283" i="1"/>
  <c r="Y297" i="1"/>
  <c r="AA301" i="1"/>
  <c r="L332" i="1"/>
  <c r="L338" i="1"/>
  <c r="V344" i="1"/>
  <c r="W347" i="1"/>
  <c r="Z347" i="1" s="1"/>
  <c r="L362" i="1"/>
  <c r="AA373" i="1"/>
  <c r="W376" i="1"/>
  <c r="Z376" i="1" s="1"/>
  <c r="Y400" i="1"/>
  <c r="AA430" i="1"/>
  <c r="Y447" i="1"/>
  <c r="Y464" i="1"/>
  <c r="Y473" i="1"/>
  <c r="Y479" i="1"/>
  <c r="Y504" i="1"/>
  <c r="W527" i="1"/>
  <c r="Z527" i="1" s="1"/>
  <c r="Y530" i="1"/>
  <c r="W542" i="1"/>
  <c r="W567" i="1"/>
  <c r="Y580" i="1"/>
  <c r="AA586" i="1"/>
  <c r="W599" i="1"/>
  <c r="Z599" i="1" s="1"/>
  <c r="W613" i="1"/>
  <c r="AA619" i="1"/>
  <c r="W619" i="1"/>
  <c r="Z619" i="1" s="1"/>
  <c r="AA625" i="1"/>
  <c r="L637" i="1"/>
  <c r="W640" i="1"/>
  <c r="Z640" i="1" s="1"/>
  <c r="Y660" i="1"/>
  <c r="W680" i="1"/>
  <c r="W679" i="1" s="1"/>
  <c r="AA682" i="1"/>
  <c r="Y695" i="1"/>
  <c r="Y693" i="1" s="1"/>
  <c r="L700" i="1"/>
  <c r="Y704" i="1"/>
  <c r="AA709" i="1"/>
  <c r="W712" i="1"/>
  <c r="Z712" i="1" s="1"/>
  <c r="M721" i="1"/>
  <c r="W770" i="1"/>
  <c r="Z770" i="1" s="1"/>
  <c r="W860" i="1"/>
  <c r="Z860" i="1" s="1"/>
  <c r="W901" i="1"/>
  <c r="Z901" i="1" s="1"/>
  <c r="W943" i="1"/>
  <c r="Z943" i="1" s="1"/>
  <c r="W156" i="1"/>
  <c r="L162" i="1"/>
  <c r="AA187" i="1"/>
  <c r="AA190" i="1"/>
  <c r="AA193" i="1"/>
  <c r="AA192" i="1" s="1"/>
  <c r="Y212" i="1"/>
  <c r="Y40" i="1"/>
  <c r="AA52" i="1"/>
  <c r="W56" i="1"/>
  <c r="Z56" i="1" s="1"/>
  <c r="Y59" i="1"/>
  <c r="AA97" i="1"/>
  <c r="Y107" i="1"/>
  <c r="Y137" i="1"/>
  <c r="AA140" i="1"/>
  <c r="Y143" i="1"/>
  <c r="AA145" i="1"/>
  <c r="L155" i="1"/>
  <c r="L133" i="1" s="1"/>
  <c r="L185" i="1"/>
  <c r="W218" i="1"/>
  <c r="Z218" i="1" s="1"/>
  <c r="AA223" i="1"/>
  <c r="Y241" i="1"/>
  <c r="Y260" i="1"/>
  <c r="AA286" i="1"/>
  <c r="W297" i="1"/>
  <c r="Z297" i="1" s="1"/>
  <c r="Y307" i="1"/>
  <c r="Y315" i="1"/>
  <c r="Y318" i="1"/>
  <c r="Y321" i="1"/>
  <c r="W335" i="1"/>
  <c r="Z335" i="1" s="1"/>
  <c r="W345" i="1"/>
  <c r="Z345" i="1" s="1"/>
  <c r="AA347" i="1"/>
  <c r="AA363" i="1"/>
  <c r="Y379" i="1"/>
  <c r="Y394" i="1"/>
  <c r="Y408" i="1"/>
  <c r="Y430" i="1"/>
  <c r="W447" i="1"/>
  <c r="Z447" i="1" s="1"/>
  <c r="Y456" i="1"/>
  <c r="V491" i="1"/>
  <c r="L516" i="1"/>
  <c r="L499" i="1" s="1"/>
  <c r="L498" i="1" s="1"/>
  <c r="L497" i="1" s="1"/>
  <c r="Z519" i="1"/>
  <c r="Z521" i="1"/>
  <c r="W530" i="1"/>
  <c r="Y549" i="1"/>
  <c r="Y552" i="1"/>
  <c r="Y561" i="1"/>
  <c r="Y560" i="1" s="1"/>
  <c r="W571" i="1"/>
  <c r="Y586" i="1"/>
  <c r="W588" i="1"/>
  <c r="Z588" i="1" s="1"/>
  <c r="Y591" i="1"/>
  <c r="AA640" i="1"/>
  <c r="Y643" i="1"/>
  <c r="W660" i="1"/>
  <c r="Z660" i="1" s="1"/>
  <c r="Y663" i="1"/>
  <c r="Y675" i="1"/>
  <c r="W677" i="1"/>
  <c r="AA680" i="1"/>
  <c r="M685" i="1"/>
  <c r="Y692" i="1"/>
  <c r="W695" i="1"/>
  <c r="Z695" i="1" s="1"/>
  <c r="L722" i="1"/>
  <c r="AA850" i="1"/>
  <c r="W850" i="1"/>
  <c r="Z850" i="1" s="1"/>
  <c r="AA947" i="1"/>
  <c r="Y975" i="1"/>
  <c r="Y218" i="1"/>
  <c r="L220" i="1"/>
  <c r="V362" i="1"/>
  <c r="AA504" i="1"/>
  <c r="AA632" i="1"/>
  <c r="W692" i="1"/>
  <c r="Z692" i="1" s="1"/>
  <c r="AA692" i="1"/>
  <c r="AA889" i="1"/>
  <c r="W889" i="1"/>
  <c r="Z889" i="1" s="1"/>
  <c r="L979" i="1"/>
  <c r="W1008" i="1"/>
  <c r="W1007" i="1" s="1"/>
  <c r="V1007" i="1"/>
  <c r="Y1008" i="1"/>
  <c r="Y72" i="1"/>
  <c r="Y95" i="1"/>
  <c r="Y98" i="1"/>
  <c r="Y110" i="1"/>
  <c r="Y116" i="1"/>
  <c r="W121" i="1"/>
  <c r="Y129" i="1"/>
  <c r="Y157" i="1"/>
  <c r="AA159" i="1"/>
  <c r="W166" i="1"/>
  <c r="Z166" i="1" s="1"/>
  <c r="Y175" i="1"/>
  <c r="AA178" i="1"/>
  <c r="AA177" i="1" s="1"/>
  <c r="Y188" i="1"/>
  <c r="Y194" i="1"/>
  <c r="Y202" i="1"/>
  <c r="L213" i="1"/>
  <c r="AA224" i="1"/>
  <c r="W239" i="1"/>
  <c r="Z239" i="1" s="1"/>
  <c r="L237" i="1"/>
  <c r="L236" i="1" s="1"/>
  <c r="L269" i="1"/>
  <c r="W280" i="1"/>
  <c r="Z280" i="1" s="1"/>
  <c r="W292" i="1"/>
  <c r="Z292" i="1" s="1"/>
  <c r="AA295" i="1"/>
  <c r="Y304" i="1"/>
  <c r="X338" i="1"/>
  <c r="W353" i="1"/>
  <c r="AA365" i="1"/>
  <c r="Y391" i="1"/>
  <c r="Y397" i="1"/>
  <c r="Y411" i="1"/>
  <c r="W417" i="1"/>
  <c r="Z417" i="1" s="1"/>
  <c r="W442" i="1"/>
  <c r="Y451" i="1"/>
  <c r="Y461" i="1"/>
  <c r="Y477" i="1"/>
  <c r="Y482" i="1"/>
  <c r="AA492" i="1"/>
  <c r="AA491" i="1" s="1"/>
  <c r="Y502" i="1"/>
  <c r="Z513" i="1"/>
  <c r="Y521" i="1"/>
  <c r="Y531" i="1"/>
  <c r="AA567" i="1"/>
  <c r="AA566" i="1" s="1"/>
  <c r="Y571" i="1"/>
  <c r="Y570" i="1" s="1"/>
  <c r="Y569" i="1" s="1"/>
  <c r="Y568" i="1" s="1"/>
  <c r="AA578" i="1"/>
  <c r="AA591" i="1"/>
  <c r="W594" i="1"/>
  <c r="Z594" i="1" s="1"/>
  <c r="Y641" i="1"/>
  <c r="AA652" i="1"/>
  <c r="AA657" i="1"/>
  <c r="W667" i="1"/>
  <c r="Z667" i="1" s="1"/>
  <c r="W670" i="1"/>
  <c r="Z670" i="1" s="1"/>
  <c r="AA670" i="1"/>
  <c r="AA675" i="1"/>
  <c r="AA687" i="1"/>
  <c r="Z702" i="1"/>
  <c r="Y710" i="1"/>
  <c r="AA718" i="1"/>
  <c r="M851" i="1"/>
  <c r="M796" i="1" s="1"/>
  <c r="M787" i="1" s="1"/>
  <c r="AA852" i="1"/>
  <c r="Y852" i="1"/>
  <c r="L1028" i="1"/>
  <c r="W175" i="1"/>
  <c r="Z175" i="1" s="1"/>
  <c r="AA214" i="1"/>
  <c r="AA216" i="1"/>
  <c r="AA221" i="1"/>
  <c r="L231" i="1"/>
  <c r="AA242" i="1"/>
  <c r="W290" i="1"/>
  <c r="Z290" i="1" s="1"/>
  <c r="Y308" i="1"/>
  <c r="Y305" i="1" s="1"/>
  <c r="Y319" i="1"/>
  <c r="Y317" i="1" s="1"/>
  <c r="X362" i="1"/>
  <c r="X374" i="1"/>
  <c r="AA411" i="1"/>
  <c r="V420" i="1"/>
  <c r="L434" i="1"/>
  <c r="Z502" i="1"/>
  <c r="AA508" i="1"/>
  <c r="M557" i="1"/>
  <c r="M556" i="1" s="1"/>
  <c r="M555" i="1" s="1"/>
  <c r="Y604" i="1"/>
  <c r="Z609" i="1"/>
  <c r="Z614" i="1"/>
  <c r="AA623" i="1"/>
  <c r="Y635" i="1"/>
  <c r="L644" i="1"/>
  <c r="Y647" i="1"/>
  <c r="Z655" i="1"/>
  <c r="L665" i="1"/>
  <c r="AA723" i="1"/>
  <c r="X722" i="1"/>
  <c r="X721" i="1" s="1"/>
  <c r="W723" i="1"/>
  <c r="AA726" i="1"/>
  <c r="W726" i="1"/>
  <c r="Z726" i="1" s="1"/>
  <c r="AA753" i="1"/>
  <c r="W753" i="1"/>
  <c r="Z753" i="1" s="1"/>
  <c r="Y967" i="1"/>
  <c r="W967" i="1"/>
  <c r="Z967" i="1" s="1"/>
  <c r="W985" i="1"/>
  <c r="Z985" i="1" s="1"/>
  <c r="Y985" i="1"/>
  <c r="Y160" i="1"/>
  <c r="Y164" i="1"/>
  <c r="W181" i="1"/>
  <c r="Z181" i="1" s="1"/>
  <c r="Y189" i="1"/>
  <c r="Y205" i="1"/>
  <c r="W219" i="1"/>
  <c r="Z219" i="1" s="1"/>
  <c r="W232" i="1"/>
  <c r="W231" i="1" s="1"/>
  <c r="X257" i="1"/>
  <c r="W322" i="1"/>
  <c r="Y340" i="1"/>
  <c r="Y354" i="1"/>
  <c r="W371" i="1"/>
  <c r="Z371" i="1" s="1"/>
  <c r="X392" i="1"/>
  <c r="AA412" i="1"/>
  <c r="L420" i="1"/>
  <c r="Y428" i="1"/>
  <c r="Y440" i="1"/>
  <c r="Y553" i="1"/>
  <c r="L576" i="1"/>
  <c r="Y589" i="1"/>
  <c r="Y595" i="1"/>
  <c r="W604" i="1"/>
  <c r="Z604" i="1" s="1"/>
  <c r="Y606" i="1"/>
  <c r="Y614" i="1"/>
  <c r="Y633" i="1"/>
  <c r="W635" i="1"/>
  <c r="Y639" i="1"/>
  <c r="W647" i="1"/>
  <c r="Z647" i="1" s="1"/>
  <c r="L658" i="1"/>
  <c r="Y688" i="1"/>
  <c r="AA699" i="1"/>
  <c r="W699" i="1"/>
  <c r="Z699" i="1" s="1"/>
  <c r="W713" i="1"/>
  <c r="Z713" i="1" s="1"/>
  <c r="AA713" i="1"/>
  <c r="AA825" i="1"/>
  <c r="V938" i="1"/>
  <c r="W955" i="1"/>
  <c r="Z955" i="1" s="1"/>
  <c r="W996" i="1"/>
  <c r="Z996" i="1" s="1"/>
  <c r="Y996" i="1"/>
  <c r="V1021" i="1"/>
  <c r="Y1022" i="1"/>
  <c r="W700" i="1"/>
  <c r="AA775" i="1"/>
  <c r="Y961" i="1"/>
  <c r="Y958" i="1" s="1"/>
  <c r="W961" i="1"/>
  <c r="Z961" i="1" s="1"/>
  <c r="Y683" i="1"/>
  <c r="W689" i="1"/>
  <c r="Z689" i="1" s="1"/>
  <c r="W694" i="1"/>
  <c r="AA702" i="1"/>
  <c r="Y728" i="1"/>
  <c r="W761" i="1"/>
  <c r="Z761" i="1" s="1"/>
  <c r="Y767" i="1"/>
  <c r="AA814" i="1"/>
  <c r="AA819" i="1"/>
  <c r="AA848" i="1"/>
  <c r="AA860" i="1"/>
  <c r="W862" i="1"/>
  <c r="Z862" i="1" s="1"/>
  <c r="X876" i="1"/>
  <c r="W887" i="1"/>
  <c r="Z887" i="1" s="1"/>
  <c r="Y935" i="1"/>
  <c r="Y941" i="1"/>
  <c r="Y949" i="1"/>
  <c r="Y963" i="1"/>
  <c r="W988" i="1"/>
  <c r="Z988" i="1" s="1"/>
  <c r="Y1013" i="1"/>
  <c r="M1041" i="1"/>
  <c r="Y1042" i="1"/>
  <c r="Y1041" i="1" s="1"/>
  <c r="M1045" i="1"/>
  <c r="M1036" i="1" s="1"/>
  <c r="M1035" i="1" s="1"/>
  <c r="Y1048" i="1"/>
  <c r="Y1047" i="1" s="1"/>
  <c r="W1054" i="1"/>
  <c r="Z1054" i="1" s="1"/>
  <c r="W1057" i="1"/>
  <c r="Z1057" i="1" s="1"/>
  <c r="AA507" i="1"/>
  <c r="Y534" i="1"/>
  <c r="AA537" i="1"/>
  <c r="Y551" i="1"/>
  <c r="AA587" i="1"/>
  <c r="Y597" i="1"/>
  <c r="Y636" i="1"/>
  <c r="AA653" i="1"/>
  <c r="Y671" i="1"/>
  <c r="W676" i="1"/>
  <c r="Z676" i="1" s="1"/>
  <c r="AA681" i="1"/>
  <c r="W716" i="1"/>
  <c r="Z716" i="1" s="1"/>
  <c r="Y754" i="1"/>
  <c r="Y762" i="1"/>
  <c r="AA764" i="1"/>
  <c r="Y776" i="1"/>
  <c r="AA800" i="1"/>
  <c r="Y806" i="1"/>
  <c r="Y837" i="1"/>
  <c r="L857" i="1"/>
  <c r="AA871" i="1"/>
  <c r="AA878" i="1"/>
  <c r="Y880" i="1"/>
  <c r="Y885" i="1"/>
  <c r="Y887" i="1"/>
  <c r="Y911" i="1"/>
  <c r="W947" i="1"/>
  <c r="Z947" i="1" s="1"/>
  <c r="V950" i="1"/>
  <c r="W1013" i="1"/>
  <c r="Y1095" i="1"/>
  <c r="Z741" i="1"/>
  <c r="Z754" i="1"/>
  <c r="L765" i="1"/>
  <c r="AA780" i="1"/>
  <c r="AA779" i="1" s="1"/>
  <c r="L815" i="1"/>
  <c r="AA866" i="1"/>
  <c r="AA893" i="1"/>
  <c r="Z911" i="1"/>
  <c r="M920" i="1"/>
  <c r="AA930" i="1"/>
  <c r="L950" i="1"/>
  <c r="AA967" i="1"/>
  <c r="W975" i="1"/>
  <c r="Z975" i="1" s="1"/>
  <c r="AA975" i="1"/>
  <c r="X986" i="1"/>
  <c r="Y1031" i="1"/>
  <c r="V722" i="1"/>
  <c r="V721" i="1" s="1"/>
  <c r="AA741" i="1"/>
  <c r="W743" i="1"/>
  <c r="Z743" i="1" s="1"/>
  <c r="W762" i="1"/>
  <c r="Z762" i="1" s="1"/>
  <c r="W780" i="1"/>
  <c r="Z780" i="1" s="1"/>
  <c r="Y794" i="1"/>
  <c r="W820" i="1"/>
  <c r="Z820" i="1" s="1"/>
  <c r="W826" i="1"/>
  <c r="Z826" i="1" s="1"/>
  <c r="W866" i="1"/>
  <c r="Z866" i="1" s="1"/>
  <c r="W868" i="1"/>
  <c r="Z868" i="1" s="1"/>
  <c r="W871" i="1"/>
  <c r="Z871" i="1" s="1"/>
  <c r="AA880" i="1"/>
  <c r="X884" i="1"/>
  <c r="V890" i="1"/>
  <c r="W893" i="1"/>
  <c r="W900" i="1"/>
  <c r="Z900" i="1" s="1"/>
  <c r="Y942" i="1"/>
  <c r="Y954" i="1"/>
  <c r="Y970" i="1"/>
  <c r="Y1005" i="1"/>
  <c r="X1014" i="1"/>
  <c r="X1028" i="1"/>
  <c r="W1034" i="1"/>
  <c r="Z1034" i="1" s="1"/>
  <c r="L1052" i="1"/>
  <c r="W1055" i="1"/>
  <c r="AA1062" i="1"/>
  <c r="W1062" i="1"/>
  <c r="Z1062" i="1" s="1"/>
  <c r="L758" i="1"/>
  <c r="V815" i="1"/>
  <c r="L890" i="1"/>
  <c r="L914" i="1"/>
  <c r="W972" i="1"/>
  <c r="Z973" i="1"/>
  <c r="Z972" i="1" s="1"/>
  <c r="L1014" i="1"/>
  <c r="AA1017" i="1"/>
  <c r="AA677" i="1"/>
  <c r="X737" i="1"/>
  <c r="W760" i="1"/>
  <c r="Z760" i="1" s="1"/>
  <c r="Y774" i="1"/>
  <c r="Y780" i="1"/>
  <c r="V783" i="1"/>
  <c r="L783" i="1"/>
  <c r="W794" i="1"/>
  <c r="Z794" i="1" s="1"/>
  <c r="Y798" i="1"/>
  <c r="Y807" i="1"/>
  <c r="Y810" i="1"/>
  <c r="Y809" i="1" s="1"/>
  <c r="Y813" i="1"/>
  <c r="W832" i="1"/>
  <c r="Z832" i="1" s="1"/>
  <c r="AA835" i="1"/>
  <c r="AA844" i="1"/>
  <c r="W855" i="1"/>
  <c r="Z855" i="1" s="1"/>
  <c r="Y866" i="1"/>
  <c r="W874" i="1"/>
  <c r="Z874" i="1" s="1"/>
  <c r="AA886" i="1"/>
  <c r="L896" i="1"/>
  <c r="Y906" i="1"/>
  <c r="W925" i="1"/>
  <c r="Z925" i="1" s="1"/>
  <c r="W978" i="1"/>
  <c r="Z978" i="1" s="1"/>
  <c r="W981" i="1"/>
  <c r="Z981" i="1" s="1"/>
  <c r="Y992" i="1"/>
  <c r="AA1046" i="1"/>
  <c r="AA1045" i="1" s="1"/>
  <c r="V1052" i="1"/>
  <c r="Z732" i="1"/>
  <c r="V744" i="1"/>
  <c r="Z755" i="1"/>
  <c r="AA758" i="1"/>
  <c r="L779" i="1"/>
  <c r="AA798" i="1"/>
  <c r="Z807" i="1"/>
  <c r="AA810" i="1"/>
  <c r="L821" i="1"/>
  <c r="Z847" i="1"/>
  <c r="X863" i="1"/>
  <c r="AA881" i="1"/>
  <c r="Y891" i="1"/>
  <c r="Y910" i="1"/>
  <c r="Y918" i="1"/>
  <c r="W921" i="1"/>
  <c r="Z921" i="1" s="1"/>
  <c r="Y928" i="1"/>
  <c r="Y934" i="1"/>
  <c r="Z1020" i="1"/>
  <c r="AA719" i="1"/>
  <c r="W725" i="1"/>
  <c r="Z725" i="1" s="1"/>
  <c r="AA732" i="1"/>
  <c r="W734" i="1"/>
  <c r="Z734" i="1" s="1"/>
  <c r="Y766" i="1"/>
  <c r="L772" i="1"/>
  <c r="Y786" i="1"/>
  <c r="Y801" i="1"/>
  <c r="AA847" i="1"/>
  <c r="Y853" i="1"/>
  <c r="Y921" i="1"/>
  <c r="X920" i="1"/>
  <c r="AA962" i="1"/>
  <c r="W962" i="1"/>
  <c r="Z962" i="1" s="1"/>
  <c r="Y1001" i="1"/>
  <c r="AA1003" i="1"/>
  <c r="Y713" i="1"/>
  <c r="AA715" i="1"/>
  <c r="AA730" i="1"/>
  <c r="AA729" i="1" s="1"/>
  <c r="W738" i="1"/>
  <c r="Y740" i="1"/>
  <c r="Y750" i="1"/>
  <c r="W805" i="1"/>
  <c r="Z805" i="1" s="1"/>
  <c r="Y814" i="1"/>
  <c r="W817" i="1"/>
  <c r="Z817" i="1" s="1"/>
  <c r="Y825" i="1"/>
  <c r="AA853" i="1"/>
  <c r="L884" i="1"/>
  <c r="AA892" i="1"/>
  <c r="Y907" i="1"/>
  <c r="Y916" i="1"/>
  <c r="L926" i="1"/>
  <c r="W929" i="1"/>
  <c r="Z929" i="1" s="1"/>
  <c r="Y929" i="1"/>
  <c r="L958" i="1"/>
  <c r="W974" i="1"/>
  <c r="Z974" i="1" s="1"/>
  <c r="W1001" i="1"/>
  <c r="W1000" i="1" s="1"/>
  <c r="Z740" i="1"/>
  <c r="AA802" i="1"/>
  <c r="Z814" i="1"/>
  <c r="AA842" i="1"/>
  <c r="L845" i="1"/>
  <c r="Y870" i="1"/>
  <c r="V869" i="1"/>
  <c r="Z877" i="1"/>
  <c r="AA887" i="1"/>
  <c r="L1021" i="1"/>
  <c r="AA1060" i="1"/>
  <c r="Y1079" i="1"/>
  <c r="Y1082" i="1"/>
  <c r="Y1086" i="1"/>
  <c r="Y1090" i="1"/>
  <c r="AA1113" i="1"/>
  <c r="AA1112" i="1" s="1"/>
  <c r="AA1065" i="1"/>
  <c r="W1073" i="1"/>
  <c r="Z1073" i="1" s="1"/>
  <c r="W1079" i="1"/>
  <c r="Z1079" i="1" s="1"/>
  <c r="W1086" i="1"/>
  <c r="Z1086" i="1" s="1"/>
  <c r="W1106" i="1"/>
  <c r="Y1113" i="1"/>
  <c r="Y1112" i="1" s="1"/>
  <c r="Y1063" i="1"/>
  <c r="Y1061" i="1" s="1"/>
  <c r="Y1069" i="1"/>
  <c r="Y1071" i="1"/>
  <c r="AA1079" i="1"/>
  <c r="Y1087" i="1"/>
  <c r="L1109" i="1"/>
  <c r="L1108" i="1" s="1"/>
  <c r="L1107" i="1" s="1"/>
  <c r="AA1083" i="1"/>
  <c r="Y835" i="1"/>
  <c r="Y859" i="1"/>
  <c r="AA895" i="1"/>
  <c r="L920" i="1"/>
  <c r="Y937" i="1"/>
  <c r="Y948" i="1"/>
  <c r="L965" i="1"/>
  <c r="AA977" i="1"/>
  <c r="AA1034" i="1"/>
  <c r="AA1063" i="1"/>
  <c r="Y1080" i="1"/>
  <c r="W595" i="1"/>
  <c r="AA598" i="1"/>
  <c r="AA609" i="1"/>
  <c r="AA617" i="1"/>
  <c r="W642" i="1"/>
  <c r="Z642" i="1" s="1"/>
  <c r="Y662" i="1"/>
  <c r="AA708" i="1"/>
  <c r="AA707" i="1" s="1"/>
  <c r="W710" i="1"/>
  <c r="Z710" i="1" s="1"/>
  <c r="W731" i="1"/>
  <c r="Z731" i="1" s="1"/>
  <c r="AA735" i="1"/>
  <c r="Y748" i="1"/>
  <c r="Y775" i="1"/>
  <c r="AA777" i="1"/>
  <c r="W792" i="1"/>
  <c r="Z792" i="1" s="1"/>
  <c r="AA799" i="1"/>
  <c r="Y805" i="1"/>
  <c r="Y832" i="1"/>
  <c r="W846" i="1"/>
  <c r="Z846" i="1" s="1"/>
  <c r="AA865" i="1"/>
  <c r="W867" i="1"/>
  <c r="Z867" i="1" s="1"/>
  <c r="L869" i="1"/>
  <c r="Y895" i="1"/>
  <c r="AA898" i="1"/>
  <c r="L908" i="1"/>
  <c r="Y924" i="1"/>
  <c r="Y952" i="1"/>
  <c r="Y960" i="1"/>
  <c r="Y968" i="1"/>
  <c r="Y983" i="1"/>
  <c r="W991" i="1"/>
  <c r="Z991" i="1" s="1"/>
  <c r="L1007" i="1"/>
  <c r="AA1069" i="1"/>
  <c r="W1080" i="1"/>
  <c r="Z1080" i="1" s="1"/>
  <c r="W1136" i="1"/>
  <c r="AA1072" i="1"/>
  <c r="X1100" i="1"/>
  <c r="AA1104" i="1"/>
  <c r="AA1119" i="1"/>
  <c r="AA1118" i="1" s="1"/>
  <c r="Y1064" i="1"/>
  <c r="Y1094" i="1"/>
  <c r="AA1105" i="1"/>
  <c r="W1115" i="1"/>
  <c r="W1114" i="1" s="1"/>
  <c r="Y1119" i="1"/>
  <c r="Y1118" i="1" s="1"/>
  <c r="Z1130" i="1"/>
  <c r="AA1057" i="1"/>
  <c r="X1061" i="1"/>
  <c r="AA1085" i="1"/>
  <c r="AA1089" i="1"/>
  <c r="W1081" i="1"/>
  <c r="Z1081" i="1" s="1"/>
  <c r="W1095" i="1"/>
  <c r="Z1095" i="1" s="1"/>
  <c r="Y106" i="1"/>
  <c r="Y47" i="1"/>
  <c r="Y92" i="1"/>
  <c r="Z23" i="1"/>
  <c r="Y61" i="1"/>
  <c r="Y22" i="1"/>
  <c r="W26" i="1"/>
  <c r="Z26" i="1" s="1"/>
  <c r="AA32" i="1"/>
  <c r="AA29" i="1" s="1"/>
  <c r="AA34" i="1"/>
  <c r="W43" i="1"/>
  <c r="Z43" i="1" s="1"/>
  <c r="W52" i="1"/>
  <c r="Z52" i="1" s="1"/>
  <c r="W61" i="1"/>
  <c r="W70" i="1"/>
  <c r="Z70" i="1" s="1"/>
  <c r="Y77" i="1"/>
  <c r="W79" i="1"/>
  <c r="Z79" i="1" s="1"/>
  <c r="Y86" i="1"/>
  <c r="Y85" i="1" s="1"/>
  <c r="W88" i="1"/>
  <c r="Z88" i="1" s="1"/>
  <c r="W97" i="1"/>
  <c r="Z97" i="1" s="1"/>
  <c r="AA104" i="1"/>
  <c r="AA114" i="1"/>
  <c r="W114" i="1"/>
  <c r="Y134" i="1"/>
  <c r="V54" i="1"/>
  <c r="X61" i="1"/>
  <c r="X21" i="1" s="1"/>
  <c r="V99" i="1"/>
  <c r="Y113" i="1"/>
  <c r="AA31" i="1"/>
  <c r="AA36" i="1"/>
  <c r="W36" i="1"/>
  <c r="Z36" i="1" s="1"/>
  <c r="V38" i="1"/>
  <c r="AA45" i="1"/>
  <c r="W45" i="1"/>
  <c r="Z45" i="1" s="1"/>
  <c r="V47" i="1"/>
  <c r="V21" i="1" s="1"/>
  <c r="X54" i="1"/>
  <c r="AA63" i="1"/>
  <c r="W63" i="1"/>
  <c r="Z63" i="1" s="1"/>
  <c r="AA72" i="1"/>
  <c r="W72" i="1"/>
  <c r="Z72" i="1" s="1"/>
  <c r="AA81" i="1"/>
  <c r="W81" i="1"/>
  <c r="Z81" i="1" s="1"/>
  <c r="AA90" i="1"/>
  <c r="W90" i="1"/>
  <c r="Z90" i="1" s="1"/>
  <c r="V92" i="1"/>
  <c r="X99" i="1"/>
  <c r="Y101" i="1"/>
  <c r="L127" i="1"/>
  <c r="AA172" i="1"/>
  <c r="W172" i="1"/>
  <c r="Z172" i="1" s="1"/>
  <c r="Z16" i="1"/>
  <c r="Z15" i="1" s="1"/>
  <c r="Z14" i="1" s="1"/>
  <c r="Z13" i="1" s="1"/>
  <c r="Z12" i="1" s="1"/>
  <c r="Z11" i="1" s="1"/>
  <c r="W103" i="1"/>
  <c r="Z103" i="1" s="1"/>
  <c r="L120" i="1"/>
  <c r="Z125" i="1"/>
  <c r="AA28" i="1"/>
  <c r="W33" i="1"/>
  <c r="Z33" i="1" s="1"/>
  <c r="W40" i="1"/>
  <c r="Z40" i="1" s="1"/>
  <c r="W49" i="1"/>
  <c r="Z49" i="1" s="1"/>
  <c r="W58" i="1"/>
  <c r="Z58" i="1" s="1"/>
  <c r="W67" i="1"/>
  <c r="Z67" i="1" s="1"/>
  <c r="W94" i="1"/>
  <c r="Z94" i="1" s="1"/>
  <c r="AA105" i="1"/>
  <c r="W105" i="1"/>
  <c r="Z105" i="1" s="1"/>
  <c r="W109" i="1"/>
  <c r="Z109" i="1" s="1"/>
  <c r="AA118" i="1"/>
  <c r="V127" i="1"/>
  <c r="Y128" i="1"/>
  <c r="AA136" i="1"/>
  <c r="W136" i="1"/>
  <c r="Z136" i="1" s="1"/>
  <c r="AA154" i="1"/>
  <c r="W154" i="1"/>
  <c r="Z154" i="1" s="1"/>
  <c r="AA101" i="1"/>
  <c r="AA111" i="1"/>
  <c r="W111" i="1"/>
  <c r="Z111" i="1" s="1"/>
  <c r="W128" i="1"/>
  <c r="AA128" i="1"/>
  <c r="AA25" i="1"/>
  <c r="W30" i="1"/>
  <c r="W35" i="1"/>
  <c r="Z35" i="1" s="1"/>
  <c r="AA42" i="1"/>
  <c r="W42" i="1"/>
  <c r="Z42" i="1" s="1"/>
  <c r="AA51" i="1"/>
  <c r="W51" i="1"/>
  <c r="Z51" i="1" s="1"/>
  <c r="AA56" i="1"/>
  <c r="AA60" i="1"/>
  <c r="W60" i="1"/>
  <c r="Z60" i="1" s="1"/>
  <c r="AA65" i="1"/>
  <c r="AA69" i="1"/>
  <c r="W69" i="1"/>
  <c r="AA74" i="1"/>
  <c r="AA78" i="1"/>
  <c r="W78" i="1"/>
  <c r="Z78" i="1" s="1"/>
  <c r="AA83" i="1"/>
  <c r="AA87" i="1"/>
  <c r="W87" i="1"/>
  <c r="Z87" i="1" s="1"/>
  <c r="AA96" i="1"/>
  <c r="W96" i="1"/>
  <c r="Z96" i="1" s="1"/>
  <c r="AA107" i="1"/>
  <c r="X113" i="1"/>
  <c r="W115" i="1"/>
  <c r="Z115" i="1" s="1"/>
  <c r="AA123" i="1"/>
  <c r="W185" i="1"/>
  <c r="Z186" i="1"/>
  <c r="W27" i="1"/>
  <c r="Z27" i="1" s="1"/>
  <c r="W37" i="1"/>
  <c r="Z37" i="1" s="1"/>
  <c r="W46" i="1"/>
  <c r="Z46" i="1" s="1"/>
  <c r="W55" i="1"/>
  <c r="W64" i="1"/>
  <c r="Z64" i="1" s="1"/>
  <c r="W73" i="1"/>
  <c r="Z73" i="1" s="1"/>
  <c r="W82" i="1"/>
  <c r="Z82" i="1" s="1"/>
  <c r="W91" i="1"/>
  <c r="Z91" i="1" s="1"/>
  <c r="W100" i="1"/>
  <c r="V106" i="1"/>
  <c r="M133" i="1"/>
  <c r="Y156" i="1"/>
  <c r="AA102" i="1"/>
  <c r="W102" i="1"/>
  <c r="Z102" i="1" s="1"/>
  <c r="Y104" i="1"/>
  <c r="Z129" i="1"/>
  <c r="W155" i="1"/>
  <c r="Z156" i="1"/>
  <c r="W24" i="1"/>
  <c r="Z24" i="1" s="1"/>
  <c r="AA39" i="1"/>
  <c r="W39" i="1"/>
  <c r="AA44" i="1"/>
  <c r="AA48" i="1"/>
  <c r="W48" i="1"/>
  <c r="AA53" i="1"/>
  <c r="AA57" i="1"/>
  <c r="W57" i="1"/>
  <c r="Z57" i="1" s="1"/>
  <c r="AA62" i="1"/>
  <c r="AA66" i="1"/>
  <c r="W66" i="1"/>
  <c r="Z66" i="1" s="1"/>
  <c r="AA71" i="1"/>
  <c r="AA80" i="1"/>
  <c r="AA84" i="1"/>
  <c r="W84" i="1"/>
  <c r="Z84" i="1" s="1"/>
  <c r="AA89" i="1"/>
  <c r="AA93" i="1"/>
  <c r="W93" i="1"/>
  <c r="AA98" i="1"/>
  <c r="X106" i="1"/>
  <c r="AA108" i="1"/>
  <c r="W108" i="1"/>
  <c r="Z108" i="1" s="1"/>
  <c r="Y170" i="1"/>
  <c r="Y169" i="1" s="1"/>
  <c r="L15" i="1"/>
  <c r="L14" i="1" s="1"/>
  <c r="L13" i="1" s="1"/>
  <c r="L12" i="1" s="1"/>
  <c r="L11" i="1" s="1"/>
  <c r="W41" i="1"/>
  <c r="Z41" i="1" s="1"/>
  <c r="W50" i="1"/>
  <c r="Z50" i="1" s="1"/>
  <c r="W59" i="1"/>
  <c r="Z59" i="1" s="1"/>
  <c r="W77" i="1"/>
  <c r="W86" i="1"/>
  <c r="W95" i="1"/>
  <c r="Z95" i="1" s="1"/>
  <c r="W110" i="1"/>
  <c r="Z110" i="1" s="1"/>
  <c r="Y151" i="1"/>
  <c r="Y148" i="1" s="1"/>
  <c r="W151" i="1"/>
  <c r="Z151" i="1" s="1"/>
  <c r="Y174" i="1"/>
  <c r="AA117" i="1"/>
  <c r="W122" i="1"/>
  <c r="Z122" i="1" s="1"/>
  <c r="AA135" i="1"/>
  <c r="W140" i="1"/>
  <c r="Z140" i="1" s="1"/>
  <c r="W145" i="1"/>
  <c r="Z145" i="1" s="1"/>
  <c r="AA153" i="1"/>
  <c r="W158" i="1"/>
  <c r="Z158" i="1" s="1"/>
  <c r="W163" i="1"/>
  <c r="AA171" i="1"/>
  <c r="W178" i="1"/>
  <c r="W183" i="1"/>
  <c r="Z183" i="1" s="1"/>
  <c r="X185" i="1"/>
  <c r="X184" i="1" s="1"/>
  <c r="W189" i="1"/>
  <c r="Z189" i="1" s="1"/>
  <c r="AA191" i="1"/>
  <c r="W217" i="1"/>
  <c r="Z217" i="1" s="1"/>
  <c r="Y258" i="1"/>
  <c r="AA274" i="1"/>
  <c r="W274" i="1"/>
  <c r="Z274" i="1" s="1"/>
  <c r="V155" i="1"/>
  <c r="V133" i="1" s="1"/>
  <c r="AA161" i="1"/>
  <c r="AA181" i="1"/>
  <c r="Y266" i="1"/>
  <c r="V263" i="1"/>
  <c r="W119" i="1"/>
  <c r="Z119" i="1" s="1"/>
  <c r="W124" i="1"/>
  <c r="Z124" i="1" s="1"/>
  <c r="AA130" i="1"/>
  <c r="AA132" i="1"/>
  <c r="Z135" i="1"/>
  <c r="W137" i="1"/>
  <c r="Z137" i="1" s="1"/>
  <c r="W142" i="1"/>
  <c r="AA150" i="1"/>
  <c r="X155" i="1"/>
  <c r="X133" i="1" s="1"/>
  <c r="W160" i="1"/>
  <c r="Z160" i="1" s="1"/>
  <c r="Y163" i="1"/>
  <c r="Y162" i="1" s="1"/>
  <c r="AA166" i="1"/>
  <c r="AA168" i="1"/>
  <c r="Z171" i="1"/>
  <c r="AA176" i="1"/>
  <c r="W194" i="1"/>
  <c r="Z194" i="1" s="1"/>
  <c r="AA194" i="1"/>
  <c r="Y204" i="1"/>
  <c r="Y240" i="1"/>
  <c r="Z180" i="1"/>
  <c r="Z204" i="1"/>
  <c r="W206" i="1"/>
  <c r="Z207" i="1"/>
  <c r="L226" i="1"/>
  <c r="Z240" i="1"/>
  <c r="Y245" i="1"/>
  <c r="Z278" i="1"/>
  <c r="W116" i="1"/>
  <c r="Z116" i="1" s="1"/>
  <c r="AA129" i="1"/>
  <c r="W139" i="1"/>
  <c r="Z139" i="1" s="1"/>
  <c r="Y142" i="1"/>
  <c r="Y141" i="1" s="1"/>
  <c r="AA147" i="1"/>
  <c r="W152" i="1"/>
  <c r="Z152" i="1" s="1"/>
  <c r="AA163" i="1"/>
  <c r="AA165" i="1"/>
  <c r="M177" i="1"/>
  <c r="M169" i="1" s="1"/>
  <c r="AA180" i="1"/>
  <c r="AA202" i="1"/>
  <c r="W202" i="1"/>
  <c r="Z202" i="1" s="1"/>
  <c r="V236" i="1"/>
  <c r="Z276" i="1"/>
  <c r="L192" i="1"/>
  <c r="L184" i="1" s="1"/>
  <c r="Y230" i="1"/>
  <c r="V227" i="1"/>
  <c r="AA238" i="1"/>
  <c r="W238" i="1"/>
  <c r="X237" i="1"/>
  <c r="X236" i="1" s="1"/>
  <c r="AA126" i="1"/>
  <c r="AA120" i="1" s="1"/>
  <c r="W131" i="1"/>
  <c r="Z131" i="1" s="1"/>
  <c r="AA144" i="1"/>
  <c r="W149" i="1"/>
  <c r="W167" i="1"/>
  <c r="Z167" i="1" s="1"/>
  <c r="Y253" i="1"/>
  <c r="Y251" i="1" s="1"/>
  <c r="V251" i="1"/>
  <c r="W146" i="1"/>
  <c r="Z146" i="1" s="1"/>
  <c r="W164" i="1"/>
  <c r="Z164" i="1" s="1"/>
  <c r="AA182" i="1"/>
  <c r="AA186" i="1"/>
  <c r="AA205" i="1"/>
  <c r="W205" i="1"/>
  <c r="Z205" i="1" s="1"/>
  <c r="W213" i="1"/>
  <c r="Z214" i="1"/>
  <c r="W174" i="1"/>
  <c r="Z174" i="1" s="1"/>
  <c r="Y186" i="1"/>
  <c r="Y185" i="1" s="1"/>
  <c r="AA256" i="1"/>
  <c r="W256" i="1"/>
  <c r="Z256" i="1" s="1"/>
  <c r="Y271" i="1"/>
  <c r="V269" i="1"/>
  <c r="AA138" i="1"/>
  <c r="W143" i="1"/>
  <c r="Z143" i="1" s="1"/>
  <c r="AA156" i="1"/>
  <c r="AA155" i="1" s="1"/>
  <c r="W161" i="1"/>
  <c r="Z161" i="1" s="1"/>
  <c r="AA174" i="1"/>
  <c r="Y222" i="1"/>
  <c r="Y248" i="1"/>
  <c r="V245" i="1"/>
  <c r="W271" i="1"/>
  <c r="Z271" i="1" s="1"/>
  <c r="AA146" i="1"/>
  <c r="AA164" i="1"/>
  <c r="AA179" i="1"/>
  <c r="W196" i="1"/>
  <c r="Z196" i="1" s="1"/>
  <c r="Y196" i="1"/>
  <c r="Y192" i="1" s="1"/>
  <c r="Z222" i="1"/>
  <c r="W188" i="1"/>
  <c r="Z188" i="1" s="1"/>
  <c r="W193" i="1"/>
  <c r="AA201" i="1"/>
  <c r="Y214" i="1"/>
  <c r="Y213" i="1" s="1"/>
  <c r="AA217" i="1"/>
  <c r="AA219" i="1"/>
  <c r="W224" i="1"/>
  <c r="Z224" i="1" s="1"/>
  <c r="Y232" i="1"/>
  <c r="Y231" i="1" s="1"/>
  <c r="W242" i="1"/>
  <c r="Z242" i="1" s="1"/>
  <c r="Y250" i="1"/>
  <c r="AA253" i="1"/>
  <c r="AA251" i="1" s="1"/>
  <c r="AA255" i="1"/>
  <c r="W260" i="1"/>
  <c r="Z260" i="1" s="1"/>
  <c r="Y268" i="1"/>
  <c r="AA271" i="1"/>
  <c r="AA273" i="1"/>
  <c r="Y282" i="1"/>
  <c r="AA284" i="1"/>
  <c r="W289" i="1"/>
  <c r="AA289" i="1"/>
  <c r="AA291" i="1"/>
  <c r="AA294" i="1"/>
  <c r="X293" i="1"/>
  <c r="Y296" i="1"/>
  <c r="Y293" i="1" s="1"/>
  <c r="Y300" i="1"/>
  <c r="AA319" i="1"/>
  <c r="W198" i="1"/>
  <c r="Z198" i="1" s="1"/>
  <c r="Y201" i="1"/>
  <c r="Y199" i="1" s="1"/>
  <c r="M213" i="1"/>
  <c r="M184" i="1" s="1"/>
  <c r="W216" i="1"/>
  <c r="Z216" i="1" s="1"/>
  <c r="Y219" i="1"/>
  <c r="M231" i="1"/>
  <c r="M226" i="1" s="1"/>
  <c r="W234" i="1"/>
  <c r="Z234" i="1" s="1"/>
  <c r="W252" i="1"/>
  <c r="V257" i="1"/>
  <c r="W270" i="1"/>
  <c r="Y273" i="1"/>
  <c r="X275" i="1"/>
  <c r="AA280" i="1"/>
  <c r="Y284" i="1"/>
  <c r="L293" i="1"/>
  <c r="W190" i="1"/>
  <c r="Z190" i="1" s="1"/>
  <c r="W208" i="1"/>
  <c r="Z208" i="1" s="1"/>
  <c r="Y211" i="1"/>
  <c r="Y206" i="1" s="1"/>
  <c r="V213" i="1"/>
  <c r="V184" i="1" s="1"/>
  <c r="Y229" i="1"/>
  <c r="Y227" i="1" s="1"/>
  <c r="Y226" i="1" s="1"/>
  <c r="V231" i="1"/>
  <c r="Y247" i="1"/>
  <c r="W262" i="1"/>
  <c r="Z262" i="1" s="1"/>
  <c r="Y265" i="1"/>
  <c r="Y263" i="1" s="1"/>
  <c r="W314" i="1"/>
  <c r="Z314" i="1" s="1"/>
  <c r="Y314" i="1"/>
  <c r="W195" i="1"/>
  <c r="Z195" i="1" s="1"/>
  <c r="W249" i="1"/>
  <c r="Z249" i="1" s="1"/>
  <c r="W267" i="1"/>
  <c r="Z267" i="1" s="1"/>
  <c r="V311" i="1"/>
  <c r="W312" i="1"/>
  <c r="W200" i="1"/>
  <c r="Z221" i="1"/>
  <c r="W223" i="1"/>
  <c r="Z223" i="1" s="1"/>
  <c r="W241" i="1"/>
  <c r="Z241" i="1" s="1"/>
  <c r="W254" i="1"/>
  <c r="Z254" i="1" s="1"/>
  <c r="W259" i="1"/>
  <c r="Z259" i="1" s="1"/>
  <c r="W272" i="1"/>
  <c r="Z272" i="1" s="1"/>
  <c r="L275" i="1"/>
  <c r="AA279" i="1"/>
  <c r="V281" i="1"/>
  <c r="L287" i="1"/>
  <c r="Y311" i="1"/>
  <c r="W197" i="1"/>
  <c r="Z197" i="1" s="1"/>
  <c r="AA210" i="1"/>
  <c r="W215" i="1"/>
  <c r="Z215" i="1" s="1"/>
  <c r="AA228" i="1"/>
  <c r="W233" i="1"/>
  <c r="Z233" i="1" s="1"/>
  <c r="AA246" i="1"/>
  <c r="X251" i="1"/>
  <c r="AA264" i="1"/>
  <c r="X269" i="1"/>
  <c r="Y276" i="1"/>
  <c r="AA207" i="1"/>
  <c r="W212" i="1"/>
  <c r="Z212" i="1" s="1"/>
  <c r="AA225" i="1"/>
  <c r="Z228" i="1"/>
  <c r="W230" i="1"/>
  <c r="Z230" i="1" s="1"/>
  <c r="Y238" i="1"/>
  <c r="Y237" i="1" s="1"/>
  <c r="Y236" i="1" s="1"/>
  <c r="AA243" i="1"/>
  <c r="Z246" i="1"/>
  <c r="Z245" i="1" s="1"/>
  <c r="W248" i="1"/>
  <c r="Z248" i="1" s="1"/>
  <c r="AA261" i="1"/>
  <c r="Z264" i="1"/>
  <c r="W266" i="1"/>
  <c r="Z266" i="1" s="1"/>
  <c r="Y278" i="1"/>
  <c r="AA285" i="1"/>
  <c r="V332" i="1"/>
  <c r="Y333" i="1"/>
  <c r="W191" i="1"/>
  <c r="Z191" i="1" s="1"/>
  <c r="AA204" i="1"/>
  <c r="W209" i="1"/>
  <c r="Z209" i="1" s="1"/>
  <c r="AA222" i="1"/>
  <c r="X227" i="1"/>
  <c r="X226" i="1" s="1"/>
  <c r="AA240" i="1"/>
  <c r="X245" i="1"/>
  <c r="AA258" i="1"/>
  <c r="AA257" i="1" s="1"/>
  <c r="X263" i="1"/>
  <c r="AA278" i="1"/>
  <c r="AA212" i="1"/>
  <c r="AA230" i="1"/>
  <c r="AA248" i="1"/>
  <c r="W255" i="1"/>
  <c r="Z255" i="1" s="1"/>
  <c r="AA266" i="1"/>
  <c r="X281" i="1"/>
  <c r="Y286" i="1"/>
  <c r="Y289" i="1"/>
  <c r="L317" i="1"/>
  <c r="Z353" i="1"/>
  <c r="W406" i="1"/>
  <c r="Z407" i="1"/>
  <c r="Z406" i="1" s="1"/>
  <c r="AA445" i="1"/>
  <c r="Z322" i="1"/>
  <c r="V350" i="1"/>
  <c r="Y351" i="1"/>
  <c r="L356" i="1"/>
  <c r="L331" i="1" s="1"/>
  <c r="L330" i="1" s="1"/>
  <c r="Y389" i="1"/>
  <c r="AA423" i="1"/>
  <c r="W423" i="1"/>
  <c r="Z423" i="1" s="1"/>
  <c r="Y427" i="1"/>
  <c r="AA459" i="1"/>
  <c r="W459" i="1"/>
  <c r="Z459" i="1" s="1"/>
  <c r="W286" i="1"/>
  <c r="Z286" i="1" s="1"/>
  <c r="V299" i="1"/>
  <c r="Y309" i="1"/>
  <c r="AA315" i="1"/>
  <c r="Y348" i="1"/>
  <c r="W348" i="1"/>
  <c r="Z348" i="1" s="1"/>
  <c r="AA351" i="1"/>
  <c r="W351" i="1"/>
  <c r="X350" i="1"/>
  <c r="AA362" i="1"/>
  <c r="Z389" i="1"/>
  <c r="Z410" i="1"/>
  <c r="W434" i="1"/>
  <c r="Z435" i="1"/>
  <c r="Z434" i="1" s="1"/>
  <c r="W307" i="1"/>
  <c r="Z307" i="1" s="1"/>
  <c r="AA307" i="1"/>
  <c r="AA320" i="1"/>
  <c r="V356" i="1"/>
  <c r="Y384" i="1"/>
  <c r="W384" i="1"/>
  <c r="Z384" i="1" s="1"/>
  <c r="V386" i="1"/>
  <c r="Y387" i="1"/>
  <c r="Y386" i="1" s="1"/>
  <c r="L392" i="1"/>
  <c r="W283" i="1"/>
  <c r="Z283" i="1" s="1"/>
  <c r="Y288" i="1"/>
  <c r="Y301" i="1"/>
  <c r="Z318" i="1"/>
  <c r="AA354" i="1"/>
  <c r="W354" i="1"/>
  <c r="Z354" i="1" s="1"/>
  <c r="AA387" i="1"/>
  <c r="W387" i="1"/>
  <c r="X386" i="1"/>
  <c r="AA408" i="1"/>
  <c r="W408" i="1"/>
  <c r="Z408" i="1" s="1"/>
  <c r="W491" i="1"/>
  <c r="Z492" i="1"/>
  <c r="Z491" i="1" s="1"/>
  <c r="W303" i="1"/>
  <c r="Z303" i="1" s="1"/>
  <c r="AA318" i="1"/>
  <c r="Y335" i="1"/>
  <c r="V392" i="1"/>
  <c r="V398" i="1"/>
  <c r="Y438" i="1"/>
  <c r="W438" i="1"/>
  <c r="Z438" i="1" s="1"/>
  <c r="Y463" i="1"/>
  <c r="Y462" i="1" s="1"/>
  <c r="AA468" i="1"/>
  <c r="W468" i="1"/>
  <c r="Z468" i="1" s="1"/>
  <c r="M287" i="1"/>
  <c r="M244" i="1" s="1"/>
  <c r="M235" i="1" s="1"/>
  <c r="V293" i="1"/>
  <c r="AA297" i="1"/>
  <c r="L299" i="1"/>
  <c r="Y371" i="1"/>
  <c r="AA390" i="1"/>
  <c r="W390" i="1"/>
  <c r="Z390" i="1" s="1"/>
  <c r="L406" i="1"/>
  <c r="AA463" i="1"/>
  <c r="Y472" i="1"/>
  <c r="L462" i="1"/>
  <c r="AA321" i="1"/>
  <c r="W321" i="1"/>
  <c r="Z321" i="1" s="1"/>
  <c r="AA333" i="1"/>
  <c r="W333" i="1"/>
  <c r="X332" i="1"/>
  <c r="AA344" i="1"/>
  <c r="Y366" i="1"/>
  <c r="W366" i="1"/>
  <c r="Z366" i="1" s="1"/>
  <c r="V368" i="1"/>
  <c r="Y369" i="1"/>
  <c r="L374" i="1"/>
  <c r="L380" i="1"/>
  <c r="AA450" i="1"/>
  <c r="W450" i="1"/>
  <c r="Z450" i="1" s="1"/>
  <c r="L469" i="1"/>
  <c r="Z486" i="1"/>
  <c r="Z485" i="1" s="1"/>
  <c r="W300" i="1"/>
  <c r="X305" i="1"/>
  <c r="AA306" i="1"/>
  <c r="W306" i="1"/>
  <c r="Z308" i="1"/>
  <c r="X311" i="1"/>
  <c r="AA369" i="1"/>
  <c r="W369" i="1"/>
  <c r="X368" i="1"/>
  <c r="V324" i="1"/>
  <c r="Y325" i="1"/>
  <c r="Y324" i="1" s="1"/>
  <c r="AA336" i="1"/>
  <c r="W336" i="1"/>
  <c r="Z336" i="1" s="1"/>
  <c r="Y402" i="1"/>
  <c r="W402" i="1"/>
  <c r="Z402" i="1" s="1"/>
  <c r="W455" i="1"/>
  <c r="Z456" i="1"/>
  <c r="Z455" i="1" s="1"/>
  <c r="Y470" i="1"/>
  <c r="V469" i="1"/>
  <c r="AA514" i="1"/>
  <c r="W514" i="1"/>
  <c r="Z514" i="1" s="1"/>
  <c r="Y291" i="1"/>
  <c r="AA300" i="1"/>
  <c r="AA299" i="1" s="1"/>
  <c r="AA302" i="1"/>
  <c r="W304" i="1"/>
  <c r="Z304" i="1" s="1"/>
  <c r="X317" i="1"/>
  <c r="W325" i="1"/>
  <c r="Y353" i="1"/>
  <c r="AA372" i="1"/>
  <c r="W372" i="1"/>
  <c r="Z372" i="1" s="1"/>
  <c r="Y407" i="1"/>
  <c r="Y406" i="1" s="1"/>
  <c r="Y425" i="1"/>
  <c r="Y420" i="1" s="1"/>
  <c r="W427" i="1"/>
  <c r="Z428" i="1"/>
  <c r="Z427" i="1" s="1"/>
  <c r="Y445" i="1"/>
  <c r="Y441" i="1" s="1"/>
  <c r="AA296" i="1"/>
  <c r="W301" i="1"/>
  <c r="Z301" i="1" s="1"/>
  <c r="AA312" i="1"/>
  <c r="AA314" i="1"/>
  <c r="W319" i="1"/>
  <c r="Z319" i="1" s="1"/>
  <c r="W337" i="1"/>
  <c r="Z337" i="1" s="1"/>
  <c r="W342" i="1"/>
  <c r="Z342" i="1" s="1"/>
  <c r="Y345" i="1"/>
  <c r="W355" i="1"/>
  <c r="Z355" i="1" s="1"/>
  <c r="W360" i="1"/>
  <c r="Z360" i="1" s="1"/>
  <c r="Y363" i="1"/>
  <c r="W373" i="1"/>
  <c r="Z373" i="1" s="1"/>
  <c r="W378" i="1"/>
  <c r="Z378" i="1" s="1"/>
  <c r="Y381" i="1"/>
  <c r="Y380" i="1" s="1"/>
  <c r="W391" i="1"/>
  <c r="Z391" i="1" s="1"/>
  <c r="W396" i="1"/>
  <c r="Z396" i="1" s="1"/>
  <c r="Y399" i="1"/>
  <c r="W409" i="1"/>
  <c r="Z409" i="1" s="1"/>
  <c r="W414" i="1"/>
  <c r="AA422" i="1"/>
  <c r="X427" i="1"/>
  <c r="W432" i="1"/>
  <c r="Z432" i="1" s="1"/>
  <c r="Y435" i="1"/>
  <c r="AA440" i="1"/>
  <c r="W449" i="1"/>
  <c r="AA449" i="1"/>
  <c r="W458" i="1"/>
  <c r="Z458" i="1" s="1"/>
  <c r="AA458" i="1"/>
  <c r="W467" i="1"/>
  <c r="Z467" i="1" s="1"/>
  <c r="AA467" i="1"/>
  <c r="AA322" i="1"/>
  <c r="X324" i="1"/>
  <c r="AA340" i="1"/>
  <c r="M344" i="1"/>
  <c r="AA358" i="1"/>
  <c r="M362" i="1"/>
  <c r="M331" i="1" s="1"/>
  <c r="M330" i="1" s="1"/>
  <c r="Y373" i="1"/>
  <c r="AA376" i="1"/>
  <c r="AA394" i="1"/>
  <c r="Z399" i="1"/>
  <c r="V406" i="1"/>
  <c r="V462" i="1"/>
  <c r="W316" i="1"/>
  <c r="Z316" i="1" s="1"/>
  <c r="W334" i="1"/>
  <c r="Z334" i="1" s="1"/>
  <c r="W339" i="1"/>
  <c r="W352" i="1"/>
  <c r="Z352" i="1" s="1"/>
  <c r="W357" i="1"/>
  <c r="W370" i="1"/>
  <c r="Z370" i="1" s="1"/>
  <c r="W375" i="1"/>
  <c r="AA381" i="1"/>
  <c r="W388" i="1"/>
  <c r="Z388" i="1" s="1"/>
  <c r="W393" i="1"/>
  <c r="AA399" i="1"/>
  <c r="AA398" i="1" s="1"/>
  <c r="AA401" i="1"/>
  <c r="X406" i="1"/>
  <c r="W411" i="1"/>
  <c r="Z411" i="1" s="1"/>
  <c r="Y414" i="1"/>
  <c r="Y413" i="1" s="1"/>
  <c r="AA417" i="1"/>
  <c r="AA419" i="1"/>
  <c r="W424" i="1"/>
  <c r="Z424" i="1" s="1"/>
  <c r="W429" i="1"/>
  <c r="Z429" i="1" s="1"/>
  <c r="AA435" i="1"/>
  <c r="AA437" i="1"/>
  <c r="W444" i="1"/>
  <c r="Z444" i="1" s="1"/>
  <c r="W453" i="1"/>
  <c r="Z453" i="1" s="1"/>
  <c r="W471" i="1"/>
  <c r="Z471" i="1" s="1"/>
  <c r="L484" i="1"/>
  <c r="L483" i="1" s="1"/>
  <c r="W493" i="1"/>
  <c r="Z494" i="1"/>
  <c r="Z493" i="1" s="1"/>
  <c r="W479" i="1"/>
  <c r="Z479" i="1" s="1"/>
  <c r="AA479" i="1"/>
  <c r="W488" i="1"/>
  <c r="V487" i="1"/>
  <c r="Y488" i="1"/>
  <c r="Y487" i="1" s="1"/>
  <c r="W295" i="1"/>
  <c r="Z295" i="1" s="1"/>
  <c r="AA308" i="1"/>
  <c r="W313" i="1"/>
  <c r="Z313" i="1" s="1"/>
  <c r="AA326" i="1"/>
  <c r="Y339" i="1"/>
  <c r="Y338" i="1" s="1"/>
  <c r="W349" i="1"/>
  <c r="Z349" i="1" s="1"/>
  <c r="Y357" i="1"/>
  <c r="Y356" i="1" s="1"/>
  <c r="W367" i="1"/>
  <c r="Z367" i="1" s="1"/>
  <c r="Y375" i="1"/>
  <c r="Y374" i="1" s="1"/>
  <c r="W385" i="1"/>
  <c r="Z385" i="1" s="1"/>
  <c r="Y393" i="1"/>
  <c r="Y392" i="1" s="1"/>
  <c r="W403" i="1"/>
  <c r="Z403" i="1" s="1"/>
  <c r="AA414" i="1"/>
  <c r="AA416" i="1"/>
  <c r="W421" i="1"/>
  <c r="X434" i="1"/>
  <c r="W439" i="1"/>
  <c r="Z439" i="1" s="1"/>
  <c r="AA442" i="1"/>
  <c r="W446" i="1"/>
  <c r="Z446" i="1" s="1"/>
  <c r="AA446" i="1"/>
  <c r="W464" i="1"/>
  <c r="Z464" i="1" s="1"/>
  <c r="AA464" i="1"/>
  <c r="W473" i="1"/>
  <c r="Z473" i="1" s="1"/>
  <c r="AA473" i="1"/>
  <c r="W475" i="1"/>
  <c r="Z475" i="1" s="1"/>
  <c r="Z511" i="1"/>
  <c r="W457" i="1"/>
  <c r="Z457" i="1" s="1"/>
  <c r="W466" i="1"/>
  <c r="Z466" i="1" s="1"/>
  <c r="Z477" i="1"/>
  <c r="Z476" i="1" s="1"/>
  <c r="AA486" i="1"/>
  <c r="AA485" i="1" s="1"/>
  <c r="M485" i="1"/>
  <c r="W310" i="1"/>
  <c r="Z310" i="1" s="1"/>
  <c r="W328" i="1"/>
  <c r="Z328" i="1" s="1"/>
  <c r="AA339" i="1"/>
  <c r="AA341" i="1"/>
  <c r="W346" i="1"/>
  <c r="AA357" i="1"/>
  <c r="AA359" i="1"/>
  <c r="W364" i="1"/>
  <c r="AA377" i="1"/>
  <c r="W382" i="1"/>
  <c r="AA395" i="1"/>
  <c r="W400" i="1"/>
  <c r="Z400" i="1" s="1"/>
  <c r="W418" i="1"/>
  <c r="Z418" i="1" s="1"/>
  <c r="AA431" i="1"/>
  <c r="W436" i="1"/>
  <c r="Z436" i="1" s="1"/>
  <c r="Y486" i="1"/>
  <c r="Y485" i="1" s="1"/>
  <c r="Z503" i="1"/>
  <c r="W538" i="1"/>
  <c r="Z538" i="1" s="1"/>
  <c r="AA538" i="1"/>
  <c r="W343" i="1"/>
  <c r="Z343" i="1" s="1"/>
  <c r="W361" i="1"/>
  <c r="Z361" i="1" s="1"/>
  <c r="W379" i="1"/>
  <c r="Z379" i="1" s="1"/>
  <c r="W397" i="1"/>
  <c r="Z397" i="1" s="1"/>
  <c r="AA410" i="1"/>
  <c r="W415" i="1"/>
  <c r="Z415" i="1" s="1"/>
  <c r="W433" i="1"/>
  <c r="Z433" i="1" s="1"/>
  <c r="W443" i="1"/>
  <c r="Z443" i="1" s="1"/>
  <c r="AA443" i="1"/>
  <c r="W452" i="1"/>
  <c r="Z452" i="1" s="1"/>
  <c r="AA452" i="1"/>
  <c r="W461" i="1"/>
  <c r="Z461" i="1" s="1"/>
  <c r="AA461" i="1"/>
  <c r="W470" i="1"/>
  <c r="AA470" i="1"/>
  <c r="W482" i="1"/>
  <c r="Z482" i="1" s="1"/>
  <c r="X500" i="1"/>
  <c r="AA501" i="1"/>
  <c r="W501" i="1"/>
  <c r="W506" i="1"/>
  <c r="Z506" i="1" s="1"/>
  <c r="Y526" i="1"/>
  <c r="Y525" i="1" s="1"/>
  <c r="V525" i="1"/>
  <c r="AA535" i="1"/>
  <c r="W535" i="1"/>
  <c r="Z535" i="1" s="1"/>
  <c r="W425" i="1"/>
  <c r="Z425" i="1" s="1"/>
  <c r="W445" i="1"/>
  <c r="Z445" i="1" s="1"/>
  <c r="W454" i="1"/>
  <c r="Z454" i="1" s="1"/>
  <c r="W463" i="1"/>
  <c r="W472" i="1"/>
  <c r="Z472" i="1" s="1"/>
  <c r="Y474" i="1"/>
  <c r="W478" i="1"/>
  <c r="Z478" i="1" s="1"/>
  <c r="AA335" i="1"/>
  <c r="AA353" i="1"/>
  <c r="AA371" i="1"/>
  <c r="AA389" i="1"/>
  <c r="AA407" i="1"/>
  <c r="W412" i="1"/>
  <c r="Z412" i="1" s="1"/>
  <c r="AA425" i="1"/>
  <c r="W430" i="1"/>
  <c r="Z430" i="1" s="1"/>
  <c r="W474" i="1"/>
  <c r="Z474" i="1" s="1"/>
  <c r="X476" i="1"/>
  <c r="Y533" i="1"/>
  <c r="Z533" i="1"/>
  <c r="Z571" i="1"/>
  <c r="Z570" i="1" s="1"/>
  <c r="Z569" i="1" s="1"/>
  <c r="Z568" i="1" s="1"/>
  <c r="W570" i="1"/>
  <c r="W569" i="1" s="1"/>
  <c r="W568" i="1" s="1"/>
  <c r="AA325" i="1"/>
  <c r="AA324" i="1" s="1"/>
  <c r="AA323" i="1" s="1"/>
  <c r="AA343" i="1"/>
  <c r="AA361" i="1"/>
  <c r="AA379" i="1"/>
  <c r="AA397" i="1"/>
  <c r="AA415" i="1"/>
  <c r="AA433" i="1"/>
  <c r="AA447" i="1"/>
  <c r="AA456" i="1"/>
  <c r="AA465" i="1"/>
  <c r="AA474" i="1"/>
  <c r="AA478" i="1"/>
  <c r="AA476" i="1" s="1"/>
  <c r="AA506" i="1"/>
  <c r="W508" i="1"/>
  <c r="Z508" i="1" s="1"/>
  <c r="AA517" i="1"/>
  <c r="AA526" i="1"/>
  <c r="Y559" i="1"/>
  <c r="Y558" i="1" s="1"/>
  <c r="Z586" i="1"/>
  <c r="Y627" i="1"/>
  <c r="L672" i="1"/>
  <c r="Y830" i="1"/>
  <c r="W830" i="1"/>
  <c r="Z830" i="1" s="1"/>
  <c r="Y494" i="1"/>
  <c r="Y493" i="1" s="1"/>
  <c r="AA503" i="1"/>
  <c r="W505" i="1"/>
  <c r="Z505" i="1" s="1"/>
  <c r="Y515" i="1"/>
  <c r="V541" i="1"/>
  <c r="V540" i="1" s="1"/>
  <c r="V539" i="1" s="1"/>
  <c r="Y545" i="1"/>
  <c r="Y541" i="1" s="1"/>
  <c r="W559" i="1"/>
  <c r="X558" i="1"/>
  <c r="X557" i="1" s="1"/>
  <c r="X556" i="1" s="1"/>
  <c r="X555" i="1" s="1"/>
  <c r="M576" i="1"/>
  <c r="Y577" i="1"/>
  <c r="Y576" i="1" s="1"/>
  <c r="W581" i="1"/>
  <c r="Z581" i="1" s="1"/>
  <c r="AA581" i="1"/>
  <c r="W584" i="1"/>
  <c r="Z627" i="1"/>
  <c r="Z650" i="1"/>
  <c r="V493" i="1"/>
  <c r="V484" i="1" s="1"/>
  <c r="V483" i="1" s="1"/>
  <c r="W510" i="1"/>
  <c r="AA513" i="1"/>
  <c r="L524" i="1"/>
  <c r="L523" i="1" s="1"/>
  <c r="L522" i="1" s="1"/>
  <c r="W529" i="1"/>
  <c r="Z529" i="1" s="1"/>
  <c r="AA531" i="1"/>
  <c r="AA545" i="1"/>
  <c r="W545" i="1"/>
  <c r="AA559" i="1"/>
  <c r="AA558" i="1" s="1"/>
  <c r="W566" i="1"/>
  <c r="Z567" i="1"/>
  <c r="Z566" i="1" s="1"/>
  <c r="Y584" i="1"/>
  <c r="Y583" i="1" s="1"/>
  <c r="AA648" i="1"/>
  <c r="W648" i="1"/>
  <c r="Z648" i="1" s="1"/>
  <c r="AA482" i="1"/>
  <c r="AA488" i="1"/>
  <c r="AA487" i="1" s="1"/>
  <c r="W490" i="1"/>
  <c r="AA494" i="1"/>
  <c r="AA493" i="1" s="1"/>
  <c r="W496" i="1"/>
  <c r="Y519" i="1"/>
  <c r="W537" i="1"/>
  <c r="Z537" i="1" s="1"/>
  <c r="W551" i="1"/>
  <c r="Z551" i="1" s="1"/>
  <c r="W507" i="1"/>
  <c r="Z507" i="1" s="1"/>
  <c r="X541" i="1"/>
  <c r="AA543" i="1"/>
  <c r="Y546" i="1"/>
  <c r="Y565" i="1"/>
  <c r="Y564" i="1" s="1"/>
  <c r="M914" i="1"/>
  <c r="Y915" i="1"/>
  <c r="AA915" i="1"/>
  <c r="W549" i="1"/>
  <c r="X548" i="1"/>
  <c r="AA554" i="1"/>
  <c r="AA548" i="1" s="1"/>
  <c r="Z554" i="1"/>
  <c r="AA563" i="1"/>
  <c r="AA562" i="1" s="1"/>
  <c r="Z563" i="1"/>
  <c r="Z562" i="1" s="1"/>
  <c r="W565" i="1"/>
  <c r="X564" i="1"/>
  <c r="AA579" i="1"/>
  <c r="Y613" i="1"/>
  <c r="Y616" i="1"/>
  <c r="Y615" i="1" s="1"/>
  <c r="V615" i="1"/>
  <c r="V575" i="1" s="1"/>
  <c r="AA527" i="1"/>
  <c r="Y535" i="1"/>
  <c r="AA546" i="1"/>
  <c r="L557" i="1"/>
  <c r="L556" i="1" s="1"/>
  <c r="L555" i="1" s="1"/>
  <c r="AA565" i="1"/>
  <c r="AA564" i="1" s="1"/>
  <c r="Z613" i="1"/>
  <c r="W616" i="1"/>
  <c r="X637" i="1"/>
  <c r="AA638" i="1"/>
  <c r="W638" i="1"/>
  <c r="AA643" i="1"/>
  <c r="W643" i="1"/>
  <c r="Z643" i="1" s="1"/>
  <c r="AA686" i="1"/>
  <c r="Z603" i="1"/>
  <c r="L608" i="1"/>
  <c r="L686" i="1"/>
  <c r="Y501" i="1"/>
  <c r="Y500" i="1" s="1"/>
  <c r="Y511" i="1"/>
  <c r="Y509" i="1" s="1"/>
  <c r="W526" i="1"/>
  <c r="Z530" i="1"/>
  <c r="V532" i="1"/>
  <c r="AA542" i="1"/>
  <c r="Z542" i="1"/>
  <c r="Z552" i="1"/>
  <c r="W560" i="1"/>
  <c r="Z561" i="1"/>
  <c r="Z560" i="1" s="1"/>
  <c r="AA601" i="1"/>
  <c r="L630" i="1"/>
  <c r="Z635" i="1"/>
  <c r="W651" i="1"/>
  <c r="Z652" i="1"/>
  <c r="AA706" i="1"/>
  <c r="W706" i="1"/>
  <c r="Z706" i="1" s="1"/>
  <c r="M491" i="1"/>
  <c r="Z520" i="1"/>
  <c r="Y554" i="1"/>
  <c r="Y548" i="1" s="1"/>
  <c r="AA580" i="1"/>
  <c r="W580" i="1"/>
  <c r="Z580" i="1" s="1"/>
  <c r="Z576" i="1" s="1"/>
  <c r="AA590" i="1"/>
  <c r="W590" i="1"/>
  <c r="Z590" i="1" s="1"/>
  <c r="Z595" i="1"/>
  <c r="AA611" i="1"/>
  <c r="W611" i="1"/>
  <c r="Z611" i="1" s="1"/>
  <c r="AA633" i="1"/>
  <c r="W633" i="1"/>
  <c r="Z633" i="1" s="1"/>
  <c r="AA663" i="1"/>
  <c r="W663" i="1"/>
  <c r="Z663" i="1" s="1"/>
  <c r="AA511" i="1"/>
  <c r="AA520" i="1"/>
  <c r="X532" i="1"/>
  <c r="X524" i="1" s="1"/>
  <c r="X523" i="1" s="1"/>
  <c r="AA533" i="1"/>
  <c r="V644" i="1"/>
  <c r="V629" i="1" s="1"/>
  <c r="Y645" i="1"/>
  <c r="Y644" i="1" s="1"/>
  <c r="W645" i="1"/>
  <c r="W704" i="1"/>
  <c r="Z704" i="1" s="1"/>
  <c r="AA704" i="1"/>
  <c r="Z517" i="1"/>
  <c r="Y592" i="1"/>
  <c r="Y622" i="1"/>
  <c r="Z694" i="1"/>
  <c r="W693" i="1"/>
  <c r="Z730" i="1"/>
  <c r="Z729" i="1" s="1"/>
  <c r="W729" i="1"/>
  <c r="AA595" i="1"/>
  <c r="AA592" i="1" s="1"/>
  <c r="W597" i="1"/>
  <c r="Z597" i="1" s="1"/>
  <c r="W607" i="1"/>
  <c r="Z607" i="1" s="1"/>
  <c r="AA627" i="1"/>
  <c r="AA635" i="1"/>
  <c r="AA650" i="1"/>
  <c r="W657" i="1"/>
  <c r="Z657" i="1" s="1"/>
  <c r="Y659" i="1"/>
  <c r="M658" i="1"/>
  <c r="AA660" i="1"/>
  <c r="AA667" i="1"/>
  <c r="AA671" i="1"/>
  <c r="AA694" i="1"/>
  <c r="W746" i="1"/>
  <c r="Z746" i="1" s="1"/>
  <c r="AA746" i="1"/>
  <c r="Z776" i="1"/>
  <c r="AA613" i="1"/>
  <c r="Y652" i="1"/>
  <c r="Y651" i="1" s="1"/>
  <c r="AA655" i="1"/>
  <c r="AA672" i="1"/>
  <c r="Y752" i="1"/>
  <c r="V751" i="1"/>
  <c r="AA791" i="1"/>
  <c r="W791" i="1"/>
  <c r="Z791" i="1" s="1"/>
  <c r="AA823" i="1"/>
  <c r="W823" i="1"/>
  <c r="Z823" i="1" s="1"/>
  <c r="Z858" i="1"/>
  <c r="Z898" i="1"/>
  <c r="W903" i="1"/>
  <c r="X902" i="1"/>
  <c r="AA903" i="1"/>
  <c r="W1022" i="1"/>
  <c r="X1021" i="1"/>
  <c r="AA1022" i="1"/>
  <c r="X583" i="1"/>
  <c r="X575" i="1" s="1"/>
  <c r="AA589" i="1"/>
  <c r="AA583" i="1" s="1"/>
  <c r="W591" i="1"/>
  <c r="Z591" i="1" s="1"/>
  <c r="W602" i="1"/>
  <c r="W612" i="1"/>
  <c r="Z612" i="1" s="1"/>
  <c r="X615" i="1"/>
  <c r="AA621" i="1"/>
  <c r="AA615" i="1" s="1"/>
  <c r="W623" i="1"/>
  <c r="W631" i="1"/>
  <c r="AA642" i="1"/>
  <c r="X644" i="1"/>
  <c r="AA647" i="1"/>
  <c r="W654" i="1"/>
  <c r="Z654" i="1" s="1"/>
  <c r="W659" i="1"/>
  <c r="AA662" i="1"/>
  <c r="W666" i="1"/>
  <c r="Z680" i="1"/>
  <c r="AA701" i="1"/>
  <c r="L707" i="1"/>
  <c r="Y714" i="1"/>
  <c r="W737" i="1"/>
  <c r="Z738" i="1"/>
  <c r="Z737" i="1" s="1"/>
  <c r="L744" i="1"/>
  <c r="AA754" i="1"/>
  <c r="AA774" i="1"/>
  <c r="W774" i="1"/>
  <c r="Z774" i="1" s="1"/>
  <c r="AA813" i="1"/>
  <c r="W813" i="1"/>
  <c r="Z813" i="1" s="1"/>
  <c r="W722" i="1"/>
  <c r="W721" i="1" s="1"/>
  <c r="Z723" i="1"/>
  <c r="L797" i="1"/>
  <c r="W848" i="1"/>
  <c r="Z848" i="1" s="1"/>
  <c r="Y848" i="1"/>
  <c r="Z864" i="1"/>
  <c r="W998" i="1"/>
  <c r="Z998" i="1" s="1"/>
  <c r="AA998" i="1"/>
  <c r="W585" i="1"/>
  <c r="Z585" i="1" s="1"/>
  <c r="W596" i="1"/>
  <c r="Z596" i="1" s="1"/>
  <c r="Y602" i="1"/>
  <c r="Y601" i="1" s="1"/>
  <c r="W617" i="1"/>
  <c r="Z617" i="1" s="1"/>
  <c r="M622" i="1"/>
  <c r="W628" i="1"/>
  <c r="Z628" i="1" s="1"/>
  <c r="Y631" i="1"/>
  <c r="Y630" i="1" s="1"/>
  <c r="Y638" i="1"/>
  <c r="M637" i="1"/>
  <c r="Y666" i="1"/>
  <c r="W672" i="1"/>
  <c r="Y674" i="1"/>
  <c r="Y672" i="1" s="1"/>
  <c r="W678" i="1"/>
  <c r="Z678" i="1" s="1"/>
  <c r="W687" i="1"/>
  <c r="AA716" i="1"/>
  <c r="L729" i="1"/>
  <c r="L721" i="1" s="1"/>
  <c r="Y737" i="1"/>
  <c r="AA740" i="1"/>
  <c r="AA737" i="1" s="1"/>
  <c r="AA747" i="1"/>
  <c r="W747" i="1"/>
  <c r="Z747" i="1" s="1"/>
  <c r="AA806" i="1"/>
  <c r="W806" i="1"/>
  <c r="Z806" i="1" s="1"/>
  <c r="Y824" i="1"/>
  <c r="W824" i="1"/>
  <c r="Z824" i="1" s="1"/>
  <c r="Y1015" i="1"/>
  <c r="W1015" i="1"/>
  <c r="V1014" i="1"/>
  <c r="AA561" i="1"/>
  <c r="AA560" i="1" s="1"/>
  <c r="Z606" i="1"/>
  <c r="Y609" i="1"/>
  <c r="Y608" i="1" s="1"/>
  <c r="X651" i="1"/>
  <c r="AA666" i="1"/>
  <c r="Z674" i="1"/>
  <c r="X693" i="1"/>
  <c r="AA695" i="1"/>
  <c r="W707" i="1"/>
  <c r="Z708" i="1"/>
  <c r="Z707" i="1" s="1"/>
  <c r="Y722" i="1"/>
  <c r="AA725" i="1"/>
  <c r="AA722" i="1" s="1"/>
  <c r="AA721" i="1" s="1"/>
  <c r="Y764" i="1"/>
  <c r="Y782" i="1"/>
  <c r="Y779" i="1" s="1"/>
  <c r="L789" i="1"/>
  <c r="L788" i="1" s="1"/>
  <c r="Y797" i="1"/>
  <c r="V803" i="1"/>
  <c r="Y804" i="1"/>
  <c r="Z811" i="1"/>
  <c r="V845" i="1"/>
  <c r="Y908" i="1"/>
  <c r="Y926" i="1"/>
  <c r="AA631" i="1"/>
  <c r="AA674" i="1"/>
  <c r="Y686" i="1"/>
  <c r="AA689" i="1"/>
  <c r="Z750" i="1"/>
  <c r="AA767" i="1"/>
  <c r="W767" i="1"/>
  <c r="Z767" i="1" s="1"/>
  <c r="Y770" i="1"/>
  <c r="Y765" i="1" s="1"/>
  <c r="AA785" i="1"/>
  <c r="W785" i="1"/>
  <c r="Z785" i="1" s="1"/>
  <c r="Y792" i="1"/>
  <c r="Y789" i="1" s="1"/>
  <c r="Y788" i="1" s="1"/>
  <c r="X803" i="1"/>
  <c r="Z896" i="1"/>
  <c r="AA980" i="1"/>
  <c r="W980" i="1"/>
  <c r="X979" i="1"/>
  <c r="M592" i="1"/>
  <c r="W598" i="1"/>
  <c r="Z598" i="1" s="1"/>
  <c r="AA656" i="1"/>
  <c r="X700" i="1"/>
  <c r="Z714" i="1"/>
  <c r="AA748" i="1"/>
  <c r="W748" i="1"/>
  <c r="Z748" i="1" s="1"/>
  <c r="W772" i="1"/>
  <c r="Z773" i="1"/>
  <c r="W790" i="1"/>
  <c r="AA790" i="1"/>
  <c r="X789" i="1"/>
  <c r="X788" i="1" s="1"/>
  <c r="W795" i="1"/>
  <c r="Z795" i="1" s="1"/>
  <c r="AA795" i="1"/>
  <c r="AA801" i="1"/>
  <c r="AA797" i="1" s="1"/>
  <c r="W801" i="1"/>
  <c r="Z801" i="1" s="1"/>
  <c r="X821" i="1"/>
  <c r="W1010" i="1"/>
  <c r="Z1010" i="1" s="1"/>
  <c r="AA1010" i="1"/>
  <c r="W696" i="1"/>
  <c r="Z696" i="1" s="1"/>
  <c r="Y793" i="1"/>
  <c r="W793" i="1"/>
  <c r="Z793" i="1" s="1"/>
  <c r="W849" i="1"/>
  <c r="Z849" i="1" s="1"/>
  <c r="AA849" i="1"/>
  <c r="Y869" i="1"/>
  <c r="Y989" i="1"/>
  <c r="AA989" i="1"/>
  <c r="AA768" i="1"/>
  <c r="W768" i="1"/>
  <c r="Z768" i="1" s="1"/>
  <c r="AA786" i="1"/>
  <c r="W786" i="1"/>
  <c r="Z786" i="1" s="1"/>
  <c r="W812" i="1"/>
  <c r="Z812" i="1" s="1"/>
  <c r="AA812" i="1"/>
  <c r="V827" i="1"/>
  <c r="W828" i="1"/>
  <c r="Y828" i="1"/>
  <c r="AA838" i="1"/>
  <c r="W838" i="1"/>
  <c r="Z838" i="1" s="1"/>
  <c r="X869" i="1"/>
  <c r="AA870" i="1"/>
  <c r="W870" i="1"/>
  <c r="W669" i="1"/>
  <c r="Z669" i="1" s="1"/>
  <c r="Z671" i="1"/>
  <c r="Z677" i="1"/>
  <c r="X686" i="1"/>
  <c r="AA698" i="1"/>
  <c r="AA728" i="1"/>
  <c r="L737" i="1"/>
  <c r="L751" i="1"/>
  <c r="AA756" i="1"/>
  <c r="W756" i="1"/>
  <c r="Z756" i="1" s="1"/>
  <c r="V758" i="1"/>
  <c r="W759" i="1"/>
  <c r="X809" i="1"/>
  <c r="L1036" i="1"/>
  <c r="L1035" i="1" s="1"/>
  <c r="V1028" i="1"/>
  <c r="W1029" i="1"/>
  <c r="Y680" i="1"/>
  <c r="Y701" i="1"/>
  <c r="X751" i="1"/>
  <c r="X736" i="1" s="1"/>
  <c r="X797" i="1"/>
  <c r="Y802" i="1"/>
  <c r="Y829" i="1"/>
  <c r="V839" i="1"/>
  <c r="W843" i="1"/>
  <c r="Z843" i="1" s="1"/>
  <c r="Z839" i="1" s="1"/>
  <c r="Y872" i="1"/>
  <c r="X958" i="1"/>
  <c r="AA959" i="1"/>
  <c r="W959" i="1"/>
  <c r="AA971" i="1"/>
  <c r="W971" i="1"/>
  <c r="Z971" i="1" s="1"/>
  <c r="Y1009" i="1"/>
  <c r="Y1007" i="1" s="1"/>
  <c r="W1009" i="1"/>
  <c r="Z1009" i="1" s="1"/>
  <c r="Y1024" i="1"/>
  <c r="W1024" i="1"/>
  <c r="Z1024" i="1" s="1"/>
  <c r="W769" i="1"/>
  <c r="Z769" i="1" s="1"/>
  <c r="V779" i="1"/>
  <c r="Y799" i="1"/>
  <c r="W802" i="1"/>
  <c r="Z802" i="1" s="1"/>
  <c r="V809" i="1"/>
  <c r="Y823" i="1"/>
  <c r="W825" i="1"/>
  <c r="Z825" i="1" s="1"/>
  <c r="Z829" i="1"/>
  <c r="AA836" i="1"/>
  <c r="Y836" i="1"/>
  <c r="V857" i="1"/>
  <c r="V863" i="1"/>
  <c r="W878" i="1"/>
  <c r="Z878" i="1" s="1"/>
  <c r="Z876" i="1" s="1"/>
  <c r="Z875" i="1" s="1"/>
  <c r="V876" i="1"/>
  <c r="V875" i="1" s="1"/>
  <c r="Z893" i="1"/>
  <c r="M883" i="1"/>
  <c r="M882" i="1" s="1"/>
  <c r="L938" i="1"/>
  <c r="AA952" i="1"/>
  <c r="W952" i="1"/>
  <c r="Z952" i="1" s="1"/>
  <c r="Y1029" i="1"/>
  <c r="W1032" i="1"/>
  <c r="Z1032" i="1" s="1"/>
  <c r="Y1032" i="1"/>
  <c r="Y761" i="1"/>
  <c r="Y758" i="1" s="1"/>
  <c r="W766" i="1"/>
  <c r="W771" i="1"/>
  <c r="Z771" i="1" s="1"/>
  <c r="W784" i="1"/>
  <c r="W804" i="1"/>
  <c r="Y811" i="1"/>
  <c r="AA831" i="1"/>
  <c r="Y834" i="1"/>
  <c r="V833" i="1"/>
  <c r="W841" i="1"/>
  <c r="Z841" i="1" s="1"/>
  <c r="AA841" i="1"/>
  <c r="AA839" i="1" s="1"/>
  <c r="L863" i="1"/>
  <c r="L883" i="1"/>
  <c r="L882" i="1" s="1"/>
  <c r="Y893" i="1"/>
  <c r="Y890" i="1" s="1"/>
  <c r="L902" i="1"/>
  <c r="Z907" i="1"/>
  <c r="V914" i="1"/>
  <c r="AA931" i="1"/>
  <c r="W931" i="1"/>
  <c r="Z931" i="1" s="1"/>
  <c r="X926" i="1"/>
  <c r="AA936" i="1"/>
  <c r="AA941" i="1"/>
  <c r="W941" i="1"/>
  <c r="Z941" i="1" s="1"/>
  <c r="AA964" i="1"/>
  <c r="W964" i="1"/>
  <c r="Z964" i="1" s="1"/>
  <c r="AA969" i="1"/>
  <c r="M986" i="1"/>
  <c r="M957" i="1" s="1"/>
  <c r="M956" i="1" s="1"/>
  <c r="Y987" i="1"/>
  <c r="Y986" i="1" s="1"/>
  <c r="V993" i="1"/>
  <c r="Y994" i="1"/>
  <c r="X833" i="1"/>
  <c r="W834" i="1"/>
  <c r="X890" i="1"/>
  <c r="X883" i="1" s="1"/>
  <c r="X882" i="1" s="1"/>
  <c r="AA891" i="1"/>
  <c r="AA890" i="1" s="1"/>
  <c r="W891" i="1"/>
  <c r="V902" i="1"/>
  <c r="Y905" i="1"/>
  <c r="Y902" i="1" s="1"/>
  <c r="W905" i="1"/>
  <c r="Z905" i="1" s="1"/>
  <c r="AA910" i="1"/>
  <c r="W910" i="1"/>
  <c r="Z910" i="1" s="1"/>
  <c r="X908" i="1"/>
  <c r="V926" i="1"/>
  <c r="W939" i="1"/>
  <c r="AA939" i="1"/>
  <c r="X938" i="1"/>
  <c r="W1012" i="1"/>
  <c r="Z1012" i="1" s="1"/>
  <c r="AA1012" i="1"/>
  <c r="Y755" i="1"/>
  <c r="W763" i="1"/>
  <c r="Z763" i="1" s="1"/>
  <c r="AA776" i="1"/>
  <c r="W781" i="1"/>
  <c r="Z781" i="1" s="1"/>
  <c r="Z779" i="1" s="1"/>
  <c r="AA834" i="1"/>
  <c r="W861" i="1"/>
  <c r="Z861" i="1" s="1"/>
  <c r="AA953" i="1"/>
  <c r="W953" i="1"/>
  <c r="Z953" i="1" s="1"/>
  <c r="L972" i="1"/>
  <c r="L957" i="1" s="1"/>
  <c r="L956" i="1" s="1"/>
  <c r="W984" i="1"/>
  <c r="Z984" i="1" s="1"/>
  <c r="Y984" i="1"/>
  <c r="W986" i="1"/>
  <c r="Z987" i="1"/>
  <c r="Z986" i="1" s="1"/>
  <c r="Y1033" i="1"/>
  <c r="W1033" i="1"/>
  <c r="Z1033" i="1" s="1"/>
  <c r="Z1048" i="1"/>
  <c r="Z1047" i="1" s="1"/>
  <c r="W1047" i="1"/>
  <c r="W752" i="1"/>
  <c r="AA773" i="1"/>
  <c r="W798" i="1"/>
  <c r="AA804" i="1"/>
  <c r="AA803" i="1" s="1"/>
  <c r="V821" i="1"/>
  <c r="V851" i="1"/>
  <c r="W856" i="1"/>
  <c r="Z856" i="1" s="1"/>
  <c r="AA856" i="1"/>
  <c r="AA851" i="1" s="1"/>
  <c r="Y881" i="1"/>
  <c r="W881" i="1"/>
  <c r="Z881" i="1" s="1"/>
  <c r="Z885" i="1"/>
  <c r="Z884" i="1" s="1"/>
  <c r="W884" i="1"/>
  <c r="V944" i="1"/>
  <c r="Y945" i="1"/>
  <c r="Y995" i="1"/>
  <c r="AA822" i="1"/>
  <c r="AA821" i="1" s="1"/>
  <c r="W822" i="1"/>
  <c r="AA837" i="1"/>
  <c r="W837" i="1"/>
  <c r="Z837" i="1" s="1"/>
  <c r="Y839" i="1"/>
  <c r="W851" i="1"/>
  <c r="Z852" i="1"/>
  <c r="Z851" i="1" s="1"/>
  <c r="Y854" i="1"/>
  <c r="W854" i="1"/>
  <c r="Z854" i="1" s="1"/>
  <c r="AA859" i="1"/>
  <c r="W859" i="1"/>
  <c r="Z859" i="1" s="1"/>
  <c r="V920" i="1"/>
  <c r="V965" i="1"/>
  <c r="Y966" i="1"/>
  <c r="Y965" i="1" s="1"/>
  <c r="W995" i="1"/>
  <c r="Z995" i="1" s="1"/>
  <c r="AA995" i="1"/>
  <c r="Y746" i="1"/>
  <c r="Y744" i="1" s="1"/>
  <c r="W749" i="1"/>
  <c r="Z749" i="1" s="1"/>
  <c r="AA770" i="1"/>
  <c r="W775" i="1"/>
  <c r="Z775" i="1" s="1"/>
  <c r="AA808" i="1"/>
  <c r="W810" i="1"/>
  <c r="W816" i="1"/>
  <c r="AA913" i="1"/>
  <c r="W913" i="1"/>
  <c r="Z913" i="1" s="1"/>
  <c r="AA923" i="1"/>
  <c r="W923" i="1"/>
  <c r="Z923" i="1" s="1"/>
  <c r="AA935" i="1"/>
  <c r="W935" i="1"/>
  <c r="Z935" i="1" s="1"/>
  <c r="W951" i="1"/>
  <c r="AA951" i="1"/>
  <c r="X950" i="1"/>
  <c r="W1037" i="1"/>
  <c r="Z1038" i="1"/>
  <c r="Z1037" i="1" s="1"/>
  <c r="Y816" i="1"/>
  <c r="X839" i="1"/>
  <c r="Z872" i="1"/>
  <c r="W933" i="1"/>
  <c r="X932" i="1"/>
  <c r="Y980" i="1"/>
  <c r="L1000" i="1"/>
  <c r="Z1003" i="1"/>
  <c r="Y838" i="1"/>
  <c r="X857" i="1"/>
  <c r="AA934" i="1"/>
  <c r="W934" i="1"/>
  <c r="Z934" i="1" s="1"/>
  <c r="AA970" i="1"/>
  <c r="W970" i="1"/>
  <c r="Z970" i="1" s="1"/>
  <c r="L993" i="1"/>
  <c r="M1000" i="1"/>
  <c r="Y1016" i="1"/>
  <c r="AA1025" i="1"/>
  <c r="AA816" i="1"/>
  <c r="AA815" i="1" s="1"/>
  <c r="X827" i="1"/>
  <c r="AA846" i="1"/>
  <c r="AA845" i="1" s="1"/>
  <c r="Y858" i="1"/>
  <c r="AA861" i="1"/>
  <c r="Y865" i="1"/>
  <c r="Y863" i="1" s="1"/>
  <c r="Y877" i="1"/>
  <c r="Y886" i="1"/>
  <c r="Y884" i="1" s="1"/>
  <c r="V896" i="1"/>
  <c r="Y901" i="1"/>
  <c r="AA928" i="1"/>
  <c r="Z940" i="1"/>
  <c r="W954" i="1"/>
  <c r="Z954" i="1" s="1"/>
  <c r="W968" i="1"/>
  <c r="Z968" i="1" s="1"/>
  <c r="Y1002" i="1"/>
  <c r="Y1000" i="1" s="1"/>
  <c r="W1016" i="1"/>
  <c r="Z1016" i="1" s="1"/>
  <c r="AA1016" i="1"/>
  <c r="Z1018" i="1"/>
  <c r="Y1020" i="1"/>
  <c r="AA1027" i="1"/>
  <c r="Y1038" i="1"/>
  <c r="Y1037" i="1" s="1"/>
  <c r="Y1036" i="1" s="1"/>
  <c r="Y1035" i="1" s="1"/>
  <c r="M1043" i="1"/>
  <c r="AA858" i="1"/>
  <c r="Y898" i="1"/>
  <c r="Y917" i="1"/>
  <c r="Y919" i="1"/>
  <c r="AA946" i="1"/>
  <c r="AA982" i="1"/>
  <c r="W982" i="1"/>
  <c r="Z982" i="1" s="1"/>
  <c r="W990" i="1"/>
  <c r="Z990" i="1" s="1"/>
  <c r="W1004" i="1"/>
  <c r="Z1004" i="1" s="1"/>
  <c r="AA1004" i="1"/>
  <c r="W1006" i="1"/>
  <c r="Z1006" i="1" s="1"/>
  <c r="Y1026" i="1"/>
  <c r="Y1021" i="1" s="1"/>
  <c r="Y817" i="1"/>
  <c r="AA828" i="1"/>
  <c r="Y847" i="1"/>
  <c r="Y845" i="1" s="1"/>
  <c r="Y862" i="1"/>
  <c r="W915" i="1"/>
  <c r="AA917" i="1"/>
  <c r="W917" i="1"/>
  <c r="Z917" i="1" s="1"/>
  <c r="AA954" i="1"/>
  <c r="V957" i="1"/>
  <c r="V956" i="1" s="1"/>
  <c r="Y973" i="1"/>
  <c r="Z992" i="1"/>
  <c r="AA1006" i="1"/>
  <c r="W1026" i="1"/>
  <c r="Z1026" i="1" s="1"/>
  <c r="X1052" i="1"/>
  <c r="W1053" i="1"/>
  <c r="AA1058" i="1"/>
  <c r="Y1058" i="1"/>
  <c r="Z842" i="1"/>
  <c r="X851" i="1"/>
  <c r="AA877" i="1"/>
  <c r="AA876" i="1" s="1"/>
  <c r="AA875" i="1" s="1"/>
  <c r="Y920" i="1"/>
  <c r="L986" i="1"/>
  <c r="AA992" i="1"/>
  <c r="AA1026" i="1"/>
  <c r="L1068" i="1"/>
  <c r="Z1058" i="1"/>
  <c r="Y844" i="1"/>
  <c r="X875" i="1"/>
  <c r="Y932" i="1"/>
  <c r="Y938" i="1"/>
  <c r="Y953" i="1"/>
  <c r="Y950" i="1" s="1"/>
  <c r="Y955" i="1"/>
  <c r="Y997" i="1"/>
  <c r="W1019" i="1"/>
  <c r="Z1019" i="1" s="1"/>
  <c r="W1056" i="1"/>
  <c r="Z1056" i="1" s="1"/>
  <c r="AA1056" i="1"/>
  <c r="Y808" i="1"/>
  <c r="Y841" i="1"/>
  <c r="Y856" i="1"/>
  <c r="X896" i="1"/>
  <c r="Z904" i="1"/>
  <c r="W918" i="1"/>
  <c r="Z918" i="1" s="1"/>
  <c r="Y947" i="1"/>
  <c r="W949" i="1"/>
  <c r="Z949" i="1" s="1"/>
  <c r="Y981" i="1"/>
  <c r="AA983" i="1"/>
  <c r="Z999" i="1"/>
  <c r="Z1013" i="1"/>
  <c r="Z1023" i="1"/>
  <c r="W1031" i="1"/>
  <c r="Z1031" i="1" s="1"/>
  <c r="AA1031" i="1"/>
  <c r="Z1042" i="1"/>
  <c r="Z1041" i="1" s="1"/>
  <c r="Z836" i="1"/>
  <c r="X845" i="1"/>
  <c r="AA864" i="1"/>
  <c r="AA885" i="1"/>
  <c r="AA884" i="1" s="1"/>
  <c r="AA916" i="1"/>
  <c r="W916" i="1"/>
  <c r="Z916" i="1" s="1"/>
  <c r="Y974" i="1"/>
  <c r="AA1001" i="1"/>
  <c r="AA1005" i="1"/>
  <c r="AA1013" i="1"/>
  <c r="AA1019" i="1"/>
  <c r="AA1042" i="1"/>
  <c r="AA1041" i="1" s="1"/>
  <c r="V1077" i="1"/>
  <c r="V1076" i="1" s="1"/>
  <c r="V1075" i="1" s="1"/>
  <c r="Y1099" i="1"/>
  <c r="Y1093" i="1" s="1"/>
  <c r="W1099" i="1"/>
  <c r="Z1099" i="1" s="1"/>
  <c r="AA907" i="1"/>
  <c r="W912" i="1"/>
  <c r="Z912" i="1" s="1"/>
  <c r="AA925" i="1"/>
  <c r="W930" i="1"/>
  <c r="Z930" i="1" s="1"/>
  <c r="AA943" i="1"/>
  <c r="W948" i="1"/>
  <c r="Z948" i="1" s="1"/>
  <c r="AA961" i="1"/>
  <c r="W966" i="1"/>
  <c r="W1040" i="1"/>
  <c r="V1061" i="1"/>
  <c r="AA904" i="1"/>
  <c r="W909" i="1"/>
  <c r="AA922" i="1"/>
  <c r="W927" i="1"/>
  <c r="AA940" i="1"/>
  <c r="W945" i="1"/>
  <c r="W963" i="1"/>
  <c r="Z963" i="1" s="1"/>
  <c r="AA987" i="1"/>
  <c r="AA986" i="1" s="1"/>
  <c r="W994" i="1"/>
  <c r="AA999" i="1"/>
  <c r="AA1011" i="1"/>
  <c r="AA1018" i="1"/>
  <c r="AA1023" i="1"/>
  <c r="W1030" i="1"/>
  <c r="Z1030" i="1" s="1"/>
  <c r="L1061" i="1"/>
  <c r="AA1071" i="1"/>
  <c r="W1071" i="1"/>
  <c r="Z1071" i="1" s="1"/>
  <c r="W1059" i="1"/>
  <c r="Z1059" i="1" s="1"/>
  <c r="Y1059" i="1"/>
  <c r="AA901" i="1"/>
  <c r="AA896" i="1" s="1"/>
  <c r="W906" i="1"/>
  <c r="Z906" i="1" s="1"/>
  <c r="AA919" i="1"/>
  <c r="W924" i="1"/>
  <c r="Z924" i="1" s="1"/>
  <c r="Z920" i="1" s="1"/>
  <c r="AA937" i="1"/>
  <c r="W942" i="1"/>
  <c r="Z942" i="1" s="1"/>
  <c r="AA955" i="1"/>
  <c r="W960" i="1"/>
  <c r="Z960" i="1" s="1"/>
  <c r="AA973" i="1"/>
  <c r="AA972" i="1" s="1"/>
  <c r="AA1044" i="1"/>
  <c r="AA1043" i="1" s="1"/>
  <c r="X1043" i="1"/>
  <c r="AA909" i="1"/>
  <c r="AA927" i="1"/>
  <c r="AA945" i="1"/>
  <c r="AA944" i="1" s="1"/>
  <c r="AA963" i="1"/>
  <c r="X965" i="1"/>
  <c r="AA994" i="1"/>
  <c r="AA996" i="1"/>
  <c r="AA1008" i="1"/>
  <c r="X1007" i="1"/>
  <c r="AA1030" i="1"/>
  <c r="AA1028" i="1" s="1"/>
  <c r="AA1032" i="1"/>
  <c r="X1039" i="1"/>
  <c r="W1046" i="1"/>
  <c r="Z1055" i="1"/>
  <c r="AA1097" i="1"/>
  <c r="W1097" i="1"/>
  <c r="Z1097" i="1" s="1"/>
  <c r="Y1089" i="1"/>
  <c r="W1089" i="1"/>
  <c r="Z1089" i="1" s="1"/>
  <c r="Z1094" i="1"/>
  <c r="V1109" i="1"/>
  <c r="V1108" i="1" s="1"/>
  <c r="V1107" i="1" s="1"/>
  <c r="Y1115" i="1"/>
  <c r="Y1114" i="1" s="1"/>
  <c r="M1114" i="1"/>
  <c r="M1109" i="1" s="1"/>
  <c r="M1108" i="1" s="1"/>
  <c r="M1107" i="1" s="1"/>
  <c r="AA1082" i="1"/>
  <c r="W1082" i="1"/>
  <c r="Z1082" i="1" s="1"/>
  <c r="Z1115" i="1"/>
  <c r="Z1114" i="1" s="1"/>
  <c r="M1128" i="1"/>
  <c r="M1127" i="1" s="1"/>
  <c r="M1126" i="1" s="1"/>
  <c r="M1125" i="1" s="1"/>
  <c r="M1124" i="1" s="1"/>
  <c r="W1064" i="1"/>
  <c r="Z1064" i="1" s="1"/>
  <c r="Z1061" i="1" s="1"/>
  <c r="AA1064" i="1"/>
  <c r="AA1087" i="1"/>
  <c r="X1084" i="1"/>
  <c r="X1076" i="1" s="1"/>
  <c r="X1075" i="1" s="1"/>
  <c r="W1087" i="1"/>
  <c r="Z1087" i="1" s="1"/>
  <c r="Z1106" i="1"/>
  <c r="Y1060" i="1"/>
  <c r="Y1052" i="1" s="1"/>
  <c r="AA984" i="1"/>
  <c r="W989" i="1"/>
  <c r="Z989" i="1" s="1"/>
  <c r="AA1002" i="1"/>
  <c r="AA1020" i="1"/>
  <c r="W1025" i="1"/>
  <c r="Z1025" i="1" s="1"/>
  <c r="AA1038" i="1"/>
  <c r="AA1037" i="1" s="1"/>
  <c r="AA1036" i="1" s="1"/>
  <c r="AA1035" i="1" s="1"/>
  <c r="W1067" i="1"/>
  <c r="Z1067" i="1" s="1"/>
  <c r="AA1067" i="1"/>
  <c r="Y1130" i="1"/>
  <c r="Z1136" i="1"/>
  <c r="Z1135" i="1" s="1"/>
  <c r="Z1134" i="1" s="1"/>
  <c r="Z1133" i="1" s="1"/>
  <c r="Z1132" i="1" s="1"/>
  <c r="Z1131" i="1" s="1"/>
  <c r="W1135" i="1"/>
  <c r="W1134" i="1" s="1"/>
  <c r="W1133" i="1" s="1"/>
  <c r="W1132" i="1" s="1"/>
  <c r="W1131" i="1" s="1"/>
  <c r="Y1101" i="1"/>
  <c r="Y1100" i="1" s="1"/>
  <c r="W1078" i="1"/>
  <c r="W1088" i="1"/>
  <c r="Z1088" i="1" s="1"/>
  <c r="V1093" i="1"/>
  <c r="AA1094" i="1"/>
  <c r="W1098" i="1"/>
  <c r="Z1098" i="1" s="1"/>
  <c r="Z1101" i="1"/>
  <c r="Z1100" i="1" s="1"/>
  <c r="AA1106" i="1"/>
  <c r="AA1100" i="1" s="1"/>
  <c r="W1111" i="1"/>
  <c r="AA1115" i="1"/>
  <c r="AA1114" i="1" s="1"/>
  <c r="W1117" i="1"/>
  <c r="W1123" i="1"/>
  <c r="W1129" i="1"/>
  <c r="AA1130" i="1"/>
  <c r="V1100" i="1"/>
  <c r="Y1103" i="1"/>
  <c r="X1114" i="1"/>
  <c r="X1109" i="1" s="1"/>
  <c r="X1108" i="1" s="1"/>
  <c r="X1107" i="1" s="1"/>
  <c r="L1128" i="1"/>
  <c r="L1127" i="1" s="1"/>
  <c r="L1126" i="1" s="1"/>
  <c r="L1125" i="1" s="1"/>
  <c r="L1124" i="1" s="1"/>
  <c r="X1135" i="1"/>
  <c r="X1134" i="1" s="1"/>
  <c r="X1133" i="1" s="1"/>
  <c r="X1132" i="1" s="1"/>
  <c r="X1131" i="1" s="1"/>
  <c r="W1066" i="1"/>
  <c r="Z1066" i="1" s="1"/>
  <c r="Y1078" i="1"/>
  <c r="Y1077" i="1" s="1"/>
  <c r="AA1081" i="1"/>
  <c r="AA1086" i="1"/>
  <c r="AA1084" i="1" s="1"/>
  <c r="W1090" i="1"/>
  <c r="Z1090" i="1" s="1"/>
  <c r="X1093" i="1"/>
  <c r="X1092" i="1" s="1"/>
  <c r="X1091" i="1" s="1"/>
  <c r="AA1096" i="1"/>
  <c r="Y1111" i="1"/>
  <c r="Y1110" i="1" s="1"/>
  <c r="Y1117" i="1"/>
  <c r="Y1116" i="1" s="1"/>
  <c r="Y1123" i="1"/>
  <c r="Y1122" i="1" s="1"/>
  <c r="Y1121" i="1" s="1"/>
  <c r="Y1120" i="1" s="1"/>
  <c r="Y1129" i="1"/>
  <c r="Y1128" i="1" s="1"/>
  <c r="Y1127" i="1" s="1"/>
  <c r="Y1126" i="1" s="1"/>
  <c r="Y1125" i="1" s="1"/>
  <c r="Y1124" i="1" s="1"/>
  <c r="Y1072" i="1"/>
  <c r="Y1083" i="1"/>
  <c r="W1085" i="1"/>
  <c r="Y1105" i="1"/>
  <c r="Z1069" i="1"/>
  <c r="AA1078" i="1"/>
  <c r="AA1077" i="1" s="1"/>
  <c r="W1102" i="1"/>
  <c r="Z1102" i="1" s="1"/>
  <c r="AA1111" i="1"/>
  <c r="AA1110" i="1" s="1"/>
  <c r="W1113" i="1"/>
  <c r="AA1117" i="1"/>
  <c r="AA1116" i="1" s="1"/>
  <c r="W1119" i="1"/>
  <c r="AA1123" i="1"/>
  <c r="AA1122" i="1" s="1"/>
  <c r="AA1121" i="1" s="1"/>
  <c r="AA1120" i="1" s="1"/>
  <c r="Y1085" i="1"/>
  <c r="Z61" i="1" l="1"/>
  <c r="Z293" i="1"/>
  <c r="X20" i="1"/>
  <c r="Z745" i="1"/>
  <c r="W744" i="1"/>
  <c r="Y665" i="1"/>
  <c r="W863" i="1"/>
  <c r="AA751" i="1"/>
  <c r="AA644" i="1"/>
  <c r="L629" i="1"/>
  <c r="Y484" i="1"/>
  <c r="Y483" i="1" s="1"/>
  <c r="AA392" i="1"/>
  <c r="AA311" i="1"/>
  <c r="AA386" i="1"/>
  <c r="AA275" i="1"/>
  <c r="AA287" i="1"/>
  <c r="AA185" i="1"/>
  <c r="AA61" i="1"/>
  <c r="W441" i="1"/>
  <c r="Z442" i="1"/>
  <c r="Z441" i="1" s="1"/>
  <c r="AA1014" i="1"/>
  <c r="Y803" i="1"/>
  <c r="M629" i="1"/>
  <c r="Z863" i="1"/>
  <c r="V736" i="1"/>
  <c r="V574" i="1" s="1"/>
  <c r="L575" i="1"/>
  <c r="Z532" i="1"/>
  <c r="AA380" i="1"/>
  <c r="AA374" i="1"/>
  <c r="AA448" i="1"/>
  <c r="L244" i="1"/>
  <c r="L235" i="1" s="1"/>
  <c r="AA85" i="1"/>
  <c r="Y99" i="1"/>
  <c r="Y455" i="1"/>
  <c r="Y1109" i="1"/>
  <c r="Y1108" i="1" s="1"/>
  <c r="Y1107" i="1" s="1"/>
  <c r="AA1109" i="1"/>
  <c r="AA1108" i="1" s="1"/>
  <c r="AA1107" i="1" s="1"/>
  <c r="AA1128" i="1"/>
  <c r="AA1127" i="1" s="1"/>
  <c r="AA1126" i="1" s="1"/>
  <c r="AA1125" i="1" s="1"/>
  <c r="AA1124" i="1" s="1"/>
  <c r="Y857" i="1"/>
  <c r="AA665" i="1"/>
  <c r="Y637" i="1"/>
  <c r="AA658" i="1"/>
  <c r="AA455" i="1"/>
  <c r="AA500" i="1"/>
  <c r="AA427" i="1"/>
  <c r="AA54" i="1"/>
  <c r="X75" i="1"/>
  <c r="L778" i="1"/>
  <c r="W120" i="1"/>
  <c r="Z121" i="1"/>
  <c r="Z120" i="1" s="1"/>
  <c r="Y38" i="1"/>
  <c r="AA509" i="1"/>
  <c r="Y323" i="1"/>
  <c r="Z317" i="1"/>
  <c r="W317" i="1"/>
  <c r="Y269" i="1"/>
  <c r="AA99" i="1"/>
  <c r="V75" i="1"/>
  <c r="Z593" i="1"/>
  <c r="W592" i="1"/>
  <c r="Z1001" i="1"/>
  <c r="Z1000" i="1" s="1"/>
  <c r="AA1052" i="1"/>
  <c r="L1051" i="1"/>
  <c r="L1050" i="1" s="1"/>
  <c r="L1049" i="1" s="1"/>
  <c r="AA827" i="1"/>
  <c r="Y700" i="1"/>
  <c r="Y658" i="1"/>
  <c r="W532" i="1"/>
  <c r="X484" i="1"/>
  <c r="X483" i="1" s="1"/>
  <c r="Y362" i="1"/>
  <c r="V323" i="1"/>
  <c r="AA213" i="1"/>
  <c r="AA141" i="1"/>
  <c r="AA148" i="1"/>
  <c r="Y155" i="1"/>
  <c r="Y133" i="1" s="1"/>
  <c r="Y127" i="1" s="1"/>
  <c r="Y75" i="1" s="1"/>
  <c r="Y20" i="1" s="1"/>
  <c r="Y21" i="1"/>
  <c r="Y29" i="1"/>
  <c r="Y944" i="1"/>
  <c r="Y821" i="1"/>
  <c r="AA809" i="1"/>
  <c r="Z722" i="1"/>
  <c r="Z721" i="1" s="1"/>
  <c r="AA700" i="1"/>
  <c r="AA608" i="1"/>
  <c r="Y557" i="1"/>
  <c r="Y556" i="1" s="1"/>
  <c r="Y555" i="1" s="1"/>
  <c r="AA199" i="1"/>
  <c r="AA184" i="1" s="1"/>
  <c r="Z232" i="1"/>
  <c r="Z231" i="1" s="1"/>
  <c r="Z275" i="1"/>
  <c r="AA22" i="1"/>
  <c r="AA869" i="1"/>
  <c r="AA1007" i="1"/>
  <c r="AA863" i="1"/>
  <c r="Z1008" i="1"/>
  <c r="Z1007" i="1" s="1"/>
  <c r="W839" i="1"/>
  <c r="Z672" i="1"/>
  <c r="AA714" i="1"/>
  <c r="AA576" i="1"/>
  <c r="AA575" i="1" s="1"/>
  <c r="Y540" i="1"/>
  <c r="Y539" i="1" s="1"/>
  <c r="X323" i="1"/>
  <c r="AA420" i="1"/>
  <c r="Y344" i="1"/>
  <c r="Y332" i="1"/>
  <c r="Z257" i="1"/>
  <c r="W275" i="1"/>
  <c r="Y257" i="1"/>
  <c r="L75" i="1"/>
  <c r="Y707" i="1"/>
  <c r="X1036" i="1"/>
  <c r="X1035" i="1" s="1"/>
  <c r="AA1061" i="1"/>
  <c r="X1074" i="1"/>
  <c r="X1068" i="1" s="1"/>
  <c r="X1051" i="1" s="1"/>
  <c r="X1050" i="1" s="1"/>
  <c r="X1049" i="1" s="1"/>
  <c r="Z1093" i="1"/>
  <c r="Y1092" i="1"/>
  <c r="Y1091" i="1" s="1"/>
  <c r="Y896" i="1"/>
  <c r="AA920" i="1"/>
  <c r="AA833" i="1"/>
  <c r="AA630" i="1"/>
  <c r="Z592" i="1"/>
  <c r="AA622" i="1"/>
  <c r="Z700" i="1"/>
  <c r="Z608" i="1"/>
  <c r="X629" i="1"/>
  <c r="AA406" i="1"/>
  <c r="X405" i="1"/>
  <c r="X404" i="1" s="1"/>
  <c r="AA134" i="1"/>
  <c r="AA76" i="1"/>
  <c r="AA38" i="1"/>
  <c r="Z106" i="1"/>
  <c r="Y1084" i="1"/>
  <c r="V883" i="1"/>
  <c r="V882" i="1" s="1"/>
  <c r="V778" i="1"/>
  <c r="Z744" i="1"/>
  <c r="AA744" i="1"/>
  <c r="Z651" i="1"/>
  <c r="AA281" i="1"/>
  <c r="Y76" i="1"/>
  <c r="W896" i="1"/>
  <c r="M20" i="1"/>
  <c r="X522" i="1"/>
  <c r="X516" i="1" s="1"/>
  <c r="AA1076" i="1"/>
  <c r="AA1075" i="1" s="1"/>
  <c r="AA993" i="1"/>
  <c r="W938" i="1"/>
  <c r="Z939" i="1"/>
  <c r="Z938" i="1" s="1"/>
  <c r="Y1028" i="1"/>
  <c r="W869" i="1"/>
  <c r="Z870" i="1"/>
  <c r="Z869" i="1" s="1"/>
  <c r="W789" i="1"/>
  <c r="W788" i="1" s="1"/>
  <c r="Z790" i="1"/>
  <c r="Z789" i="1" s="1"/>
  <c r="Z788" i="1" s="1"/>
  <c r="X540" i="1"/>
  <c r="X539" i="1" s="1"/>
  <c r="W509" i="1"/>
  <c r="Z510" i="1"/>
  <c r="Z509" i="1" s="1"/>
  <c r="Z346" i="1"/>
  <c r="Z344" i="1" s="1"/>
  <c r="W344" i="1"/>
  <c r="W420" i="1"/>
  <c r="Z421" i="1"/>
  <c r="Z420" i="1" s="1"/>
  <c r="AA263" i="1"/>
  <c r="W227" i="1"/>
  <c r="W226" i="1" s="1"/>
  <c r="Z312" i="1"/>
  <c r="Z311" i="1" s="1"/>
  <c r="W311" i="1"/>
  <c r="W269" i="1"/>
  <c r="Z270" i="1"/>
  <c r="Z269" i="1" s="1"/>
  <c r="Z134" i="1"/>
  <c r="W76" i="1"/>
  <c r="Z77" i="1"/>
  <c r="Z76" i="1" s="1"/>
  <c r="AA47" i="1"/>
  <c r="W1084" i="1"/>
  <c r="Z1085" i="1"/>
  <c r="Z1084" i="1" s="1"/>
  <c r="Y1076" i="1"/>
  <c r="Y1075" i="1" s="1"/>
  <c r="Y1074" i="1" s="1"/>
  <c r="Y1068" i="1" s="1"/>
  <c r="Y1051" i="1" s="1"/>
  <c r="Y1050" i="1" s="1"/>
  <c r="Y1049" i="1" s="1"/>
  <c r="W1110" i="1"/>
  <c r="Z1111" i="1"/>
  <c r="Z1110" i="1" s="1"/>
  <c r="Z909" i="1"/>
  <c r="Z908" i="1" s="1"/>
  <c r="W908" i="1"/>
  <c r="Z1053" i="1"/>
  <c r="Z1052" i="1" s="1"/>
  <c r="W1052" i="1"/>
  <c r="AA932" i="1"/>
  <c r="Y815" i="1"/>
  <c r="Y851" i="1"/>
  <c r="W979" i="1"/>
  <c r="Z980" i="1"/>
  <c r="Z979" i="1" s="1"/>
  <c r="Z666" i="1"/>
  <c r="Z665" i="1" s="1"/>
  <c r="W665" i="1"/>
  <c r="Z602" i="1"/>
  <c r="Z601" i="1" s="1"/>
  <c r="W601" i="1"/>
  <c r="Z857" i="1"/>
  <c r="W299" i="1"/>
  <c r="Z300" i="1"/>
  <c r="Z299" i="1" s="1"/>
  <c r="Y220" i="1"/>
  <c r="Y184" i="1" s="1"/>
  <c r="Z281" i="1"/>
  <c r="Y993" i="1"/>
  <c r="Y833" i="1"/>
  <c r="AA979" i="1"/>
  <c r="AA765" i="1"/>
  <c r="W857" i="1"/>
  <c r="AA651" i="1"/>
  <c r="Z645" i="1"/>
  <c r="Z644" i="1" s="1"/>
  <c r="W644" i="1"/>
  <c r="AA525" i="1"/>
  <c r="W500" i="1"/>
  <c r="Z501" i="1"/>
  <c r="Z500" i="1" s="1"/>
  <c r="AA338" i="1"/>
  <c r="AA413" i="1"/>
  <c r="X331" i="1"/>
  <c r="X330" i="1" s="1"/>
  <c r="W386" i="1"/>
  <c r="Z387" i="1"/>
  <c r="Z386" i="1" s="1"/>
  <c r="AA245" i="1"/>
  <c r="W251" i="1"/>
  <c r="Z252" i="1"/>
  <c r="Z251" i="1" s="1"/>
  <c r="AA293" i="1"/>
  <c r="W281" i="1"/>
  <c r="W38" i="1"/>
  <c r="Z39" i="1"/>
  <c r="Z38" i="1" s="1"/>
  <c r="W1061" i="1"/>
  <c r="W658" i="1"/>
  <c r="Z659" i="1"/>
  <c r="Z658" i="1" s="1"/>
  <c r="W548" i="1"/>
  <c r="Z549" i="1"/>
  <c r="Z548" i="1" s="1"/>
  <c r="Z414" i="1"/>
  <c r="Z413" i="1" s="1"/>
  <c r="W413" i="1"/>
  <c r="W332" i="1"/>
  <c r="Z333" i="1"/>
  <c r="Z332" i="1" s="1"/>
  <c r="Z170" i="1"/>
  <c r="Z22" i="1"/>
  <c r="AA926" i="1"/>
  <c r="W815" i="1"/>
  <c r="Z816" i="1"/>
  <c r="Z815" i="1" s="1"/>
  <c r="W958" i="1"/>
  <c r="Z959" i="1"/>
  <c r="Z958" i="1" s="1"/>
  <c r="L736" i="1"/>
  <c r="Z845" i="1"/>
  <c r="Z693" i="1"/>
  <c r="AA541" i="1"/>
  <c r="AA540" i="1" s="1"/>
  <c r="AA539" i="1" s="1"/>
  <c r="AA914" i="1"/>
  <c r="Z463" i="1"/>
  <c r="Z462" i="1" s="1"/>
  <c r="W462" i="1"/>
  <c r="X499" i="1"/>
  <c r="X498" i="1" s="1"/>
  <c r="X497" i="1" s="1"/>
  <c r="W392" i="1"/>
  <c r="Z393" i="1"/>
  <c r="Z392" i="1" s="1"/>
  <c r="V405" i="1"/>
  <c r="V404" i="1" s="1"/>
  <c r="AA332" i="1"/>
  <c r="V331" i="1"/>
  <c r="V330" i="1" s="1"/>
  <c r="AA227" i="1"/>
  <c r="AA226" i="1" s="1"/>
  <c r="AA220" i="1" s="1"/>
  <c r="Z213" i="1"/>
  <c r="W237" i="1"/>
  <c r="W236" i="1" s="1"/>
  <c r="Z238" i="1"/>
  <c r="Z237" i="1" s="1"/>
  <c r="Z236" i="1" s="1"/>
  <c r="Z185" i="1"/>
  <c r="W1118" i="1"/>
  <c r="Z1119" i="1"/>
  <c r="Z1118" i="1" s="1"/>
  <c r="AA1093" i="1"/>
  <c r="AA1092" i="1" s="1"/>
  <c r="AA1091" i="1" s="1"/>
  <c r="V1128" i="1"/>
  <c r="V1127" i="1" s="1"/>
  <c r="V1126" i="1" s="1"/>
  <c r="V1125" i="1" s="1"/>
  <c r="V1124" i="1" s="1"/>
  <c r="Z1046" i="1"/>
  <c r="Z1045" i="1" s="1"/>
  <c r="W1045" i="1"/>
  <c r="AA908" i="1"/>
  <c r="W1039" i="1"/>
  <c r="Z1040" i="1"/>
  <c r="Z1039" i="1" s="1"/>
  <c r="AA950" i="1"/>
  <c r="Z810" i="1"/>
  <c r="Z809" i="1" s="1"/>
  <c r="W809" i="1"/>
  <c r="W803" i="1"/>
  <c r="Z804" i="1"/>
  <c r="Z803" i="1" s="1"/>
  <c r="AA958" i="1"/>
  <c r="Y827" i="1"/>
  <c r="W845" i="1"/>
  <c r="V1036" i="1"/>
  <c r="V1035" i="1" s="1"/>
  <c r="W779" i="1"/>
  <c r="Y914" i="1"/>
  <c r="Y883" i="1" s="1"/>
  <c r="Y882" i="1" s="1"/>
  <c r="AA557" i="1"/>
  <c r="AA556" i="1" s="1"/>
  <c r="AA555" i="1" s="1"/>
  <c r="Z584" i="1"/>
  <c r="Z583" i="1" s="1"/>
  <c r="W583" i="1"/>
  <c r="Z398" i="1"/>
  <c r="Y398" i="1"/>
  <c r="W257" i="1"/>
  <c r="Z227" i="1"/>
  <c r="Z226" i="1" s="1"/>
  <c r="Z220" i="1" s="1"/>
  <c r="W287" i="1"/>
  <c r="Z289" i="1"/>
  <c r="Z287" i="1" s="1"/>
  <c r="AA237" i="1"/>
  <c r="AA236" i="1" s="1"/>
  <c r="Z155" i="1"/>
  <c r="W99" i="1"/>
  <c r="Z100" i="1"/>
  <c r="Z99" i="1" s="1"/>
  <c r="V1092" i="1"/>
  <c r="V1091" i="1" s="1"/>
  <c r="V1074" i="1" s="1"/>
  <c r="V1068" i="1" s="1"/>
  <c r="V1051" i="1" s="1"/>
  <c r="V1050" i="1" s="1"/>
  <c r="V1049" i="1" s="1"/>
  <c r="W1100" i="1"/>
  <c r="Z994" i="1"/>
  <c r="Z993" i="1" s="1"/>
  <c r="W993" i="1"/>
  <c r="W965" i="1"/>
  <c r="Z966" i="1"/>
  <c r="Z965" i="1" s="1"/>
  <c r="Y972" i="1"/>
  <c r="AA857" i="1"/>
  <c r="AA796" i="1" s="1"/>
  <c r="Y979" i="1"/>
  <c r="W950" i="1"/>
  <c r="Z951" i="1"/>
  <c r="Z950" i="1" s="1"/>
  <c r="AA965" i="1"/>
  <c r="W783" i="1"/>
  <c r="Z784" i="1"/>
  <c r="Z783" i="1" s="1"/>
  <c r="Z778" i="1" s="1"/>
  <c r="Z772" i="1" s="1"/>
  <c r="X957" i="1"/>
  <c r="X956" i="1" s="1"/>
  <c r="W1028" i="1"/>
  <c r="Z1029" i="1"/>
  <c r="Z1028" i="1" s="1"/>
  <c r="Z828" i="1"/>
  <c r="Z827" i="1" s="1"/>
  <c r="W827" i="1"/>
  <c r="AA1021" i="1"/>
  <c r="AA532" i="1"/>
  <c r="W637" i="1"/>
  <c r="Z638" i="1"/>
  <c r="Z637" i="1" s="1"/>
  <c r="Z545" i="1"/>
  <c r="Z541" i="1" s="1"/>
  <c r="Z540" i="1" s="1"/>
  <c r="Z539" i="1" s="1"/>
  <c r="W541" i="1"/>
  <c r="W487" i="1"/>
  <c r="Z488" i="1"/>
  <c r="Z487" i="1" s="1"/>
  <c r="AA434" i="1"/>
  <c r="Y469" i="1"/>
  <c r="W368" i="1"/>
  <c r="Z369" i="1"/>
  <c r="Z368" i="1" s="1"/>
  <c r="AA317" i="1"/>
  <c r="W350" i="1"/>
  <c r="Z351" i="1"/>
  <c r="Z350" i="1" s="1"/>
  <c r="V226" i="1"/>
  <c r="V20" i="1" s="1"/>
  <c r="Z206" i="1"/>
  <c r="Z30" i="1"/>
  <c r="Z29" i="1" s="1"/>
  <c r="W29" i="1"/>
  <c r="W1112" i="1"/>
  <c r="Z1113" i="1"/>
  <c r="Z1112" i="1" s="1"/>
  <c r="Z1092" i="1"/>
  <c r="Z1091" i="1" s="1"/>
  <c r="W920" i="1"/>
  <c r="W821" i="1"/>
  <c r="Z822" i="1"/>
  <c r="Z821" i="1" s="1"/>
  <c r="L796" i="1"/>
  <c r="V796" i="1" s="1"/>
  <c r="W525" i="1"/>
  <c r="W524" i="1" s="1"/>
  <c r="W523" i="1" s="1"/>
  <c r="Z526" i="1"/>
  <c r="Z525" i="1" s="1"/>
  <c r="Z524" i="1" s="1"/>
  <c r="Z523" i="1" s="1"/>
  <c r="AA637" i="1"/>
  <c r="Z496" i="1"/>
  <c r="Z495" i="1" s="1"/>
  <c r="W495" i="1"/>
  <c r="AA469" i="1"/>
  <c r="Z382" i="1"/>
  <c r="Z380" i="1" s="1"/>
  <c r="W380" i="1"/>
  <c r="M484" i="1"/>
  <c r="M483" i="1" s="1"/>
  <c r="W374" i="1"/>
  <c r="Z375" i="1"/>
  <c r="Z374" i="1" s="1"/>
  <c r="AA368" i="1"/>
  <c r="AA350" i="1"/>
  <c r="W293" i="1"/>
  <c r="Y281" i="1"/>
  <c r="V244" i="1"/>
  <c r="V235" i="1" s="1"/>
  <c r="AA162" i="1"/>
  <c r="W68" i="1"/>
  <c r="Z69" i="1"/>
  <c r="Z68" i="1" s="1"/>
  <c r="L20" i="1"/>
  <c r="W1077" i="1"/>
  <c r="W1076" i="1" s="1"/>
  <c r="W1075" i="1" s="1"/>
  <c r="Z1078" i="1"/>
  <c r="Z1077" i="1" s="1"/>
  <c r="W1093" i="1"/>
  <c r="W932" i="1"/>
  <c r="Z933" i="1"/>
  <c r="Z932" i="1" s="1"/>
  <c r="W890" i="1"/>
  <c r="Z891" i="1"/>
  <c r="Z890" i="1" s="1"/>
  <c r="W876" i="1"/>
  <c r="W875" i="1" s="1"/>
  <c r="W765" i="1"/>
  <c r="Z766" i="1"/>
  <c r="Z765" i="1" s="1"/>
  <c r="X685" i="1"/>
  <c r="Z631" i="1"/>
  <c r="Z630" i="1" s="1"/>
  <c r="W630" i="1"/>
  <c r="W629" i="1" s="1"/>
  <c r="Z1022" i="1"/>
  <c r="Z1021" i="1" s="1"/>
  <c r="W1021" i="1"/>
  <c r="Y575" i="1"/>
  <c r="W469" i="1"/>
  <c r="Z470" i="1"/>
  <c r="Z469" i="1" s="1"/>
  <c r="AA484" i="1"/>
  <c r="AA483" i="1" s="1"/>
  <c r="X244" i="1"/>
  <c r="X235" i="1" s="1"/>
  <c r="X19" i="1" s="1"/>
  <c r="X18" i="1" s="1"/>
  <c r="AA206" i="1"/>
  <c r="W177" i="1"/>
  <c r="W169" i="1" s="1"/>
  <c r="Z178" i="1"/>
  <c r="Z177" i="1" s="1"/>
  <c r="AA68" i="1"/>
  <c r="W113" i="1"/>
  <c r="Z114" i="1"/>
  <c r="Z113" i="1" s="1"/>
  <c r="W1128" i="1"/>
  <c r="W1127" i="1" s="1"/>
  <c r="W1126" i="1" s="1"/>
  <c r="W1125" i="1" s="1"/>
  <c r="W1124" i="1" s="1"/>
  <c r="Z1129" i="1"/>
  <c r="Z1128" i="1" s="1"/>
  <c r="Z1127" i="1" s="1"/>
  <c r="Z1126" i="1" s="1"/>
  <c r="Z1125" i="1" s="1"/>
  <c r="Z1124" i="1" s="1"/>
  <c r="X1128" i="1"/>
  <c r="X1127" i="1" s="1"/>
  <c r="X1126" i="1" s="1"/>
  <c r="X1125" i="1" s="1"/>
  <c r="X1124" i="1" s="1"/>
  <c r="Z945" i="1"/>
  <c r="Z944" i="1" s="1"/>
  <c r="W944" i="1"/>
  <c r="W797" i="1"/>
  <c r="Z798" i="1"/>
  <c r="Z797" i="1" s="1"/>
  <c r="Y721" i="1"/>
  <c r="W1014" i="1"/>
  <c r="Z1015" i="1"/>
  <c r="Z1014" i="1" s="1"/>
  <c r="W622" i="1"/>
  <c r="Z623" i="1"/>
  <c r="Z622" i="1" s="1"/>
  <c r="AA902" i="1"/>
  <c r="Z616" i="1"/>
  <c r="Z615" i="1" s="1"/>
  <c r="W615" i="1"/>
  <c r="Z565" i="1"/>
  <c r="Z564" i="1" s="1"/>
  <c r="W564" i="1"/>
  <c r="Z490" i="1"/>
  <c r="Z489" i="1" s="1"/>
  <c r="W489" i="1"/>
  <c r="M575" i="1"/>
  <c r="M574" i="1" s="1"/>
  <c r="M573" i="1" s="1"/>
  <c r="M572" i="1" s="1"/>
  <c r="Z364" i="1"/>
  <c r="Z362" i="1" s="1"/>
  <c r="W362" i="1"/>
  <c r="AA441" i="1"/>
  <c r="Z357" i="1"/>
  <c r="Z356" i="1" s="1"/>
  <c r="W356" i="1"/>
  <c r="W448" i="1"/>
  <c r="W405" i="1" s="1"/>
  <c r="W404" i="1" s="1"/>
  <c r="Z449" i="1"/>
  <c r="Z448" i="1" s="1"/>
  <c r="Z325" i="1"/>
  <c r="Z324" i="1" s="1"/>
  <c r="Z323" i="1" s="1"/>
  <c r="W324" i="1"/>
  <c r="W323" i="1" s="1"/>
  <c r="Y368" i="1"/>
  <c r="AA462" i="1"/>
  <c r="AA269" i="1"/>
  <c r="AA170" i="1"/>
  <c r="AA169" i="1" s="1"/>
  <c r="Z128" i="1"/>
  <c r="W127" i="1"/>
  <c r="AA113" i="1"/>
  <c r="AA1000" i="1"/>
  <c r="Y1014" i="1"/>
  <c r="W686" i="1"/>
  <c r="W685" i="1" s="1"/>
  <c r="Z687" i="1"/>
  <c r="Z686" i="1" s="1"/>
  <c r="Z685" i="1" s="1"/>
  <c r="Z679" i="1" s="1"/>
  <c r="AA693" i="1"/>
  <c r="Y532" i="1"/>
  <c r="Y524" i="1" s="1"/>
  <c r="Y523" i="1" s="1"/>
  <c r="Y522" i="1" s="1"/>
  <c r="Y516" i="1" s="1"/>
  <c r="Y499" i="1" s="1"/>
  <c r="Y498" i="1" s="1"/>
  <c r="Y497" i="1" s="1"/>
  <c r="Z306" i="1"/>
  <c r="Z305" i="1" s="1"/>
  <c r="W305" i="1"/>
  <c r="L405" i="1"/>
  <c r="L404" i="1" s="1"/>
  <c r="Y287" i="1"/>
  <c r="Y350" i="1"/>
  <c r="Z263" i="1"/>
  <c r="Z244" i="1" s="1"/>
  <c r="Y275" i="1"/>
  <c r="W263" i="1"/>
  <c r="W199" i="1"/>
  <c r="Z200" i="1"/>
  <c r="Z199" i="1" s="1"/>
  <c r="Z193" i="1"/>
  <c r="Z192" i="1" s="1"/>
  <c r="W192" i="1"/>
  <c r="W148" i="1"/>
  <c r="Z149" i="1"/>
  <c r="Z148" i="1" s="1"/>
  <c r="Z142" i="1"/>
  <c r="Z141" i="1" s="1"/>
  <c r="W141" i="1"/>
  <c r="W162" i="1"/>
  <c r="Z163" i="1"/>
  <c r="Z162" i="1" s="1"/>
  <c r="W92" i="1"/>
  <c r="Z93" i="1"/>
  <c r="Z92" i="1" s="1"/>
  <c r="W54" i="1"/>
  <c r="Z55" i="1"/>
  <c r="Z54" i="1" s="1"/>
  <c r="AA106" i="1"/>
  <c r="W1122" i="1"/>
  <c r="W1121" i="1" s="1"/>
  <c r="W1120" i="1" s="1"/>
  <c r="Z1123" i="1"/>
  <c r="Z1122" i="1" s="1"/>
  <c r="Z1121" i="1" s="1"/>
  <c r="Z1120" i="1" s="1"/>
  <c r="W1116" i="1"/>
  <c r="Z1117" i="1"/>
  <c r="Z1116" i="1" s="1"/>
  <c r="Z927" i="1"/>
  <c r="Z926" i="1" s="1"/>
  <c r="W926" i="1"/>
  <c r="W914" i="1"/>
  <c r="Z915" i="1"/>
  <c r="Z914" i="1" s="1"/>
  <c r="Y876" i="1"/>
  <c r="Y875" i="1" s="1"/>
  <c r="Z752" i="1"/>
  <c r="Z751" i="1" s="1"/>
  <c r="W751" i="1"/>
  <c r="AA938" i="1"/>
  <c r="Z834" i="1"/>
  <c r="Z833" i="1" s="1"/>
  <c r="W833" i="1"/>
  <c r="W758" i="1"/>
  <c r="Z759" i="1"/>
  <c r="Z758" i="1" s="1"/>
  <c r="AA789" i="1"/>
  <c r="AA788" i="1" s="1"/>
  <c r="Z903" i="1"/>
  <c r="Z902" i="1" s="1"/>
  <c r="W902" i="1"/>
  <c r="Y751" i="1"/>
  <c r="V788" i="1"/>
  <c r="L685" i="1"/>
  <c r="Y685" i="1" s="1"/>
  <c r="Y679" i="1" s="1"/>
  <c r="Y629" i="1" s="1"/>
  <c r="Z559" i="1"/>
  <c r="Z558" i="1" s="1"/>
  <c r="Z557" i="1" s="1"/>
  <c r="Z556" i="1" s="1"/>
  <c r="Z555" i="1" s="1"/>
  <c r="W558" i="1"/>
  <c r="V557" i="1"/>
  <c r="V556" i="1" s="1"/>
  <c r="V555" i="1" s="1"/>
  <c r="V524" i="1"/>
  <c r="V523" i="1" s="1"/>
  <c r="V522" i="1" s="1"/>
  <c r="V516" i="1" s="1"/>
  <c r="V499" i="1" s="1"/>
  <c r="V498" i="1" s="1"/>
  <c r="V497" i="1" s="1"/>
  <c r="AA356" i="1"/>
  <c r="Z339" i="1"/>
  <c r="Z338" i="1" s="1"/>
  <c r="W338" i="1"/>
  <c r="Y434" i="1"/>
  <c r="AA305" i="1"/>
  <c r="W398" i="1"/>
  <c r="W245" i="1"/>
  <c r="Y299" i="1"/>
  <c r="W85" i="1"/>
  <c r="Z86" i="1"/>
  <c r="Z85" i="1" s="1"/>
  <c r="AA92" i="1"/>
  <c r="W47" i="1"/>
  <c r="Z48" i="1"/>
  <c r="Z47" i="1" s="1"/>
  <c r="Z883" i="1" l="1"/>
  <c r="Z882" i="1" s="1"/>
  <c r="AA133" i="1"/>
  <c r="AA127" i="1" s="1"/>
  <c r="Z484" i="1"/>
  <c r="Z483" i="1" s="1"/>
  <c r="AA778" i="1"/>
  <c r="AA772" i="1" s="1"/>
  <c r="AA736" i="1" s="1"/>
  <c r="X778" i="1"/>
  <c r="X574" i="1" s="1"/>
  <c r="Y244" i="1"/>
  <c r="Y235" i="1" s="1"/>
  <c r="Y19" i="1" s="1"/>
  <c r="Y18" i="1" s="1"/>
  <c r="W883" i="1"/>
  <c r="W882" i="1" s="1"/>
  <c r="W21" i="1"/>
  <c r="W20" i="1" s="1"/>
  <c r="Z405" i="1"/>
  <c r="Z404" i="1" s="1"/>
  <c r="AA21" i="1"/>
  <c r="Y405" i="1"/>
  <c r="Y404" i="1" s="1"/>
  <c r="W540" i="1"/>
  <c r="W539" i="1" s="1"/>
  <c r="Z736" i="1"/>
  <c r="W575" i="1"/>
  <c r="Y796" i="1"/>
  <c r="AA883" i="1"/>
  <c r="AA882" i="1" s="1"/>
  <c r="W522" i="1"/>
  <c r="W516" i="1" s="1"/>
  <c r="V19" i="1"/>
  <c r="V18" i="1" s="1"/>
  <c r="Z1036" i="1"/>
  <c r="Z1035" i="1" s="1"/>
  <c r="Z1076" i="1"/>
  <c r="Z1075" i="1" s="1"/>
  <c r="Z1074" i="1" s="1"/>
  <c r="Z1068" i="1" s="1"/>
  <c r="Z1051" i="1" s="1"/>
  <c r="Z1050" i="1" s="1"/>
  <c r="Z1049" i="1" s="1"/>
  <c r="W1036" i="1"/>
  <c r="W1035" i="1" s="1"/>
  <c r="M19" i="1"/>
  <c r="M18" i="1" s="1"/>
  <c r="Y331" i="1"/>
  <c r="Y330" i="1" s="1"/>
  <c r="W557" i="1"/>
  <c r="W556" i="1" s="1"/>
  <c r="W555" i="1" s="1"/>
  <c r="W184" i="1"/>
  <c r="Z575" i="1"/>
  <c r="W736" i="1"/>
  <c r="AA685" i="1"/>
  <c r="AA679" i="1" s="1"/>
  <c r="AA629" i="1" s="1"/>
  <c r="AA405" i="1"/>
  <c r="AA404" i="1" s="1"/>
  <c r="W484" i="1"/>
  <c r="W483" i="1" s="1"/>
  <c r="Y957" i="1"/>
  <c r="Y956" i="1" s="1"/>
  <c r="W1109" i="1"/>
  <c r="W1108" i="1" s="1"/>
  <c r="Y778" i="1"/>
  <c r="Y772" i="1" s="1"/>
  <c r="Y736" i="1" s="1"/>
  <c r="AA75" i="1"/>
  <c r="AA20" i="1" s="1"/>
  <c r="W1092" i="1"/>
  <c r="W1091" i="1" s="1"/>
  <c r="W1074" i="1" s="1"/>
  <c r="W1068" i="1" s="1"/>
  <c r="W1051" i="1" s="1"/>
  <c r="W1050" i="1" s="1"/>
  <c r="W1049" i="1" s="1"/>
  <c r="Z522" i="1"/>
  <c r="Z516" i="1" s="1"/>
  <c r="X796" i="1"/>
  <c r="Z629" i="1"/>
  <c r="L787" i="1"/>
  <c r="Z787" i="1" s="1"/>
  <c r="Z169" i="1"/>
  <c r="AA957" i="1"/>
  <c r="AA956" i="1" s="1"/>
  <c r="AA331" i="1"/>
  <c r="AA330" i="1" s="1"/>
  <c r="Z499" i="1"/>
  <c r="Z498" i="1" s="1"/>
  <c r="Z497" i="1" s="1"/>
  <c r="W75" i="1"/>
  <c r="Z796" i="1"/>
  <c r="Z133" i="1"/>
  <c r="Z127" i="1" s="1"/>
  <c r="Z75" i="1" s="1"/>
  <c r="L19" i="1"/>
  <c r="L18" i="1" s="1"/>
  <c r="W499" i="1"/>
  <c r="W498" i="1" s="1"/>
  <c r="W497" i="1" s="1"/>
  <c r="W796" i="1"/>
  <c r="W787" i="1" s="1"/>
  <c r="Z957" i="1"/>
  <c r="Z956" i="1" s="1"/>
  <c r="AA524" i="1"/>
  <c r="AA523" i="1" s="1"/>
  <c r="AA522" i="1" s="1"/>
  <c r="AA516" i="1" s="1"/>
  <c r="AA499" i="1" s="1"/>
  <c r="AA498" i="1" s="1"/>
  <c r="AA497" i="1" s="1"/>
  <c r="W133" i="1"/>
  <c r="W957" i="1"/>
  <c r="W956" i="1" s="1"/>
  <c r="Z184" i="1"/>
  <c r="AA1074" i="1"/>
  <c r="AA1068" i="1" s="1"/>
  <c r="AA1051" i="1" s="1"/>
  <c r="AA1050" i="1" s="1"/>
  <c r="AA1049" i="1" s="1"/>
  <c r="W778" i="1"/>
  <c r="Z331" i="1"/>
  <c r="Z330" i="1" s="1"/>
  <c r="AA244" i="1"/>
  <c r="AA235" i="1" s="1"/>
  <c r="Z1109" i="1"/>
  <c r="Z1108" i="1" s="1"/>
  <c r="Z1107" i="1" s="1"/>
  <c r="L574" i="1"/>
  <c r="W331" i="1"/>
  <c r="W330" i="1" s="1"/>
  <c r="W1107" i="1"/>
  <c r="Z235" i="1"/>
  <c r="W244" i="1"/>
  <c r="W235" i="1" s="1"/>
  <c r="V787" i="1"/>
  <c r="V573" i="1" s="1"/>
  <c r="V572" i="1" s="1"/>
  <c r="Z21" i="1"/>
  <c r="Z574" i="1" l="1"/>
  <c r="AA19" i="1"/>
  <c r="AA18" i="1" s="1"/>
  <c r="AA574" i="1"/>
  <c r="AA573" i="1" s="1"/>
  <c r="AA572" i="1" s="1"/>
  <c r="W574" i="1"/>
  <c r="W573" i="1" s="1"/>
  <c r="W572" i="1"/>
  <c r="Y574" i="1"/>
  <c r="X787" i="1"/>
  <c r="X573" i="1" s="1"/>
  <c r="X572" i="1" s="1"/>
  <c r="W19" i="1"/>
  <c r="W18" i="1" s="1"/>
  <c r="Y787" i="1"/>
  <c r="L573" i="1"/>
  <c r="L572" i="1" s="1"/>
  <c r="L3" i="1" s="1"/>
  <c r="AA787" i="1"/>
  <c r="Z20" i="1"/>
  <c r="Z19" i="1" s="1"/>
  <c r="Z18" i="1" s="1"/>
  <c r="AA3" i="1" l="1"/>
  <c r="Z573" i="1"/>
  <c r="Z572" i="1" s="1"/>
  <c r="Z3" i="1" s="1"/>
  <c r="Y573" i="1"/>
  <c r="Y572" i="1" s="1"/>
  <c r="Y3" i="1" s="1"/>
</calcChain>
</file>

<file path=xl/sharedStrings.xml><?xml version="1.0" encoding="utf-8"?>
<sst xmlns="http://schemas.openxmlformats.org/spreadsheetml/2006/main" count="3074" uniqueCount="1093">
  <si>
    <t>PMS</t>
  </si>
  <si>
    <t>plan Weight</t>
  </si>
  <si>
    <t>plan Progress</t>
  </si>
  <si>
    <t>Actual Weight</t>
  </si>
  <si>
    <t>Actual Progress</t>
  </si>
  <si>
    <t>coding</t>
  </si>
  <si>
    <t>Project</t>
  </si>
  <si>
    <t>A</t>
  </si>
  <si>
    <t>B</t>
  </si>
  <si>
    <t>C</t>
  </si>
  <si>
    <t>D</t>
  </si>
  <si>
    <t>E</t>
  </si>
  <si>
    <t>CC</t>
  </si>
  <si>
    <t>DESCRIPTION</t>
  </si>
  <si>
    <t>UNIT</t>
  </si>
  <si>
    <t>WBS</t>
  </si>
  <si>
    <t>W.F</t>
  </si>
  <si>
    <t>WEIGHT</t>
  </si>
  <si>
    <t>START</t>
  </si>
  <si>
    <t>Finished</t>
  </si>
  <si>
    <t>Last</t>
  </si>
  <si>
    <t>This</t>
  </si>
  <si>
    <t>Total</t>
  </si>
  <si>
    <t>Ethylene Plant Expansion - Civil , Steel Structure &amp; Funrnaces Works</t>
  </si>
  <si>
    <t>1.START</t>
  </si>
  <si>
    <t>1.start</t>
  </si>
  <si>
    <t>start project</t>
  </si>
  <si>
    <t>1.start project</t>
  </si>
  <si>
    <t>601.1.1.1.1.01.01</t>
  </si>
  <si>
    <t>Cracking Furnaces Erection (OLF1)</t>
  </si>
  <si>
    <t/>
  </si>
  <si>
    <t>601.1.1.1.1.01.02</t>
  </si>
  <si>
    <t>Cracking Furnaces Erection (OLF2)</t>
  </si>
  <si>
    <t>2.Mobilization</t>
  </si>
  <si>
    <t>1.Mobilization</t>
  </si>
  <si>
    <t>1.Mobilization project</t>
  </si>
  <si>
    <t>Mobilization project</t>
  </si>
  <si>
    <t>601.2.1.1.1.01.01</t>
  </si>
  <si>
    <t>601.2.1.1.1.01.02</t>
  </si>
  <si>
    <t>3.Cracking Furnaces Erection (OLF1)</t>
  </si>
  <si>
    <t>1.F110</t>
  </si>
  <si>
    <t>1.Furnaces  Steel Structure (Plate &amp; Steel)</t>
  </si>
  <si>
    <t>01.Radiant Plate Sections</t>
  </si>
  <si>
    <t>1A Radiant Floor Panels</t>
  </si>
  <si>
    <t>601.3.1.1.1.0101</t>
  </si>
  <si>
    <t>Material Handling</t>
  </si>
  <si>
    <r>
      <t xml:space="preserve">01.ACTIVITY </t>
    </r>
    <r>
      <rPr>
        <b/>
        <sz val="8"/>
        <color rgb="FFFF0000"/>
        <rFont val="Calibri"/>
        <family val="2"/>
        <scheme val="minor"/>
      </rPr>
      <t xml:space="preserve">1~4  </t>
    </r>
    <r>
      <rPr>
        <b/>
        <sz val="8"/>
        <color theme="1"/>
        <rFont val="Calibri"/>
        <family val="2"/>
        <scheme val="minor"/>
      </rPr>
      <t>(OLFINE 1)</t>
    </r>
  </si>
  <si>
    <t>601.3.1.1.1.0102</t>
  </si>
  <si>
    <t>Installation</t>
  </si>
  <si>
    <t>601.3.1.1.1.0103</t>
  </si>
  <si>
    <t>Leveling &amp; Plumbness</t>
  </si>
  <si>
    <t>601.3.1.1.1.0104</t>
  </si>
  <si>
    <t>Full Bolt &amp; Tightening</t>
  </si>
  <si>
    <t>601.3.1.1.1.0105</t>
  </si>
  <si>
    <t>Touch up</t>
  </si>
  <si>
    <t>601.3.1.1.1.0106</t>
  </si>
  <si>
    <t>Certificate</t>
  </si>
  <si>
    <t>1B Radiant Side Wall Panels Axis B+F(Out side)</t>
  </si>
  <si>
    <t>601.3.1.1.1.0201</t>
  </si>
  <si>
    <t>KG</t>
  </si>
  <si>
    <t>601.3.1.1.1.0202</t>
  </si>
  <si>
    <t>Chipping&amp;Padding</t>
  </si>
  <si>
    <t>601.3.1.1.1.0203</t>
  </si>
  <si>
    <t>Installation(Column/Beam/Bracing/Stair)</t>
  </si>
  <si>
    <t>601.3.1.1.1.0204</t>
  </si>
  <si>
    <t>Bolting</t>
  </si>
  <si>
    <t>601.3.1.1.1.0205</t>
  </si>
  <si>
    <t>Aligenment</t>
  </si>
  <si>
    <t>601.3.1.1.1.0206</t>
  </si>
  <si>
    <t>Grouting</t>
  </si>
  <si>
    <t>601.3.1.1.1.0207</t>
  </si>
  <si>
    <t>Punch Removing</t>
  </si>
  <si>
    <t>601.3.1.1.1.0208</t>
  </si>
  <si>
    <t>Finall Inspection</t>
  </si>
  <si>
    <t>1C Radiant Side Wall Panels Axis C+E(Inside)</t>
  </si>
  <si>
    <t>601.3.1.1.1.0301</t>
  </si>
  <si>
    <t>601.3.1.1.1.0302</t>
  </si>
  <si>
    <t>601.3.1.1.1.0303</t>
  </si>
  <si>
    <t>601.3.1.1.1.0304</t>
  </si>
  <si>
    <t>601.3.1.1.1.0305</t>
  </si>
  <si>
    <t>601.3.1.1.1.0306</t>
  </si>
  <si>
    <t>601.3.1.1.1.0307</t>
  </si>
  <si>
    <t>601.3.1.1.1.0308</t>
  </si>
  <si>
    <t>1D Radiant End Wall Panels</t>
  </si>
  <si>
    <t>601.3.1.1.1.0401</t>
  </si>
  <si>
    <t>601.3.1.1.1.0402</t>
  </si>
  <si>
    <t>601.3.1.1.1.0403</t>
  </si>
  <si>
    <t>601.3.1.1.1.0404</t>
  </si>
  <si>
    <t>601.3.1.1.1.0405</t>
  </si>
  <si>
    <t>601.3.1.1.1.0406</t>
  </si>
  <si>
    <t>1E Radiant Roof Panels</t>
  </si>
  <si>
    <t>601.3.1.1.1.0501</t>
  </si>
  <si>
    <t>601.3.1.1.1.0502</t>
  </si>
  <si>
    <t>601.3.1.1.1.0503</t>
  </si>
  <si>
    <t>601.3.1.1.1.0504</t>
  </si>
  <si>
    <t>601.3.1.1.1.0505</t>
  </si>
  <si>
    <t>601.3.1.1.1.0506</t>
  </si>
  <si>
    <t>1F Radiant Roof Shadow Box</t>
  </si>
  <si>
    <t>601.3.1.1.1.0601</t>
  </si>
  <si>
    <t>601.3.1.1.1.0602</t>
  </si>
  <si>
    <t>601.3.1.1.1.0603</t>
  </si>
  <si>
    <t>601.3.1.1.1.0604</t>
  </si>
  <si>
    <t>601.3.1.1.1.0605</t>
  </si>
  <si>
    <t>601.3.1.1.1.0606</t>
  </si>
  <si>
    <t>1G Radiant Transition Roof To Convection</t>
  </si>
  <si>
    <t>601.3.1.1.1.0701</t>
  </si>
  <si>
    <t>601.3.1.1.1.0702</t>
  </si>
  <si>
    <t>601.3.1.1.1.0703</t>
  </si>
  <si>
    <t>601.3.1.1.1.0704</t>
  </si>
  <si>
    <t>601.3.1.1.1.0705</t>
  </si>
  <si>
    <t>601.3.1.1.1.0706</t>
  </si>
  <si>
    <t>02.Radiant Steel Sections</t>
  </si>
  <si>
    <t>2A1 Columns Steel Structure</t>
  </si>
  <si>
    <t>601.3.1.1.2.0101</t>
  </si>
  <si>
    <t>601.3.1.1.2.0102</t>
  </si>
  <si>
    <t>601.3.1.1.2.0103</t>
  </si>
  <si>
    <t>601.3.1.1.2.0104</t>
  </si>
  <si>
    <t>601.3.1.1.2.0105</t>
  </si>
  <si>
    <t>601.3.1.1.2.0106</t>
  </si>
  <si>
    <t>601.3.1.1.2.0107</t>
  </si>
  <si>
    <t>601.3.1.1.2.0108</t>
  </si>
  <si>
    <t>2A2 Platform</t>
  </si>
  <si>
    <t>601.3.1.1.2.0201</t>
  </si>
  <si>
    <t>601.3.1.1.2.0202</t>
  </si>
  <si>
    <t>601.3.1.1.2.0203</t>
  </si>
  <si>
    <t>601.3.1.1.2.0204</t>
  </si>
  <si>
    <t>601.3.1.1.2.0205</t>
  </si>
  <si>
    <t>601.3.1.1.2.0206</t>
  </si>
  <si>
    <t>2A3 Platform</t>
  </si>
  <si>
    <t>601.3.1.1.2.0301</t>
  </si>
  <si>
    <t>601.3.1.1.2.0302</t>
  </si>
  <si>
    <t>601.3.1.1.2.0303</t>
  </si>
  <si>
    <t>601.3.1.1.2.0304</t>
  </si>
  <si>
    <t>601.3.1.1.2.0305</t>
  </si>
  <si>
    <t>601.3.1.1.2.0306</t>
  </si>
  <si>
    <t>2A4 Platform</t>
  </si>
  <si>
    <t>601.3.1.1.2.0401</t>
  </si>
  <si>
    <t>601.3.1.1.2.0402</t>
  </si>
  <si>
    <t>601.3.1.1.2.0403</t>
  </si>
  <si>
    <t>601.3.1.1.2.0404</t>
  </si>
  <si>
    <t>601.3.1.1.2.0405</t>
  </si>
  <si>
    <t>601.3.1.1.2.0406</t>
  </si>
  <si>
    <t>2A5 Platform</t>
  </si>
  <si>
    <t>601.3.1.1.2.0501</t>
  </si>
  <si>
    <t>601.3.1.1.2.0502</t>
  </si>
  <si>
    <t>601.3.1.1.2.0503</t>
  </si>
  <si>
    <t>601.3.1.1.2.0504</t>
  </si>
  <si>
    <t>601.3.1.1.2.0505</t>
  </si>
  <si>
    <t>601.3.1.1.2.0506</t>
  </si>
  <si>
    <t>2B Railing  (Handrail) For Radiant Platforms</t>
  </si>
  <si>
    <t>601.3.1.1.2.0601</t>
  </si>
  <si>
    <t>02.Lader &amp; Handrail</t>
  </si>
  <si>
    <t>601.3.1.1.2.0602</t>
  </si>
  <si>
    <t>601.3.1.1.2.0603</t>
  </si>
  <si>
    <t>601.3.1.1.2.0604</t>
  </si>
  <si>
    <t>601.3.1.1.2.0605</t>
  </si>
  <si>
    <t>601.3.1.1.2.0606</t>
  </si>
  <si>
    <t>2C Ladders  For Radiant Platforms</t>
  </si>
  <si>
    <t>601.3.1.1.2.0701</t>
  </si>
  <si>
    <t>601.3.1.1.2.0702</t>
  </si>
  <si>
    <t>601.3.1.1.2.0703</t>
  </si>
  <si>
    <t>601.3.1.1.2.0704</t>
  </si>
  <si>
    <t>601.3.1.1.2.0705</t>
  </si>
  <si>
    <t>601.3.1.1.2.0706</t>
  </si>
  <si>
    <t>2D Grating  For Radiant Platforms</t>
  </si>
  <si>
    <t>601.3.1.1.2.0801</t>
  </si>
  <si>
    <t>03.Grating</t>
  </si>
  <si>
    <t>601.3.1.1.2.0802</t>
  </si>
  <si>
    <t>installation</t>
  </si>
  <si>
    <t>601.3.1.1.2.0803</t>
  </si>
  <si>
    <t>Clamping &amp; Tightening</t>
  </si>
  <si>
    <t>601.3.1.1.2.0804</t>
  </si>
  <si>
    <t>Touch up &amp; Cleaning</t>
  </si>
  <si>
    <t>601.3.1.1.2.0805</t>
  </si>
  <si>
    <t>03.Convection, Header Box Convection Breeching Plate Sections</t>
  </si>
  <si>
    <t>3A Convection Floor Panels</t>
  </si>
  <si>
    <t>601.3.1.1.3.0101</t>
  </si>
  <si>
    <t>601.3.1.1.3.0102</t>
  </si>
  <si>
    <t>601.3.1.1.3.0103</t>
  </si>
  <si>
    <t>601.3.1.1.3.0104</t>
  </si>
  <si>
    <t>601.3.1.1.3.0105</t>
  </si>
  <si>
    <t>601.3.1.1.3.0106</t>
  </si>
  <si>
    <t>3B Convection Side Wall (Inside)</t>
  </si>
  <si>
    <t>601.3.1.1.3.0201</t>
  </si>
  <si>
    <t>601.3.1.1.3.0202</t>
  </si>
  <si>
    <t>601.3.1.1.3.0203</t>
  </si>
  <si>
    <t>601.3.1.1.3.0204</t>
  </si>
  <si>
    <t>601.3.1.1.3.0205</t>
  </si>
  <si>
    <t>601.3.1.1.3.0206</t>
  </si>
  <si>
    <t>3C Convection Side Wall (Outside)</t>
  </si>
  <si>
    <t>601.3.1.1.3.0301</t>
  </si>
  <si>
    <t>601.3.1.1.3.0302</t>
  </si>
  <si>
    <t>601.3.1.1.3.0303</t>
  </si>
  <si>
    <t>601.3.1.1.3.0304</t>
  </si>
  <si>
    <t>601.3.1.1.3.0305</t>
  </si>
  <si>
    <t>601.3.1.1.3.0306</t>
  </si>
  <si>
    <t>3D Header box</t>
  </si>
  <si>
    <t>601.3.1.1.3.0401</t>
  </si>
  <si>
    <t>601.3.1.1.3.0402</t>
  </si>
  <si>
    <t>601.3.1.1.3.0403</t>
  </si>
  <si>
    <t>601.3.1.1.3.0404</t>
  </si>
  <si>
    <t>601.3.1.1.3.0405</t>
  </si>
  <si>
    <t>601.3.1.1.3.0406</t>
  </si>
  <si>
    <t>3E Convection Breeching</t>
  </si>
  <si>
    <t>601.3.1.1.3.0501</t>
  </si>
  <si>
    <t>601.3.1.1.3.0502</t>
  </si>
  <si>
    <t>601.3.1.1.3.0503</t>
  </si>
  <si>
    <t>601.3.1.1.3.0504</t>
  </si>
  <si>
    <t>601.3.1.1.3.0505</t>
  </si>
  <si>
    <t>601.3.1.1.3.0506</t>
  </si>
  <si>
    <t>04.Flue Gas Duct &amp; Stack Plate Section</t>
  </si>
  <si>
    <t>3F Flue Gas Duc</t>
  </si>
  <si>
    <t>601.3.1.1.4.0101</t>
  </si>
  <si>
    <t>601.3.1.1.4.0102</t>
  </si>
  <si>
    <t>601.3.1.1.4.0103</t>
  </si>
  <si>
    <t>601.3.1.1.4.0104</t>
  </si>
  <si>
    <t>601.3.1.1.4.0105</t>
  </si>
  <si>
    <t>601.3.1.1.4.0106</t>
  </si>
  <si>
    <t>3G Stack</t>
  </si>
  <si>
    <t>601.3.1.1.4.0201</t>
  </si>
  <si>
    <t>601.3.1.1.4.0202</t>
  </si>
  <si>
    <t>601.3.1.1.4.0203</t>
  </si>
  <si>
    <t>601.3.1.1.4.0204</t>
  </si>
  <si>
    <t>601.3.1.1.4.0205</t>
  </si>
  <si>
    <t>601.3.1.1.4.0206</t>
  </si>
  <si>
    <t>05.Convection &amp; Upper Steel Section</t>
  </si>
  <si>
    <t>4A1 Platform</t>
  </si>
  <si>
    <t>601.3.1.1.5.0101</t>
  </si>
  <si>
    <t>601.3.1.1.5.0102</t>
  </si>
  <si>
    <t>601.3.1.1.5.0103</t>
  </si>
  <si>
    <t>601.3.1.1.5.0104</t>
  </si>
  <si>
    <t>601.3.1.1.5.0105</t>
  </si>
  <si>
    <t>601.3.1.1.5.0106</t>
  </si>
  <si>
    <t>4A2 Columns And Steel Structure</t>
  </si>
  <si>
    <t>601.3.1.1.5.0201</t>
  </si>
  <si>
    <t>601.3.1.1.5.0202</t>
  </si>
  <si>
    <t>601.3.1.1.5.0203</t>
  </si>
  <si>
    <t>601.3.1.1.5.0204</t>
  </si>
  <si>
    <t>601.3.1.1.5.0205</t>
  </si>
  <si>
    <t>601.3.1.1.5.0206</t>
  </si>
  <si>
    <t>4A3 Columns And Steel Structure</t>
  </si>
  <si>
    <t>601.3.1.1.5.0301</t>
  </si>
  <si>
    <t>601.3.1.1.5.0302</t>
  </si>
  <si>
    <t>601.3.1.1.5.0303</t>
  </si>
  <si>
    <t>601.3.1.1.5.0304</t>
  </si>
  <si>
    <t>601.3.1.1.5.0305</t>
  </si>
  <si>
    <t>601.3.1.1.5.0306</t>
  </si>
  <si>
    <t>4B Railing  (Handrail) For Convection &amp; Upper Section Platforms</t>
  </si>
  <si>
    <t>601.3.1.1.5.0401</t>
  </si>
  <si>
    <t>601.3.1.1.5.0402</t>
  </si>
  <si>
    <t>601.3.1.1.5.0403</t>
  </si>
  <si>
    <t>601.3.1.1.5.0404</t>
  </si>
  <si>
    <t>601.3.1.1.5.0405</t>
  </si>
  <si>
    <t>601.3.1.1.5.0406</t>
  </si>
  <si>
    <t>4C Ladders For Convection &amp; Upper Section Platforms</t>
  </si>
  <si>
    <t>601.3.1.1.5.0501</t>
  </si>
  <si>
    <t>601.3.1.1.5.0502</t>
  </si>
  <si>
    <t>601.3.1.1.5.0503</t>
  </si>
  <si>
    <t>601.3.1.1.5.0504</t>
  </si>
  <si>
    <t>601.3.1.1.5.0505</t>
  </si>
  <si>
    <t>601.3.1.1.5.0506</t>
  </si>
  <si>
    <t>4D Grating For Convection &amp; Upper Section Platforms</t>
  </si>
  <si>
    <t>601.3.1.1.5.0601</t>
  </si>
  <si>
    <t>601.3.1.1.5.0602</t>
  </si>
  <si>
    <t>601.3.1.1.5.0603</t>
  </si>
  <si>
    <t>601.3.1.1.5.0604</t>
  </si>
  <si>
    <t>601.3.1.1.5.0605</t>
  </si>
  <si>
    <t>06.Other Accessories</t>
  </si>
  <si>
    <t>Peep Doors</t>
  </si>
  <si>
    <t>601.3.1.1.6.0101</t>
  </si>
  <si>
    <t>601.3.1.1.6.0102</t>
  </si>
  <si>
    <t>Tightening</t>
  </si>
  <si>
    <t>601.3.1.1.6.0103</t>
  </si>
  <si>
    <t>Accessories Doors(Z-1110)</t>
  </si>
  <si>
    <t>601.3.1.1.6.0201</t>
  </si>
  <si>
    <t>601.3.1.1.6.0202</t>
  </si>
  <si>
    <t>601.3.1.1.6.0203</t>
  </si>
  <si>
    <t>2.Furnace Coil System</t>
  </si>
  <si>
    <t>07.Radiant Coils &amp; Accessories</t>
  </si>
  <si>
    <t>Radiant Coils (Inlet Coil &amp; OutlentCoil)</t>
  </si>
  <si>
    <t>601.3.1.2.1.0101</t>
  </si>
  <si>
    <t>05.Furnace Coil System</t>
  </si>
  <si>
    <t>601.3.1.2.1.0102</t>
  </si>
  <si>
    <t>Erection</t>
  </si>
  <si>
    <t>601.3.1.2.1.0103</t>
  </si>
  <si>
    <t>Aligenment/Leveling</t>
  </si>
  <si>
    <t>601.3.1.2.1.0104</t>
  </si>
  <si>
    <t>Full Bolting/Welding</t>
  </si>
  <si>
    <t>601.3.1.2.1.0106</t>
  </si>
  <si>
    <t>601.3.1.2.1.0107</t>
  </si>
  <si>
    <t>08.Convection Coils &amp; Accessories</t>
  </si>
  <si>
    <t>Economiser (ECO)</t>
  </si>
  <si>
    <t>601.3.1.2.2.0101</t>
  </si>
  <si>
    <t>NO.</t>
  </si>
  <si>
    <t>601.3.1.2.2.0102</t>
  </si>
  <si>
    <t>601.3.1.2.2.0103</t>
  </si>
  <si>
    <t>Fixing &amp; tightening</t>
  </si>
  <si>
    <t>601.3.1.2.2.0104</t>
  </si>
  <si>
    <t>Setting &amp; Alignment</t>
  </si>
  <si>
    <t>601.3.1.2.2.0105</t>
  </si>
  <si>
    <t>Feed Preheater (FPH)</t>
  </si>
  <si>
    <t>601.3.1.2.2.0201</t>
  </si>
  <si>
    <t>601.3.1.2.2.0202</t>
  </si>
  <si>
    <t>601.3.1.2.2.0203</t>
  </si>
  <si>
    <t>601.3.1.2.2.0204</t>
  </si>
  <si>
    <t>601.3.1.2.2.0205</t>
  </si>
  <si>
    <t>High Pressure Steam Superheater  One (HPSSH-I)</t>
  </si>
  <si>
    <t>601.3.1.2.2.0301</t>
  </si>
  <si>
    <t>601.3.1.2.2.0302</t>
  </si>
  <si>
    <t>601.3.1.2.2.0303</t>
  </si>
  <si>
    <t>601.3.1.2.2.0304</t>
  </si>
  <si>
    <t>601.3.1.2.2.0305</t>
  </si>
  <si>
    <t>High Pressure Steam Superheater  One (HPSSH-II)</t>
  </si>
  <si>
    <t>601.3.1.2.2.0401</t>
  </si>
  <si>
    <t>601.3.1.2.2.0402</t>
  </si>
  <si>
    <t>601.3.1.2.2.0403</t>
  </si>
  <si>
    <t>601.3.1.2.2.0404</t>
  </si>
  <si>
    <t>601.3.1.2.2.0405</t>
  </si>
  <si>
    <t>High Temperature Coil One (HTC-I)</t>
  </si>
  <si>
    <t>601.3.1.2.2.0501</t>
  </si>
  <si>
    <t>601.3.1.2.2.0502</t>
  </si>
  <si>
    <t>601.3.1.2.2.0503</t>
  </si>
  <si>
    <t>601.3.1.2.2.0504</t>
  </si>
  <si>
    <t>601.3.1.2.2.0505</t>
  </si>
  <si>
    <t>High Temperature Coil One (HTC-II)</t>
  </si>
  <si>
    <t>601.3.1.2.2.0601</t>
  </si>
  <si>
    <t>601.3.1.2.2.0602</t>
  </si>
  <si>
    <t>601.3.1.2.2.0603</t>
  </si>
  <si>
    <t>601.3.1.2.2.0604</t>
  </si>
  <si>
    <t>601.3.1.2.2.0605</t>
  </si>
  <si>
    <t>HT Crossover (HTX)</t>
  </si>
  <si>
    <t>601.3.1.2.2.0701</t>
  </si>
  <si>
    <t>601.3.1.2.2.0702</t>
  </si>
  <si>
    <t>601.3.1.2.2.0703</t>
  </si>
  <si>
    <t>601.3.1.2.2.0704</t>
  </si>
  <si>
    <t>601.3.1.2.2.0705</t>
  </si>
  <si>
    <t>LT Crossover B(LTX-B)</t>
  </si>
  <si>
    <t>601.3.1.2.2.0801</t>
  </si>
  <si>
    <t>601.3.1.2.2.0802</t>
  </si>
  <si>
    <t>601.3.1.2.2.0803</t>
  </si>
  <si>
    <t>601.3.1.2.2.0804</t>
  </si>
  <si>
    <t>601.3.1.2.2.0805</t>
  </si>
  <si>
    <t>LT Crossover T(LTX-T)</t>
  </si>
  <si>
    <t>601.3.1.2.2.0901</t>
  </si>
  <si>
    <t>601.3.1.2.2.0902</t>
  </si>
  <si>
    <t>601.3.1.2.2.0903</t>
  </si>
  <si>
    <t>601.3.1.2.2.0904</t>
  </si>
  <si>
    <t>601.3.1.2.2.0905</t>
  </si>
  <si>
    <t>Venture For X-Over System</t>
  </si>
  <si>
    <t>601.3.1.2.2.1001</t>
  </si>
  <si>
    <t>601.3.1.2.2.1002</t>
  </si>
  <si>
    <t>601.3.1.2.2.1003</t>
  </si>
  <si>
    <t>601.3.1.2.2.1004</t>
  </si>
  <si>
    <t>601.3.1.2.2.1005</t>
  </si>
  <si>
    <t>Comsockets</t>
  </si>
  <si>
    <t>601.3.1.2.2.1101</t>
  </si>
  <si>
    <t>601.3.1.2.2.1102</t>
  </si>
  <si>
    <t>601.3.1.2.2.1103</t>
  </si>
  <si>
    <t>601.3.1.2.2.1104</t>
  </si>
  <si>
    <t>601.3.1.2.2.1105</t>
  </si>
  <si>
    <t>Brackets</t>
  </si>
  <si>
    <t>601.3.1.2.2.1201</t>
  </si>
  <si>
    <t>601.3.1.2.2.1202</t>
  </si>
  <si>
    <t>601.3.1.2.2.1203</t>
  </si>
  <si>
    <t>601.3.1.2.2.1204</t>
  </si>
  <si>
    <t>601.3.1.2.2.1205</t>
  </si>
  <si>
    <t>Common Part</t>
  </si>
  <si>
    <t>601.3.1.2.2.1301</t>
  </si>
  <si>
    <t>601.3.1.2.2.1302</t>
  </si>
  <si>
    <t>601.3.1.2.2.1303</t>
  </si>
  <si>
    <t>601.3.1.2.2.1304</t>
  </si>
  <si>
    <t>601.3.1.2.2.1305</t>
  </si>
  <si>
    <t>09.Spring Support</t>
  </si>
  <si>
    <t>Content Spring Support &amp; HangerTie-Roads</t>
  </si>
  <si>
    <t>601.3.1.2.3.0101</t>
  </si>
  <si>
    <t>06.Spring Support</t>
  </si>
  <si>
    <t>601.3.1.2.3.0102</t>
  </si>
  <si>
    <t>601.3.1.2.3.0103</t>
  </si>
  <si>
    <t>601.3.1.2.3.0104</t>
  </si>
  <si>
    <t>601.3.1.2.3.0105</t>
  </si>
  <si>
    <t>3.Furnace Equipment</t>
  </si>
  <si>
    <t>10.FIX Equipment</t>
  </si>
  <si>
    <t>Bottom Burners (F1110)</t>
  </si>
  <si>
    <t>601.3.1.3.1.0101</t>
  </si>
  <si>
    <t>07.Fix Equipment</t>
  </si>
  <si>
    <t>601.3.1.3.1.0102</t>
  </si>
  <si>
    <t>601.3.1.3.1.0103</t>
  </si>
  <si>
    <t>601.3.1.3.1.0104</t>
  </si>
  <si>
    <t>601.3.1.3.1.0105</t>
  </si>
  <si>
    <t>Side Wall Burners( F1111)</t>
  </si>
  <si>
    <t>601.3.1.3.1.0201</t>
  </si>
  <si>
    <t>601.3.1.3.1.0202</t>
  </si>
  <si>
    <t>601.3.1.3.1.0203</t>
  </si>
  <si>
    <t>601.3.1.3.1.0204</t>
  </si>
  <si>
    <t>601.3.1.3.1.0205</t>
  </si>
  <si>
    <t>Primery TLE (E-110 A)</t>
  </si>
  <si>
    <t>601.3.1.3.1.0301</t>
  </si>
  <si>
    <t>601.3.1.3.1.0302</t>
  </si>
  <si>
    <t>601.3.1.3.1.0303</t>
  </si>
  <si>
    <t>601.3.1.3.1.0304</t>
  </si>
  <si>
    <t>601.3.1.3.1.0305</t>
  </si>
  <si>
    <t>Primery TLE (E-110 B)</t>
  </si>
  <si>
    <t>601.3.1.3.1.0401</t>
  </si>
  <si>
    <t>601.3.1.3.1.0402</t>
  </si>
  <si>
    <t>601.3.1.3.1.0403</t>
  </si>
  <si>
    <t>601.3.1.3.1.0404</t>
  </si>
  <si>
    <t>601.3.1.3.1.0405</t>
  </si>
  <si>
    <t>Primery TLE (E-110 C)</t>
  </si>
  <si>
    <t>601.3.1.3.1.0501</t>
  </si>
  <si>
    <t>601.3.1.3.1.0502</t>
  </si>
  <si>
    <t>601.3.1.3.1.0503</t>
  </si>
  <si>
    <t>601.3.1.3.1.0504</t>
  </si>
  <si>
    <t>601.3.1.3.1.0505</t>
  </si>
  <si>
    <t>Secondary TLE (E-1120)</t>
  </si>
  <si>
    <t>601.3.1.3.1.0601</t>
  </si>
  <si>
    <t>601.3.1.3.1.0602</t>
  </si>
  <si>
    <t>601.3.1.3.1.0603</t>
  </si>
  <si>
    <t>601.3.1.3.1.0604</t>
  </si>
  <si>
    <t>601.3.1.3.1.0605</t>
  </si>
  <si>
    <t>Tertiary TLE (E-1130)</t>
  </si>
  <si>
    <t>601.3.1.3.1.0701</t>
  </si>
  <si>
    <t>601.3.1.3.1.0702</t>
  </si>
  <si>
    <t>601.3.1.3.1.0703</t>
  </si>
  <si>
    <t>601.3.1.3.1.0704</t>
  </si>
  <si>
    <t>601.3.1.3.1.0705</t>
  </si>
  <si>
    <t>Decocke Drum (D-11110)B</t>
  </si>
  <si>
    <t>601.3.1.3.1.0801</t>
  </si>
  <si>
    <t>601.3.1.3.1.0802</t>
  </si>
  <si>
    <t>601.3.1.3.1.0803</t>
  </si>
  <si>
    <t>601.3.1.3.1.0804</t>
  </si>
  <si>
    <t>601.3.1.3.1.0805</t>
  </si>
  <si>
    <t>VHPS Steam Drum (D-1110)</t>
  </si>
  <si>
    <t>601.3.1.3.1.0901</t>
  </si>
  <si>
    <t>601.3.1.3.1.0902</t>
  </si>
  <si>
    <t>601.3.1.3.1.0903</t>
  </si>
  <si>
    <t>601.3.1.3.1.0904</t>
  </si>
  <si>
    <t>601.3.1.3.1.0905</t>
  </si>
  <si>
    <t>VHPS Steam Silencer (X-1110)</t>
  </si>
  <si>
    <t>601.3.1.3.1.1001</t>
  </si>
  <si>
    <t>601.3.1.3.1.1002</t>
  </si>
  <si>
    <t>601.3.1.3.1.1003</t>
  </si>
  <si>
    <t>601.3.1.3.1.1004</t>
  </si>
  <si>
    <t>601.3.1.3.1.1005</t>
  </si>
  <si>
    <t>Decocke Air Silencer (X-1120)</t>
  </si>
  <si>
    <t>601.3.1.3.1.1101</t>
  </si>
  <si>
    <t>601.3.1.3.1.1102</t>
  </si>
  <si>
    <t>601.3.1.3.1.1103</t>
  </si>
  <si>
    <t>601.3.1.3.1.1104</t>
  </si>
  <si>
    <t>601.3.1.3.1.1105</t>
  </si>
  <si>
    <t>Induct Draft Fan (C-1110 &amp; M1110)</t>
  </si>
  <si>
    <t>601.3.1.3.1.1201</t>
  </si>
  <si>
    <t>601.3.1.3.1.1202</t>
  </si>
  <si>
    <t>601.3.1.3.1.1203</t>
  </si>
  <si>
    <t>601.3.1.3.1.1204</t>
  </si>
  <si>
    <t>601.3.1.3.1.1205</t>
  </si>
  <si>
    <t>4.Refractory Lining &amp; Insulating  Firebricks</t>
  </si>
  <si>
    <t>11.Refractory Lining &amp; Insulating  Firebricks</t>
  </si>
  <si>
    <t>Radiant Floor</t>
  </si>
  <si>
    <t>601.3.1.4.1.0101</t>
  </si>
  <si>
    <t>601.3.1.4.1.0102</t>
  </si>
  <si>
    <t>Preparatoin</t>
  </si>
  <si>
    <t>08.Refractory Lining &amp; Insulating  Firebricks</t>
  </si>
  <si>
    <t>601.3.1.4.1.0103</t>
  </si>
  <si>
    <t>601.3.1.4.1.0104</t>
  </si>
  <si>
    <t>Completion Work</t>
  </si>
  <si>
    <t>601.3.1.4.1.0105</t>
  </si>
  <si>
    <t>Punch Removing &amp; Cleaning</t>
  </si>
  <si>
    <t>601.3.1.4.1.0106</t>
  </si>
  <si>
    <t>Radiant Side Wall And South End Wall</t>
  </si>
  <si>
    <t>601.3.1.4.1.0201</t>
  </si>
  <si>
    <t>601.3.1.4.1.0202</t>
  </si>
  <si>
    <t>601.3.1.4.1.0203</t>
  </si>
  <si>
    <t>601.3.1.4.1.0204</t>
  </si>
  <si>
    <t>601.3.1.4.1.0205</t>
  </si>
  <si>
    <t>601.3.1.4.1.0206</t>
  </si>
  <si>
    <t>Radiant North End Wall</t>
  </si>
  <si>
    <t>601.3.1.4.1.0301</t>
  </si>
  <si>
    <t>601.3.1.4.1.0302</t>
  </si>
  <si>
    <t>601.3.1.4.1.0303</t>
  </si>
  <si>
    <t>601.3.1.4.1.0304</t>
  </si>
  <si>
    <t>601.3.1.4.1.0305</t>
  </si>
  <si>
    <t>601.3.1.4.1.0306</t>
  </si>
  <si>
    <t>Radiant Roof And shadow Box</t>
  </si>
  <si>
    <t>601.3.1.4.1.0401</t>
  </si>
  <si>
    <t>601.3.1.4.1.0402</t>
  </si>
  <si>
    <t>601.3.1.4.1.0403</t>
  </si>
  <si>
    <t>601.3.1.4.1.0404</t>
  </si>
  <si>
    <t>601.3.1.4.1.0405</t>
  </si>
  <si>
    <t>601.3.1.4.1.0406</t>
  </si>
  <si>
    <t>Cross Over Floor</t>
  </si>
  <si>
    <t>601.3.1.4.1.0501</t>
  </si>
  <si>
    <t>601.3.1.4.1.0502</t>
  </si>
  <si>
    <t>601.3.1.4.1.0503</t>
  </si>
  <si>
    <t>601.3.1.4.1.0504</t>
  </si>
  <si>
    <t>601.3.1.4.1.0505</t>
  </si>
  <si>
    <t>601.3.1.4.1.0506</t>
  </si>
  <si>
    <t>Cross Over Side Wall And South End Wall</t>
  </si>
  <si>
    <t>601.3.1.4.1.0601</t>
  </si>
  <si>
    <t>601.3.1.4.1.0602</t>
  </si>
  <si>
    <t>601.3.1.4.1.0603</t>
  </si>
  <si>
    <t>601.3.1.4.1.0604</t>
  </si>
  <si>
    <t>601.3.1.4.1.0605</t>
  </si>
  <si>
    <t>601.3.1.4.1.0606</t>
  </si>
  <si>
    <t>Cross Over Roof</t>
  </si>
  <si>
    <t>601.3.1.4.1.0701</t>
  </si>
  <si>
    <t>601.3.1.4.1.0702</t>
  </si>
  <si>
    <t>601.3.1.4.1.0703</t>
  </si>
  <si>
    <t>601.3.1.4.1.0704</t>
  </si>
  <si>
    <t>601.3.1.4.1.0705</t>
  </si>
  <si>
    <t>601.3.1.4.1.0706</t>
  </si>
  <si>
    <t>Convection Side Wall</t>
  </si>
  <si>
    <t>601.3.1.4.1.0801</t>
  </si>
  <si>
    <t>601.3.1.4.1.0802</t>
  </si>
  <si>
    <t>601.3.1.4.1.0803</t>
  </si>
  <si>
    <t>601.3.1.4.1.0804</t>
  </si>
  <si>
    <t>601.3.1.4.1.0805</t>
  </si>
  <si>
    <t>601.3.1.4.1.0806</t>
  </si>
  <si>
    <t>Header Box</t>
  </si>
  <si>
    <t>601.3.1.4.1.0901</t>
  </si>
  <si>
    <t>601.3.1.4.1.0902</t>
  </si>
  <si>
    <t>601.3.1.4.1.0903</t>
  </si>
  <si>
    <t>601.3.1.4.1.0904</t>
  </si>
  <si>
    <t>601.3.1.4.1.0905</t>
  </si>
  <si>
    <t>601.3.1.4.1.0906</t>
  </si>
  <si>
    <t>breeching</t>
  </si>
  <si>
    <t>601.3.1.4.1.1001</t>
  </si>
  <si>
    <t>601.3.1.4.1.1002</t>
  </si>
  <si>
    <t>601.3.1.4.1.1003</t>
  </si>
  <si>
    <t>601.3.1.4.1.1004</t>
  </si>
  <si>
    <t>601.3.1.4.1.1005</t>
  </si>
  <si>
    <t>601.3.1.4.1.1006</t>
  </si>
  <si>
    <t>Shadow Box</t>
  </si>
  <si>
    <t>601.3.1.4.1.1101</t>
  </si>
  <si>
    <t>601.3.1.4.1.1102</t>
  </si>
  <si>
    <t>601.3.1.4.1.1103</t>
  </si>
  <si>
    <t>601.3.1.4.1.1104</t>
  </si>
  <si>
    <t>601.3.1.4.1.1105</t>
  </si>
  <si>
    <t>601.3.1.4.1.1106</t>
  </si>
  <si>
    <t>5.Protrusion Seals</t>
  </si>
  <si>
    <t>12.Protrusion Seals</t>
  </si>
  <si>
    <t>Multi Tube Bellow (End Location)</t>
  </si>
  <si>
    <t>601.3.1.5.1.0101</t>
  </si>
  <si>
    <t>-</t>
  </si>
  <si>
    <t>Multi Tube Bellow (Intermediate Location)</t>
  </si>
  <si>
    <t>601.3.1.5.1.0201</t>
  </si>
  <si>
    <t>Spring Joint (Hanger Tube Through Arch )</t>
  </si>
  <si>
    <t>601.3.1.5.1.0301</t>
  </si>
  <si>
    <t>Spring Joint (Guide Tube Through Floor )</t>
  </si>
  <si>
    <t>601.3.1.5.1.0401</t>
  </si>
  <si>
    <t>CRF Rope (Outlet Tube)</t>
  </si>
  <si>
    <t>601.3.1.5.1.0501</t>
  </si>
  <si>
    <t>Certification</t>
  </si>
  <si>
    <t>601.3.1.5.1.0601</t>
  </si>
  <si>
    <t>2.PipeRack A1 (OLFINE 1)</t>
  </si>
  <si>
    <t>6.PipeRack A1 (OLFINE 1)</t>
  </si>
  <si>
    <t>13.PipeRack A1 (OLFINE 1)</t>
  </si>
  <si>
    <t>5A+5C Stair House</t>
  </si>
  <si>
    <t>601.3.2.1.1.0101</t>
  </si>
  <si>
    <t>601.3.2.1.1.0102</t>
  </si>
  <si>
    <t>04.PipeRack A1 (OLFINE 1)</t>
  </si>
  <si>
    <t>601.3.2.1.1.0103</t>
  </si>
  <si>
    <t>601.3.2.1.1.0104</t>
  </si>
  <si>
    <t>601.3.2.1.1.0105</t>
  </si>
  <si>
    <t>601.3.2.1.1.0106</t>
  </si>
  <si>
    <t>601.3.2.1.1.0107</t>
  </si>
  <si>
    <t>601.3.2.1.1.0108</t>
  </si>
  <si>
    <t>5B+5D Handrial Stair</t>
  </si>
  <si>
    <t>601.3.2.1.1.0201</t>
  </si>
  <si>
    <t>601.3.2.1.1.0202</t>
  </si>
  <si>
    <t>601.3.2.1.1.0203</t>
  </si>
  <si>
    <t>601.3.2.1.1.0204</t>
  </si>
  <si>
    <t>601.3.2.1.1.0205</t>
  </si>
  <si>
    <t>601.3.2.1.1.0206</t>
  </si>
  <si>
    <t>601.3.2.1.1.0301</t>
  </si>
  <si>
    <t>601.3.2.1.1.0302</t>
  </si>
  <si>
    <t>601.3.2.1.1.0303</t>
  </si>
  <si>
    <t>601.3.2.1.1.0304</t>
  </si>
  <si>
    <t>601.3.2.1.1.0305</t>
  </si>
  <si>
    <t>3.Inlet &amp; Outlet Piping</t>
  </si>
  <si>
    <t>7.Piping From Inlet Header To Furnace</t>
  </si>
  <si>
    <t>14.grinding &amp; Fitup &amp; Welding</t>
  </si>
  <si>
    <t>grinding &amp; Fitup &amp; Welding in Workshop</t>
  </si>
  <si>
    <t>601.3.3.1.1.0101</t>
  </si>
  <si>
    <t>09.Inlet &amp; Outlet Piping</t>
  </si>
  <si>
    <t>601.3.3.1.1.0102</t>
  </si>
  <si>
    <t>Fitup</t>
  </si>
  <si>
    <t>10.Inlet &amp; Outlet Piping</t>
  </si>
  <si>
    <t>601.3.3.1.1.0103</t>
  </si>
  <si>
    <t>Welding</t>
  </si>
  <si>
    <t>601.3.3.1.1.0104</t>
  </si>
  <si>
    <t>NDT &amp; PWHT</t>
  </si>
  <si>
    <t>601.3.3.1.1.0106</t>
  </si>
  <si>
    <t>Reinstatement</t>
  </si>
  <si>
    <t>601.3.3.1.1.0107</t>
  </si>
  <si>
    <t>grinding &amp; Fitup &amp; Welding in Location</t>
  </si>
  <si>
    <t>601.3.3.1.1.0201</t>
  </si>
  <si>
    <t>601.3.3.1.1.0202</t>
  </si>
  <si>
    <t>601.3.3.1.1.0203</t>
  </si>
  <si>
    <t>601.3.3.1.1.0204</t>
  </si>
  <si>
    <t>601.3.3.1.1.0206</t>
  </si>
  <si>
    <t>601.3.3.1.1.0207</t>
  </si>
  <si>
    <t>8.Piping From Inlet Header To Furnace</t>
  </si>
  <si>
    <t>15.grinding &amp; Fitup &amp; Welding</t>
  </si>
  <si>
    <t>601.3.3.2.1.0101</t>
  </si>
  <si>
    <t>601.3.3.2.1.0102</t>
  </si>
  <si>
    <t>601.3.3.2.1.0103</t>
  </si>
  <si>
    <t>601.3.3.2.1.0104</t>
  </si>
  <si>
    <t>601.3.3.2.1.0106</t>
  </si>
  <si>
    <t>601.3.3.2.1.0107</t>
  </si>
  <si>
    <t>601.3.3.2.1.0201</t>
  </si>
  <si>
    <t>601.3.3.2.1.0202</t>
  </si>
  <si>
    <t>601.3.3.2.1.0203</t>
  </si>
  <si>
    <t>601.3.3.2.1.0204</t>
  </si>
  <si>
    <t>601.3.3.2.1.0206</t>
  </si>
  <si>
    <t>601.3.3.2.1.0207</t>
  </si>
  <si>
    <t>4.Delivery of MC Book</t>
  </si>
  <si>
    <t>9.F-110</t>
  </si>
  <si>
    <t>16.Furnace &amp; Refractory</t>
  </si>
  <si>
    <t>Furnace Steel Structure (Plate &amp; Steel)</t>
  </si>
  <si>
    <t>601.3.4.1.1.0101</t>
  </si>
  <si>
    <t>Furnace Coil System</t>
  </si>
  <si>
    <t>601.3.4.1.1.0201</t>
  </si>
  <si>
    <t>Furnace Coil Equipment</t>
  </si>
  <si>
    <t>601.3.4.1.1.0301</t>
  </si>
  <si>
    <t>Refractory Lining &amp; Insulating  Firebricks</t>
  </si>
  <si>
    <t>601.3.4.1.1.0401</t>
  </si>
  <si>
    <t>Protrusion Seals</t>
  </si>
  <si>
    <t>601.3.4.1.1.0501</t>
  </si>
  <si>
    <t>9.PipeRack A1 (OLFINE 1)</t>
  </si>
  <si>
    <t>17.Stair House For F-111</t>
  </si>
  <si>
    <t>Stair House For F-112</t>
  </si>
  <si>
    <t>601.3.4.2.1.0101</t>
  </si>
  <si>
    <t>4.Cracking Furnaces Erection (OLF2)</t>
  </si>
  <si>
    <t>601.4.1.1.1.0101</t>
  </si>
  <si>
    <r>
      <t xml:space="preserve">11.ACTIVITY </t>
    </r>
    <r>
      <rPr>
        <b/>
        <sz val="8"/>
        <color rgb="FFFF0000"/>
        <rFont val="Calibri"/>
        <family val="2"/>
        <scheme val="minor"/>
      </rPr>
      <t xml:space="preserve">1~4  </t>
    </r>
    <r>
      <rPr>
        <b/>
        <sz val="8"/>
        <color theme="1"/>
        <rFont val="Calibri"/>
        <family val="2"/>
        <scheme val="minor"/>
      </rPr>
      <t>(OLFINE 1)</t>
    </r>
  </si>
  <si>
    <t>601.4.1.1.1.0102</t>
  </si>
  <si>
    <t>601.4.1.1.1.0103</t>
  </si>
  <si>
    <t>601.4.1.1.1.0104</t>
  </si>
  <si>
    <t>601.4.1.1.1.0105</t>
  </si>
  <si>
    <t>601.4.1.1.1.0106</t>
  </si>
  <si>
    <t>601.4.1.1.1.0201</t>
  </si>
  <si>
    <t>601.4.1.1.1.0202</t>
  </si>
  <si>
    <t>601.4.1.1.1.0203</t>
  </si>
  <si>
    <t>601.4.1.1.1.0204</t>
  </si>
  <si>
    <t>601.4.1.1.1.0205</t>
  </si>
  <si>
    <t>601.4.1.1.1.0206</t>
  </si>
  <si>
    <t>601.4.1.1.1.0207</t>
  </si>
  <si>
    <t>601.4.1.1.1.0208</t>
  </si>
  <si>
    <t>601.4.1.1.1.0301</t>
  </si>
  <si>
    <t>601.4.1.1.1.0302</t>
  </si>
  <si>
    <t>601.4.1.1.1.0303</t>
  </si>
  <si>
    <t>601.4.1.1.1.0304</t>
  </si>
  <si>
    <t>601.4.1.1.1.0305</t>
  </si>
  <si>
    <t>601.4.1.1.1.0306</t>
  </si>
  <si>
    <t>601.4.1.1.1.0307</t>
  </si>
  <si>
    <t>601.4.1.1.1.0308</t>
  </si>
  <si>
    <t>601.4.1.1.1.0401</t>
  </si>
  <si>
    <t>601.4.1.1.1.0402</t>
  </si>
  <si>
    <t>601.4.1.1.1.0403</t>
  </si>
  <si>
    <t>601.4.1.1.1.0404</t>
  </si>
  <si>
    <t>601.4.1.1.1.0405</t>
  </si>
  <si>
    <t>601.4.1.1.1.0406</t>
  </si>
  <si>
    <t>601.4.1.1.1.0501</t>
  </si>
  <si>
    <t>601.4.1.1.1.0502</t>
  </si>
  <si>
    <t>601.4.1.1.1.0503</t>
  </si>
  <si>
    <t>601.4.1.1.1.0504</t>
  </si>
  <si>
    <t>601.4.1.1.1.0505</t>
  </si>
  <si>
    <t>601.4.1.1.1.0506</t>
  </si>
  <si>
    <t>601.4.1.1.1.0601</t>
  </si>
  <si>
    <t>601.4.1.1.1.0602</t>
  </si>
  <si>
    <t>601.4.1.1.1.0603</t>
  </si>
  <si>
    <t>601.4.1.1.1.0604</t>
  </si>
  <si>
    <t>601.4.1.1.1.0605</t>
  </si>
  <si>
    <t>601.4.1.1.1.0606</t>
  </si>
  <si>
    <t>601.4.1.1.1.0701</t>
  </si>
  <si>
    <t>601.4.1.1.1.0702</t>
  </si>
  <si>
    <t>601.4.1.1.1.0703</t>
  </si>
  <si>
    <t>601.4.1.1.1.0704</t>
  </si>
  <si>
    <t>601.4.1.1.1.0705</t>
  </si>
  <si>
    <t>601.4.1.1.1.0706</t>
  </si>
  <si>
    <t>601.4.1.1.2.0101</t>
  </si>
  <si>
    <t>601.4.1.1.2.0102</t>
  </si>
  <si>
    <t>601.4.1.1.2.0103</t>
  </si>
  <si>
    <t>601.4.1.1.2.0104</t>
  </si>
  <si>
    <t>601.4.1.1.2.0105</t>
  </si>
  <si>
    <t>601.4.1.1.2.0106</t>
  </si>
  <si>
    <t>601.4.1.1.2.0201</t>
  </si>
  <si>
    <t>601.4.1.1.2.0202</t>
  </si>
  <si>
    <t>601.4.1.1.2.0203</t>
  </si>
  <si>
    <t>601.4.1.1.2.0204</t>
  </si>
  <si>
    <t>601.4.1.1.2.0205</t>
  </si>
  <si>
    <t>601.4.1.1.2.0206</t>
  </si>
  <si>
    <t>601.4.1.1.2.0301</t>
  </si>
  <si>
    <t>601.4.1.1.2.0302</t>
  </si>
  <si>
    <t>601.4.1.1.2.0303</t>
  </si>
  <si>
    <t>601.4.1.1.2.0304</t>
  </si>
  <si>
    <t>601.4.1.1.2.0305</t>
  </si>
  <si>
    <t>601.4.1.1.2.0306</t>
  </si>
  <si>
    <t>601.4.1.1.2.0401</t>
  </si>
  <si>
    <t>601.4.1.1.2.0402</t>
  </si>
  <si>
    <t>601.4.1.1.2.0403</t>
  </si>
  <si>
    <t>601.4.1.1.2.0404</t>
  </si>
  <si>
    <t>601.4.1.1.2.0405</t>
  </si>
  <si>
    <t>601.4.1.1.2.0406</t>
  </si>
  <si>
    <t>601.4.1.1.2.0501</t>
  </si>
  <si>
    <t>601.4.1.1.2.0502</t>
  </si>
  <si>
    <t>601.4.1.1.2.0503</t>
  </si>
  <si>
    <t>601.4.1.1.2.0504</t>
  </si>
  <si>
    <t>601.4.1.1.2.0505</t>
  </si>
  <si>
    <t>601.4.1.1.2.0506</t>
  </si>
  <si>
    <t>601.4.1.1.2.0601</t>
  </si>
  <si>
    <t>12.Lader &amp; Handrail</t>
  </si>
  <si>
    <t>601.4.1.1.2.0602</t>
  </si>
  <si>
    <t>601.4.1.1.2.0603</t>
  </si>
  <si>
    <t>601.4.1.1.2.0604</t>
  </si>
  <si>
    <t>601.4.1.1.2.0605</t>
  </si>
  <si>
    <t>601.4.1.1.2.0606</t>
  </si>
  <si>
    <t>601.4.1.1.2.0701</t>
  </si>
  <si>
    <t>601.4.1.1.2.0702</t>
  </si>
  <si>
    <t>601.4.1.1.2.0703</t>
  </si>
  <si>
    <t>601.4.1.1.2.0704</t>
  </si>
  <si>
    <t>601.4.1.1.2.0705</t>
  </si>
  <si>
    <t>601.4.1.1.2.0706</t>
  </si>
  <si>
    <t>601.4.1.1.2.0801</t>
  </si>
  <si>
    <t>13.Grating</t>
  </si>
  <si>
    <t>601.4.1.1.2.0802</t>
  </si>
  <si>
    <t>601.4.1.1.2.0803</t>
  </si>
  <si>
    <t>601.4.1.1.2.0804</t>
  </si>
  <si>
    <t>601.4.1.1.2.0805</t>
  </si>
  <si>
    <t>601.4.1.1.3.0101</t>
  </si>
  <si>
    <t>601.4.1.1.3.0102</t>
  </si>
  <si>
    <t>601.4.1.1.3.0103</t>
  </si>
  <si>
    <t>601.4.1.1.3.0104</t>
  </si>
  <si>
    <t>601.4.1.1.3.0105</t>
  </si>
  <si>
    <t>601.4.1.1.3.0106</t>
  </si>
  <si>
    <t>601.4.1.1.3.0201</t>
  </si>
  <si>
    <t>601.4.1.1.3.0202</t>
  </si>
  <si>
    <t>601.4.1.1.3.0203</t>
  </si>
  <si>
    <t>601.4.1.1.3.0204</t>
  </si>
  <si>
    <t>601.4.1.1.3.0205</t>
  </si>
  <si>
    <t>601.4.1.1.3.0206</t>
  </si>
  <si>
    <t>601.4.1.1.3.0301</t>
  </si>
  <si>
    <t>601.4.1.1.3.0302</t>
  </si>
  <si>
    <t>601.4.1.1.3.0303</t>
  </si>
  <si>
    <t>601.4.1.1.3.0304</t>
  </si>
  <si>
    <t>601.4.1.1.3.0305</t>
  </si>
  <si>
    <t>601.4.1.1.3.0306</t>
  </si>
  <si>
    <t>601.4.1.1.3.0401</t>
  </si>
  <si>
    <t>601.4.1.1.3.0402</t>
  </si>
  <si>
    <t>601.4.1.1.3.0403</t>
  </si>
  <si>
    <t>601.4.1.1.3.0404</t>
  </si>
  <si>
    <t>601.4.1.1.3.0405</t>
  </si>
  <si>
    <t>601.4.1.1.3.0406</t>
  </si>
  <si>
    <t>601.4.1.1.3.0501</t>
  </si>
  <si>
    <t>601.4.1.1.3.0502</t>
  </si>
  <si>
    <t>601.4.1.1.3.0503</t>
  </si>
  <si>
    <t>601.4.1.1.3.0504</t>
  </si>
  <si>
    <t>601.4.1.1.3.0505</t>
  </si>
  <si>
    <t>601.4.1.1.3.0506</t>
  </si>
  <si>
    <t>601.4.1.1.4.0101</t>
  </si>
  <si>
    <t>601.4.1.1.4.0102</t>
  </si>
  <si>
    <t>601.4.1.1.4.0103</t>
  </si>
  <si>
    <t>601.4.1.1.4.0104</t>
  </si>
  <si>
    <t>601.4.1.1.4.0105</t>
  </si>
  <si>
    <t>601.4.1.1.4.0106</t>
  </si>
  <si>
    <t>601.4.1.1.4.0201</t>
  </si>
  <si>
    <t>601.4.1.1.4.0202</t>
  </si>
  <si>
    <t>601.4.1.1.4.0203</t>
  </si>
  <si>
    <t>601.4.1.1.4.0204</t>
  </si>
  <si>
    <t>601.4.1.1.4.0205</t>
  </si>
  <si>
    <t>601.4.1.1.4.0206</t>
  </si>
  <si>
    <t>601.4.1.1.5.0101</t>
  </si>
  <si>
    <t>601.4.1.1.5.0102</t>
  </si>
  <si>
    <t>601.4.1.1.5.0103</t>
  </si>
  <si>
    <t>601.4.1.1.5.0104</t>
  </si>
  <si>
    <t>601.4.1.1.5.0105</t>
  </si>
  <si>
    <t>601.4.1.1.5.0106</t>
  </si>
  <si>
    <t>601.4.1.1.5.0201</t>
  </si>
  <si>
    <t>601.4.1.1.5.0202</t>
  </si>
  <si>
    <t>601.4.1.1.5.0203</t>
  </si>
  <si>
    <t>601.4.1.1.5.0204</t>
  </si>
  <si>
    <t>601.4.1.1.5.0205</t>
  </si>
  <si>
    <t>601.4.1.1.5.0206</t>
  </si>
  <si>
    <t>601.4.1.1.5.0301</t>
  </si>
  <si>
    <t>601.4.1.1.5.0302</t>
  </si>
  <si>
    <t>601.4.1.1.5.0303</t>
  </si>
  <si>
    <t>601.4.1.1.5.0304</t>
  </si>
  <si>
    <t>601.4.1.1.5.0305</t>
  </si>
  <si>
    <t>601.4.1.1.5.0306</t>
  </si>
  <si>
    <t>601.4.1.1.5.0401</t>
  </si>
  <si>
    <t>601.4.1.1.5.0402</t>
  </si>
  <si>
    <t>601.4.1.1.5.0403</t>
  </si>
  <si>
    <t>601.4.1.1.5.0404</t>
  </si>
  <si>
    <t>601.4.1.1.5.0405</t>
  </si>
  <si>
    <t>601.4.1.1.5.0406</t>
  </si>
  <si>
    <t>601.4.1.1.5.0501</t>
  </si>
  <si>
    <t>601.4.1.1.5.0502</t>
  </si>
  <si>
    <t>601.4.1.1.5.0503</t>
  </si>
  <si>
    <t>601.4.1.1.5.0504</t>
  </si>
  <si>
    <t>601.4.1.1.5.0505</t>
  </si>
  <si>
    <t>601.4.1.1.5.0506</t>
  </si>
  <si>
    <t>601.4.1.1.5.0601</t>
  </si>
  <si>
    <t>601.4.1.1.5.0602</t>
  </si>
  <si>
    <t>601.4.1.1.5.0603</t>
  </si>
  <si>
    <t>601.4.1.1.5.0604</t>
  </si>
  <si>
    <t>601.4.1.1.5.0605</t>
  </si>
  <si>
    <t>601.4.1.1.6.0101</t>
  </si>
  <si>
    <t>601.4.1.1.6.0102</t>
  </si>
  <si>
    <t>601.4.1.1.6.0103</t>
  </si>
  <si>
    <t>601.4.1.1.6.0201</t>
  </si>
  <si>
    <t>601.4.1.1.6.0202</t>
  </si>
  <si>
    <t>601.4.1.1.6.0203</t>
  </si>
  <si>
    <t>601.4.1.2.1.0101</t>
  </si>
  <si>
    <t>15.Furnace Coil System</t>
  </si>
  <si>
    <t>601.4.1.2.1.0102</t>
  </si>
  <si>
    <t>601.4.1.2.1.0103</t>
  </si>
  <si>
    <t>601.4.1.2.1.0104</t>
  </si>
  <si>
    <t>601.4.1.2.1.0106</t>
  </si>
  <si>
    <t>601.4.1.2.1.0107</t>
  </si>
  <si>
    <t>601.4.1.2.2.0101</t>
  </si>
  <si>
    <t>601.4.1.2.2.0102</t>
  </si>
  <si>
    <t>601.4.1.2.2.0103</t>
  </si>
  <si>
    <t>601.4.1.2.2.0104</t>
  </si>
  <si>
    <t>601.4.1.2.2.0105</t>
  </si>
  <si>
    <t>601.4.1.2.2.0201</t>
  </si>
  <si>
    <t>601.4.1.2.2.0202</t>
  </si>
  <si>
    <t>601.4.1.2.2.0203</t>
  </si>
  <si>
    <t>601.4.1.2.2.0204</t>
  </si>
  <si>
    <t>601.4.1.2.2.0205</t>
  </si>
  <si>
    <t>601.4.1.2.2.0301</t>
  </si>
  <si>
    <t>601.4.1.2.2.0302</t>
  </si>
  <si>
    <t>601.4.1.2.2.0303</t>
  </si>
  <si>
    <t>601.4.1.2.2.0304</t>
  </si>
  <si>
    <t>601.4.1.2.2.0305</t>
  </si>
  <si>
    <t>601.4.1.2.2.0401</t>
  </si>
  <si>
    <t>601.4.1.2.2.0402</t>
  </si>
  <si>
    <t>601.4.1.2.2.0403</t>
  </si>
  <si>
    <t>601.4.1.2.2.0404</t>
  </si>
  <si>
    <t>601.4.1.2.2.0405</t>
  </si>
  <si>
    <t>601.4.1.2.2.0501</t>
  </si>
  <si>
    <t>601.4.1.2.2.0502</t>
  </si>
  <si>
    <t>601.4.1.2.2.0503</t>
  </si>
  <si>
    <t>601.4.1.2.2.0504</t>
  </si>
  <si>
    <t>601.4.1.2.2.0505</t>
  </si>
  <si>
    <t>601.4.1.2.2.0601</t>
  </si>
  <si>
    <t>601.4.1.2.2.0602</t>
  </si>
  <si>
    <t>601.4.1.2.2.0603</t>
  </si>
  <si>
    <t>601.4.1.2.2.0604</t>
  </si>
  <si>
    <t>601.4.1.2.2.0605</t>
  </si>
  <si>
    <t>601.4.1.2.2.0701</t>
  </si>
  <si>
    <t>601.4.1.2.2.0702</t>
  </si>
  <si>
    <t>601.4.1.2.2.0703</t>
  </si>
  <si>
    <t>601.4.1.2.2.0704</t>
  </si>
  <si>
    <t>601.4.1.2.2.0705</t>
  </si>
  <si>
    <t>601.4.1.2.2.0801</t>
  </si>
  <si>
    <t>601.4.1.2.2.0802</t>
  </si>
  <si>
    <t>601.4.1.2.2.0803</t>
  </si>
  <si>
    <t>601.4.1.2.2.0804</t>
  </si>
  <si>
    <t>601.4.1.2.2.0805</t>
  </si>
  <si>
    <t>601.4.1.2.2.0901</t>
  </si>
  <si>
    <t>601.4.1.2.2.0902</t>
  </si>
  <si>
    <t>601.4.1.2.2.0903</t>
  </si>
  <si>
    <t>601.4.1.2.2.0904</t>
  </si>
  <si>
    <t>601.4.1.2.2.0905</t>
  </si>
  <si>
    <t>601.4.1.2.2.1001</t>
  </si>
  <si>
    <t>601.4.1.2.2.1002</t>
  </si>
  <si>
    <t>601.4.1.2.2.1003</t>
  </si>
  <si>
    <t>601.4.1.2.2.1004</t>
  </si>
  <si>
    <t>601.4.1.2.2.1005</t>
  </si>
  <si>
    <t>601.4.1.2.2.1101</t>
  </si>
  <si>
    <t>601.4.1.2.2.1102</t>
  </si>
  <si>
    <t>601.4.1.2.2.1103</t>
  </si>
  <si>
    <t>601.4.1.2.2.1104</t>
  </si>
  <si>
    <t>601.4.1.2.2.1105</t>
  </si>
  <si>
    <t>601.4.1.2.2.1201</t>
  </si>
  <si>
    <t>601.4.1.2.2.1202</t>
  </si>
  <si>
    <t>601.4.1.2.2.1203</t>
  </si>
  <si>
    <t>601.4.1.2.2.1204</t>
  </si>
  <si>
    <t>601.4.1.2.2.1205</t>
  </si>
  <si>
    <t>601.4.1.2.2.1301</t>
  </si>
  <si>
    <t>601.4.1.2.2.1302</t>
  </si>
  <si>
    <t>601.4.1.2.2.1303</t>
  </si>
  <si>
    <t>601.4.1.2.2.1304</t>
  </si>
  <si>
    <t>601.4.1.2.2.1305</t>
  </si>
  <si>
    <t>601.4.1.2.3.0101</t>
  </si>
  <si>
    <t>16.Spring Support</t>
  </si>
  <si>
    <t>601.4.1.2.3.0102</t>
  </si>
  <si>
    <t>601.4.1.2.3.0103</t>
  </si>
  <si>
    <t>601.4.1.2.3.0104</t>
  </si>
  <si>
    <t>601.4.1.2.3.0105</t>
  </si>
  <si>
    <t>601.4.1.3.1.0101</t>
  </si>
  <si>
    <t>17.Fix Equipment</t>
  </si>
  <si>
    <t>601.4.1.3.1.0102</t>
  </si>
  <si>
    <t>601.4.1.3.1.0103</t>
  </si>
  <si>
    <t>601.4.1.3.1.0104</t>
  </si>
  <si>
    <t>601.4.1.3.1.0105</t>
  </si>
  <si>
    <t>601.4.1.3.1.0201</t>
  </si>
  <si>
    <t>601.4.1.3.1.0202</t>
  </si>
  <si>
    <t>601.4.1.3.1.0203</t>
  </si>
  <si>
    <t>601.4.1.3.1.0204</t>
  </si>
  <si>
    <t>601.4.1.3.1.0205</t>
  </si>
  <si>
    <t>601.4.1.3.1.0301</t>
  </si>
  <si>
    <t>601.4.1.3.1.0302</t>
  </si>
  <si>
    <t>601.4.1.3.1.0303</t>
  </si>
  <si>
    <t>601.4.1.3.1.0304</t>
  </si>
  <si>
    <t>601.4.1.3.1.0305</t>
  </si>
  <si>
    <t>601.4.1.3.1.0401</t>
  </si>
  <si>
    <t>601.4.1.3.1.0402</t>
  </si>
  <si>
    <t>601.4.1.3.1.0403</t>
  </si>
  <si>
    <t>601.4.1.3.1.0404</t>
  </si>
  <si>
    <t>601.4.1.3.1.0405</t>
  </si>
  <si>
    <t>601.4.1.3.1.0501</t>
  </si>
  <si>
    <t>601.4.1.3.1.0502</t>
  </si>
  <si>
    <t>601.4.1.3.1.0503</t>
  </si>
  <si>
    <t>601.4.1.3.1.0504</t>
  </si>
  <si>
    <t>601.4.1.3.1.0505</t>
  </si>
  <si>
    <t>601.4.1.3.1.0601</t>
  </si>
  <si>
    <t>601.4.1.3.1.0602</t>
  </si>
  <si>
    <t>601.4.1.3.1.0603</t>
  </si>
  <si>
    <t>601.4.1.3.1.0604</t>
  </si>
  <si>
    <t>601.4.1.3.1.0605</t>
  </si>
  <si>
    <t>601.4.1.3.1.0701</t>
  </si>
  <si>
    <t>601.4.1.3.1.0702</t>
  </si>
  <si>
    <t>601.4.1.3.1.0703</t>
  </si>
  <si>
    <t>601.4.1.3.1.0704</t>
  </si>
  <si>
    <t>601.4.1.3.1.0705</t>
  </si>
  <si>
    <t>601.4.1.3.1.0801</t>
  </si>
  <si>
    <t>601.4.1.3.1.0802</t>
  </si>
  <si>
    <t>601.4.1.3.1.0803</t>
  </si>
  <si>
    <t>601.4.1.3.1.0804</t>
  </si>
  <si>
    <t>601.4.1.3.1.0805</t>
  </si>
  <si>
    <t>601.4.1.3.1.0901</t>
  </si>
  <si>
    <t>601.4.1.3.1.0902</t>
  </si>
  <si>
    <t>601.4.1.3.1.0903</t>
  </si>
  <si>
    <t>601.4.1.3.1.0904</t>
  </si>
  <si>
    <t>601.4.1.3.1.0905</t>
  </si>
  <si>
    <t>601.4.1.3.1.1001</t>
  </si>
  <si>
    <t>601.4.1.3.1.1002</t>
  </si>
  <si>
    <t>601.4.1.3.1.1003</t>
  </si>
  <si>
    <t>601.4.1.3.1.1004</t>
  </si>
  <si>
    <t>601.4.1.3.1.1005</t>
  </si>
  <si>
    <t>601.4.1.3.1.1101</t>
  </si>
  <si>
    <t>601.4.1.3.1.1102</t>
  </si>
  <si>
    <t>601.4.1.3.1.1103</t>
  </si>
  <si>
    <t>601.4.1.3.1.1104</t>
  </si>
  <si>
    <t>601.4.1.3.1.1105</t>
  </si>
  <si>
    <t>601.4.1.3.1.1201</t>
  </si>
  <si>
    <t>601.4.1.3.1.1202</t>
  </si>
  <si>
    <t>601.4.1.3.1.1203</t>
  </si>
  <si>
    <t>601.4.1.3.1.1204</t>
  </si>
  <si>
    <t>601.4.1.3.1.1205</t>
  </si>
  <si>
    <t>601.4.1.4.1.0101</t>
  </si>
  <si>
    <t>601.4.1.4.1.0102</t>
  </si>
  <si>
    <t>18.Refractory Lining &amp; Insulating  Firebricks</t>
  </si>
  <si>
    <t>601.4.1.4.1.0103</t>
  </si>
  <si>
    <t>601.4.1.4.1.0104</t>
  </si>
  <si>
    <t>601.4.1.4.1.0105</t>
  </si>
  <si>
    <t>601.4.1.4.1.0106</t>
  </si>
  <si>
    <t>601.4.1.4.1.0201</t>
  </si>
  <si>
    <t>601.4.1.4.1.0202</t>
  </si>
  <si>
    <t>601.4.1.4.1.0203</t>
  </si>
  <si>
    <t>601.4.1.4.1.0204</t>
  </si>
  <si>
    <t>601.4.1.4.1.0205</t>
  </si>
  <si>
    <t>601.4.1.4.1.0206</t>
  </si>
  <si>
    <t>601.4.1.4.1.0301</t>
  </si>
  <si>
    <t>601.4.1.4.1.0302</t>
  </si>
  <si>
    <t>601.4.1.4.1.0303</t>
  </si>
  <si>
    <t>601.4.1.4.1.0304</t>
  </si>
  <si>
    <t>601.4.1.4.1.0305</t>
  </si>
  <si>
    <t>601.4.1.4.1.0306</t>
  </si>
  <si>
    <t>601.4.1.4.1.0401</t>
  </si>
  <si>
    <t>601.4.1.4.1.0402</t>
  </si>
  <si>
    <t>601.4.1.4.1.0403</t>
  </si>
  <si>
    <t>601.4.1.4.1.0404</t>
  </si>
  <si>
    <t>601.4.1.4.1.0405</t>
  </si>
  <si>
    <t>601.4.1.4.1.0406</t>
  </si>
  <si>
    <t>601.4.1.4.1.0501</t>
  </si>
  <si>
    <t>601.4.1.4.1.0502</t>
  </si>
  <si>
    <t>601.4.1.4.1.0503</t>
  </si>
  <si>
    <t>601.4.1.4.1.0504</t>
  </si>
  <si>
    <t>601.4.1.4.1.0505</t>
  </si>
  <si>
    <t>601.4.1.4.1.0506</t>
  </si>
  <si>
    <t>601.4.1.4.1.0601</t>
  </si>
  <si>
    <t>601.4.1.4.1.0602</t>
  </si>
  <si>
    <t>601.4.1.4.1.0603</t>
  </si>
  <si>
    <t>601.4.1.4.1.0604</t>
  </si>
  <si>
    <t>601.4.1.4.1.0605</t>
  </si>
  <si>
    <t>601.4.1.4.1.0606</t>
  </si>
  <si>
    <t>601.4.1.4.1.0701</t>
  </si>
  <si>
    <t>601.4.1.4.1.0702</t>
  </si>
  <si>
    <t>601.4.1.4.1.0703</t>
  </si>
  <si>
    <t>601.4.1.4.1.0704</t>
  </si>
  <si>
    <t>601.4.1.4.1.0705</t>
  </si>
  <si>
    <t>601.4.1.4.1.0706</t>
  </si>
  <si>
    <t>601.4.1.4.1.0801</t>
  </si>
  <si>
    <t>601.4.1.4.1.0802</t>
  </si>
  <si>
    <t>601.4.1.4.1.0803</t>
  </si>
  <si>
    <t>601.4.1.4.1.0804</t>
  </si>
  <si>
    <t>601.4.1.4.1.0805</t>
  </si>
  <si>
    <t>601.4.1.4.1.0806</t>
  </si>
  <si>
    <t>601.4.1.4.1.0901</t>
  </si>
  <si>
    <t>601.4.1.4.1.0902</t>
  </si>
  <si>
    <t>601.4.1.4.1.0903</t>
  </si>
  <si>
    <t>601.4.1.4.1.0904</t>
  </si>
  <si>
    <t>601.4.1.4.1.0905</t>
  </si>
  <si>
    <t>601.4.1.4.1.0906</t>
  </si>
  <si>
    <t>601.4.1.4.1.1001</t>
  </si>
  <si>
    <t>601.4.1.4.1.1002</t>
  </si>
  <si>
    <t>601.4.1.4.1.1003</t>
  </si>
  <si>
    <t>601.4.1.4.1.1004</t>
  </si>
  <si>
    <t>601.4.1.4.1.1005</t>
  </si>
  <si>
    <t>601.4.1.4.1.1006</t>
  </si>
  <si>
    <t>601.4.1.4.1.1101</t>
  </si>
  <si>
    <t>601.4.1.4.1.1102</t>
  </si>
  <si>
    <t>601.4.1.4.1.1103</t>
  </si>
  <si>
    <t>601.4.1.4.1.1104</t>
  </si>
  <si>
    <t>601.4.1.4.1.1105</t>
  </si>
  <si>
    <t>601.4.1.4.1.1106</t>
  </si>
  <si>
    <t>601.4.1.5.1.0101</t>
  </si>
  <si>
    <t>601.4.1.5.1.0201</t>
  </si>
  <si>
    <t>601.4.1.5.1.0301</t>
  </si>
  <si>
    <t>601.4.1.5.1.0401</t>
  </si>
  <si>
    <t>601.4.1.5.1.0501</t>
  </si>
  <si>
    <t>601.4.1.5.1.0601</t>
  </si>
  <si>
    <t>2.PipeRack A1 (OLFINE 2)</t>
  </si>
  <si>
    <t>6.PipeRack A1 (OLFINE 2)</t>
  </si>
  <si>
    <t>13.PipeRack A1 (OLFINE 2)</t>
  </si>
  <si>
    <t>601.4.2.1.1.0101</t>
  </si>
  <si>
    <t>601.4.2.1.1.0102</t>
  </si>
  <si>
    <t>14.PipeRack A1 (OLFINE 1)</t>
  </si>
  <si>
    <t>601.4.2.1.1.0103</t>
  </si>
  <si>
    <t>601.4.2.1.1.0104</t>
  </si>
  <si>
    <t>601.4.2.1.1.0105</t>
  </si>
  <si>
    <t>601.4.2.1.1.0106</t>
  </si>
  <si>
    <t>601.4.2.1.1.0107</t>
  </si>
  <si>
    <t>601.4.2.1.1.0108</t>
  </si>
  <si>
    <t>601.4.2.1.1.0201</t>
  </si>
  <si>
    <t>601.4.2.1.1.0202</t>
  </si>
  <si>
    <t>601.4.2.1.1.0203</t>
  </si>
  <si>
    <t>601.4.2.1.1.0204</t>
  </si>
  <si>
    <t>601.4.2.1.1.0205</t>
  </si>
  <si>
    <t>601.4.2.1.1.0206</t>
  </si>
  <si>
    <t>601.4.2.1.1.0301</t>
  </si>
  <si>
    <t>601.4.2.1.1.0302</t>
  </si>
  <si>
    <t>601.4.2.1.1.0303</t>
  </si>
  <si>
    <t>601.4.2.1.1.0304</t>
  </si>
  <si>
    <t>601.4.2.1.1.0305</t>
  </si>
  <si>
    <t>601.4.3.1.1.0101</t>
  </si>
  <si>
    <t>19.Inlet &amp; Outlet Piping</t>
  </si>
  <si>
    <t>601.4.3.1.1.0102</t>
  </si>
  <si>
    <t>20.Inlet &amp; Outlet Piping</t>
  </si>
  <si>
    <t>601.4.3.1.1.0103</t>
  </si>
  <si>
    <t>601.4.3.1.1.0104</t>
  </si>
  <si>
    <t>601.4.3.1.1.0106</t>
  </si>
  <si>
    <t>601.4.3.1.1.0107</t>
  </si>
  <si>
    <t>601.4.3.1.1.0201</t>
  </si>
  <si>
    <t>601.4.3.1.1.0202</t>
  </si>
  <si>
    <t>601.4.3.1.1.0203</t>
  </si>
  <si>
    <t>601.4.3.1.1.0204</t>
  </si>
  <si>
    <t>601.4.3.1.1.0206</t>
  </si>
  <si>
    <t>601.4.3.1.1.0207</t>
  </si>
  <si>
    <t>601.4.3.2.1.0101</t>
  </si>
  <si>
    <t>601.4.3.2.1.0102</t>
  </si>
  <si>
    <t>601.4.3.2.1.0103</t>
  </si>
  <si>
    <t>601.4.3.2.1.0104</t>
  </si>
  <si>
    <t>601.4.3.2.1.0106</t>
  </si>
  <si>
    <t>601.4.3.2.1.0107</t>
  </si>
  <si>
    <t>601.4.3.2.1.0201</t>
  </si>
  <si>
    <t>601.4.3.2.1.0202</t>
  </si>
  <si>
    <t>601.4.3.2.1.0203</t>
  </si>
  <si>
    <t>601.4.3.2.1.0204</t>
  </si>
  <si>
    <t>601.4.3.2.1.0206</t>
  </si>
  <si>
    <t>601.4.3.2.1.0207</t>
  </si>
  <si>
    <t>601.4.4.1.1.0101</t>
  </si>
  <si>
    <t>601.4.4.1.1.0201</t>
  </si>
  <si>
    <t>601.4.4.1.1.0301</t>
  </si>
  <si>
    <t>601.4.4.1.1.0401</t>
  </si>
  <si>
    <t>601.4.4.1.1.0501</t>
  </si>
  <si>
    <t>9.PipeRack A1 (OLFINE 2)</t>
  </si>
  <si>
    <t>601.4.4.2.1.0101</t>
  </si>
  <si>
    <t>5.Demobilization</t>
  </si>
  <si>
    <t>1.Demobilization</t>
  </si>
  <si>
    <t>18.Demobilization</t>
  </si>
  <si>
    <t>Demobilization project</t>
  </si>
  <si>
    <t>601.5.1.1.1.01.01</t>
  </si>
  <si>
    <t>Demobilization (OLF1)</t>
  </si>
  <si>
    <t>601.5.1.1.1.01.02</t>
  </si>
  <si>
    <t>Demobilization (OLF2)</t>
  </si>
  <si>
    <t>6.Finish</t>
  </si>
  <si>
    <t>1.Finish</t>
  </si>
  <si>
    <t>19.Finish</t>
  </si>
  <si>
    <t>Finish  (OLF1&amp; OLFF2)</t>
  </si>
  <si>
    <t>601.6.1.1.1.01.01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</si>
</sst>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_(* #,##0.00_);_(* \(#,##0.00\);_(* &quot;-&quot;??_);_(@_)"/>
    <numFmt numFmtId="166" formatCode="0.00000%"/>
    <numFmt numFmtId="167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  <scheme val="minor"/>
    </font>
    <font>
      <sz val="8"/>
      <color indexed="8"/>
      <name val="Arial"/>
      <family val="2"/>
    </font>
    <font>
      <sz val="1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8" tint="0.39997558519241921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FE6E02"/>
        <bgColor indexed="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0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1" applyFont="1"/>
    <xf numFmtId="0" fontId="6" fillId="2" borderId="3" xfId="3" applyFont="1" applyFill="1" applyBorder="1" applyAlignment="1">
      <alignment horizontal="left"/>
    </xf>
    <xf numFmtId="0" fontId="5" fillId="2" borderId="3" xfId="3" applyFont="1" applyFill="1" applyBorder="1" applyAlignment="1">
      <alignment horizontal="left"/>
    </xf>
    <xf numFmtId="0" fontId="5" fillId="2" borderId="3" xfId="3" applyFont="1" applyFill="1" applyBorder="1" applyAlignment="1">
      <alignment horizontal="center"/>
    </xf>
    <xf numFmtId="164" fontId="5" fillId="2" borderId="3" xfId="3" applyNumberFormat="1" applyFont="1" applyFill="1" applyBorder="1" applyAlignment="1">
      <alignment horizontal="center"/>
    </xf>
    <xf numFmtId="165" fontId="5" fillId="2" borderId="3" xfId="1" applyFont="1" applyFill="1" applyBorder="1" applyAlignment="1">
      <alignment horizontal="center"/>
    </xf>
    <xf numFmtId="10" fontId="5" fillId="2" borderId="3" xfId="2" applyNumberFormat="1" applyFont="1" applyFill="1" applyBorder="1" applyAlignment="1">
      <alignment horizontal="center"/>
    </xf>
    <xf numFmtId="0" fontId="5" fillId="3" borderId="0" xfId="3" applyFont="1" applyFill="1" applyAlignment="1">
      <alignment horizontal="left"/>
    </xf>
    <xf numFmtId="0" fontId="5" fillId="3" borderId="0" xfId="3" applyFont="1" applyFill="1" applyAlignment="1">
      <alignment horizontal="center"/>
    </xf>
    <xf numFmtId="0" fontId="5" fillId="3" borderId="2" xfId="3" applyFont="1" applyFill="1" applyBorder="1" applyAlignment="1">
      <alignment horizontal="center"/>
    </xf>
    <xf numFmtId="0" fontId="5" fillId="3" borderId="4" xfId="3" applyFont="1" applyFill="1" applyBorder="1" applyAlignment="1">
      <alignment horizontal="center"/>
    </xf>
    <xf numFmtId="10" fontId="5" fillId="3" borderId="4" xfId="3" applyNumberFormat="1" applyFont="1" applyFill="1" applyBorder="1" applyAlignment="1">
      <alignment horizontal="center"/>
    </xf>
    <xf numFmtId="165" fontId="5" fillId="3" borderId="4" xfId="1" applyFont="1" applyFill="1" applyBorder="1" applyAlignment="1">
      <alignment horizontal="center"/>
    </xf>
    <xf numFmtId="164" fontId="7" fillId="3" borderId="4" xfId="2" applyNumberFormat="1" applyFont="1" applyFill="1" applyBorder="1" applyAlignment="1">
      <alignment horizontal="center" vertical="center"/>
    </xf>
    <xf numFmtId="0" fontId="5" fillId="4" borderId="0" xfId="3" applyFont="1" applyFill="1" applyAlignment="1">
      <alignment horizontal="left"/>
    </xf>
    <xf numFmtId="0" fontId="5" fillId="4" borderId="0" xfId="3" applyFont="1" applyFill="1" applyAlignment="1">
      <alignment horizontal="center"/>
    </xf>
    <xf numFmtId="0" fontId="5" fillId="4" borderId="5" xfId="3" applyFont="1" applyFill="1" applyBorder="1" applyAlignment="1">
      <alignment horizontal="center"/>
    </xf>
    <xf numFmtId="164" fontId="5" fillId="4" borderId="5" xfId="3" applyNumberFormat="1" applyFont="1" applyFill="1" applyBorder="1" applyAlignment="1">
      <alignment horizontal="center"/>
    </xf>
    <xf numFmtId="165" fontId="5" fillId="4" borderId="5" xfId="1" applyFont="1" applyFill="1" applyBorder="1" applyAlignment="1">
      <alignment horizontal="center"/>
    </xf>
    <xf numFmtId="164" fontId="7" fillId="4" borderId="5" xfId="2" applyNumberFormat="1" applyFont="1" applyFill="1" applyBorder="1" applyAlignment="1">
      <alignment horizontal="center" vertical="center"/>
    </xf>
    <xf numFmtId="0" fontId="5" fillId="5" borderId="0" xfId="3" applyFont="1" applyFill="1" applyAlignment="1">
      <alignment horizontal="left"/>
    </xf>
    <xf numFmtId="0" fontId="5" fillId="5" borderId="5" xfId="3" applyFont="1" applyFill="1" applyBorder="1" applyAlignment="1">
      <alignment horizontal="center"/>
    </xf>
    <xf numFmtId="164" fontId="5" fillId="5" borderId="5" xfId="3" applyNumberFormat="1" applyFont="1" applyFill="1" applyBorder="1" applyAlignment="1">
      <alignment horizontal="center"/>
    </xf>
    <xf numFmtId="165" fontId="5" fillId="5" borderId="5" xfId="1" applyFont="1" applyFill="1" applyBorder="1" applyAlignment="1">
      <alignment horizontal="center"/>
    </xf>
    <xf numFmtId="164" fontId="7" fillId="5" borderId="5" xfId="2" applyNumberFormat="1" applyFont="1" applyFill="1" applyBorder="1" applyAlignment="1">
      <alignment horizontal="center" vertical="center"/>
    </xf>
    <xf numFmtId="0" fontId="5" fillId="6" borderId="0" xfId="3" applyFont="1" applyFill="1" applyAlignment="1">
      <alignment horizontal="left"/>
    </xf>
    <xf numFmtId="0" fontId="5" fillId="6" borderId="5" xfId="3" applyFont="1" applyFill="1" applyBorder="1" applyAlignment="1">
      <alignment horizontal="center"/>
    </xf>
    <xf numFmtId="164" fontId="5" fillId="6" borderId="5" xfId="3" applyNumberFormat="1" applyFont="1" applyFill="1" applyBorder="1" applyAlignment="1">
      <alignment horizontal="center"/>
    </xf>
    <xf numFmtId="165" fontId="5" fillId="6" borderId="5" xfId="1" applyFont="1" applyFill="1" applyBorder="1" applyAlignment="1">
      <alignment horizontal="center"/>
    </xf>
    <xf numFmtId="164" fontId="7" fillId="6" borderId="5" xfId="2" applyNumberFormat="1" applyFont="1" applyFill="1" applyBorder="1" applyAlignment="1">
      <alignment horizontal="center" vertical="center"/>
    </xf>
    <xf numFmtId="0" fontId="5" fillId="7" borderId="0" xfId="3" applyFont="1" applyFill="1" applyAlignment="1">
      <alignment horizontal="left"/>
    </xf>
    <xf numFmtId="0" fontId="5" fillId="7" borderId="5" xfId="3" applyFont="1" applyFill="1" applyBorder="1" applyAlignment="1">
      <alignment horizontal="center"/>
    </xf>
    <xf numFmtId="164" fontId="5" fillId="7" borderId="5" xfId="3" applyNumberFormat="1" applyFont="1" applyFill="1" applyBorder="1" applyAlignment="1">
      <alignment horizontal="center"/>
    </xf>
    <xf numFmtId="165" fontId="5" fillId="7" borderId="5" xfId="1" applyFont="1" applyFill="1" applyBorder="1" applyAlignment="1">
      <alignment horizontal="center"/>
    </xf>
    <xf numFmtId="164" fontId="7" fillId="7" borderId="5" xfId="2" applyNumberFormat="1" applyFont="1" applyFill="1" applyBorder="1" applyAlignment="1">
      <alignment horizontal="center" vertical="center"/>
    </xf>
    <xf numFmtId="0" fontId="5" fillId="8" borderId="0" xfId="3" applyFont="1" applyFill="1" applyAlignment="1">
      <alignment horizontal="left"/>
    </xf>
    <xf numFmtId="0" fontId="5" fillId="8" borderId="5" xfId="3" applyFont="1" applyFill="1" applyBorder="1" applyAlignment="1">
      <alignment horizontal="center"/>
    </xf>
    <xf numFmtId="164" fontId="5" fillId="8" borderId="5" xfId="3" applyNumberFormat="1" applyFont="1" applyFill="1" applyBorder="1" applyAlignment="1">
      <alignment horizontal="center"/>
    </xf>
    <xf numFmtId="165" fontId="5" fillId="8" borderId="5" xfId="1" applyFont="1" applyFill="1" applyBorder="1" applyAlignment="1">
      <alignment horizontal="center"/>
    </xf>
    <xf numFmtId="164" fontId="7" fillId="8" borderId="5" xfId="2" applyNumberFormat="1" applyFont="1" applyFill="1" applyBorder="1" applyAlignment="1">
      <alignment horizontal="center" vertical="center"/>
    </xf>
    <xf numFmtId="0" fontId="8" fillId="9" borderId="0" xfId="3" applyFont="1" applyFill="1" applyAlignment="1">
      <alignment horizontal="center" wrapText="1"/>
    </xf>
    <xf numFmtId="0" fontId="5" fillId="7" borderId="0" xfId="3" applyFont="1" applyFill="1" applyAlignment="1">
      <alignment horizontal="center"/>
    </xf>
    <xf numFmtId="0" fontId="8" fillId="0" borderId="5" xfId="3" applyFont="1" applyBorder="1" applyAlignment="1">
      <alignment horizontal="left" wrapText="1"/>
    </xf>
    <xf numFmtId="0" fontId="8" fillId="0" borderId="5" xfId="3" applyFont="1" applyBorder="1" applyAlignment="1">
      <alignment horizontal="center" wrapText="1"/>
    </xf>
    <xf numFmtId="10" fontId="8" fillId="0" borderId="5" xfId="3" applyNumberFormat="1" applyFont="1" applyBorder="1" applyAlignment="1">
      <alignment horizontal="center" wrapText="1"/>
    </xf>
    <xf numFmtId="164" fontId="8" fillId="2" borderId="5" xfId="3" applyNumberFormat="1" applyFont="1" applyFill="1" applyBorder="1" applyAlignment="1">
      <alignment horizontal="center" wrapText="1"/>
    </xf>
    <xf numFmtId="165" fontId="8" fillId="2" borderId="5" xfId="1" applyFont="1" applyFill="1" applyBorder="1" applyAlignment="1">
      <alignment horizontal="center" wrapText="1"/>
    </xf>
    <xf numFmtId="0" fontId="0" fillId="0" borderId="5" xfId="0" applyBorder="1"/>
    <xf numFmtId="2" fontId="8" fillId="10" borderId="5" xfId="1" applyNumberFormat="1" applyFont="1" applyFill="1" applyBorder="1" applyAlignment="1">
      <alignment horizontal="center" wrapText="1"/>
    </xf>
    <xf numFmtId="164" fontId="9" fillId="0" borderId="5" xfId="2" applyNumberFormat="1" applyFont="1" applyBorder="1" applyAlignment="1">
      <alignment horizontal="center" vertical="center"/>
    </xf>
    <xf numFmtId="0" fontId="5" fillId="4" borderId="5" xfId="3" applyFont="1" applyFill="1" applyBorder="1" applyAlignment="1">
      <alignment horizontal="left"/>
    </xf>
    <xf numFmtId="0" fontId="5" fillId="5" borderId="5" xfId="3" applyFont="1" applyFill="1" applyBorder="1" applyAlignment="1">
      <alignment horizontal="left"/>
    </xf>
    <xf numFmtId="0" fontId="5" fillId="6" borderId="5" xfId="3" applyFont="1" applyFill="1" applyBorder="1" applyAlignment="1">
      <alignment horizontal="left"/>
    </xf>
    <xf numFmtId="0" fontId="5" fillId="7" borderId="5" xfId="3" applyFont="1" applyFill="1" applyBorder="1" applyAlignment="1">
      <alignment horizontal="left"/>
    </xf>
    <xf numFmtId="0" fontId="5" fillId="8" borderId="5" xfId="3" applyFont="1" applyFill="1" applyBorder="1" applyAlignment="1">
      <alignment horizontal="left"/>
    </xf>
    <xf numFmtId="166" fontId="7" fillId="7" borderId="5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165" fontId="7" fillId="7" borderId="5" xfId="1" applyFont="1" applyFill="1" applyBorder="1" applyAlignment="1">
      <alignment horizontal="center" vertical="center"/>
    </xf>
    <xf numFmtId="165" fontId="7" fillId="8" borderId="5" xfId="1" applyFont="1" applyFill="1" applyBorder="1" applyAlignment="1">
      <alignment horizontal="center" vertical="center"/>
    </xf>
    <xf numFmtId="165" fontId="7" fillId="6" borderId="5" xfId="1" applyFont="1" applyFill="1" applyBorder="1" applyAlignment="1">
      <alignment horizontal="center" vertical="center"/>
    </xf>
    <xf numFmtId="165" fontId="7" fillId="5" borderId="5" xfId="1" applyFont="1" applyFill="1" applyBorder="1" applyAlignment="1">
      <alignment horizontal="center" vertical="center"/>
    </xf>
    <xf numFmtId="0" fontId="5" fillId="5" borderId="0" xfId="3" applyFont="1" applyFill="1" applyAlignment="1">
      <alignment horizontal="center"/>
    </xf>
    <xf numFmtId="0" fontId="5" fillId="6" borderId="0" xfId="3" applyFont="1" applyFill="1" applyAlignment="1">
      <alignment horizontal="center"/>
    </xf>
    <xf numFmtId="165" fontId="7" fillId="4" borderId="5" xfId="1" applyFont="1" applyFill="1" applyBorder="1" applyAlignment="1">
      <alignment horizontal="center" vertical="center"/>
    </xf>
    <xf numFmtId="167" fontId="7" fillId="5" borderId="5" xfId="1" applyNumberFormat="1" applyFont="1" applyFill="1" applyBorder="1" applyAlignment="1">
      <alignment horizontal="center" vertical="center"/>
    </xf>
    <xf numFmtId="167" fontId="7" fillId="6" borderId="5" xfId="1" applyNumberFormat="1" applyFont="1" applyFill="1" applyBorder="1" applyAlignment="1">
      <alignment horizontal="center" vertical="center"/>
    </xf>
    <xf numFmtId="167" fontId="7" fillId="7" borderId="5" xfId="1" applyNumberFormat="1" applyFont="1" applyFill="1" applyBorder="1" applyAlignment="1">
      <alignment horizontal="center" vertical="center"/>
    </xf>
    <xf numFmtId="167" fontId="7" fillId="8" borderId="5" xfId="1" applyNumberFormat="1" applyFont="1" applyFill="1" applyBorder="1" applyAlignment="1">
      <alignment horizontal="center" vertical="center"/>
    </xf>
    <xf numFmtId="164" fontId="5" fillId="6" borderId="0" xfId="3" applyNumberFormat="1" applyFont="1" applyFill="1" applyAlignment="1">
      <alignment horizontal="center"/>
    </xf>
    <xf numFmtId="165" fontId="5" fillId="6" borderId="0" xfId="1" applyFont="1" applyFill="1" applyBorder="1" applyAlignment="1">
      <alignment horizontal="center"/>
    </xf>
    <xf numFmtId="167" fontId="7" fillId="6" borderId="0" xfId="1" applyNumberFormat="1" applyFont="1" applyFill="1" applyBorder="1" applyAlignment="1">
      <alignment horizontal="center" vertical="center"/>
    </xf>
    <xf numFmtId="164" fontId="7" fillId="6" borderId="0" xfId="2" applyNumberFormat="1" applyFont="1" applyFill="1" applyBorder="1" applyAlignment="1">
      <alignment horizontal="center" vertical="center"/>
    </xf>
    <xf numFmtId="164" fontId="5" fillId="7" borderId="0" xfId="3" applyNumberFormat="1" applyFont="1" applyFill="1" applyAlignment="1">
      <alignment horizontal="center"/>
    </xf>
    <xf numFmtId="165" fontId="5" fillId="7" borderId="0" xfId="1" applyFont="1" applyFill="1" applyBorder="1" applyAlignment="1">
      <alignment horizontal="center"/>
    </xf>
    <xf numFmtId="167" fontId="7" fillId="7" borderId="0" xfId="1" applyNumberFormat="1" applyFont="1" applyFill="1" applyBorder="1" applyAlignment="1">
      <alignment horizontal="center" vertical="center"/>
    </xf>
    <xf numFmtId="164" fontId="7" fillId="7" borderId="0" xfId="2" applyNumberFormat="1" applyFont="1" applyFill="1" applyBorder="1" applyAlignment="1">
      <alignment horizontal="center" vertical="center"/>
    </xf>
    <xf numFmtId="0" fontId="5" fillId="8" borderId="0" xfId="3" applyFont="1" applyFill="1" applyAlignment="1">
      <alignment horizontal="center"/>
    </xf>
    <xf numFmtId="164" fontId="5" fillId="8" borderId="0" xfId="3" applyNumberFormat="1" applyFont="1" applyFill="1" applyAlignment="1">
      <alignment horizontal="center"/>
    </xf>
    <xf numFmtId="165" fontId="5" fillId="8" borderId="0" xfId="1" applyFont="1" applyFill="1" applyBorder="1" applyAlignment="1">
      <alignment horizontal="center"/>
    </xf>
    <xf numFmtId="167" fontId="7" fillId="8" borderId="0" xfId="1" applyNumberFormat="1" applyFont="1" applyFill="1" applyBorder="1" applyAlignment="1">
      <alignment horizontal="center" vertical="center"/>
    </xf>
    <xf numFmtId="164" fontId="7" fillId="8" borderId="0" xfId="2" applyNumberFormat="1" applyFont="1" applyFill="1" applyBorder="1" applyAlignment="1">
      <alignment horizontal="center" vertical="center"/>
    </xf>
    <xf numFmtId="0" fontId="8" fillId="0" borderId="6" xfId="3" applyFont="1" applyBorder="1" applyAlignment="1">
      <alignment horizontal="left" wrapText="1"/>
    </xf>
    <xf numFmtId="0" fontId="8" fillId="0" borderId="6" xfId="3" applyFont="1" applyBorder="1" applyAlignment="1">
      <alignment horizontal="center" wrapText="1"/>
    </xf>
    <xf numFmtId="10" fontId="8" fillId="0" borderId="6" xfId="3" applyNumberFormat="1" applyFont="1" applyBorder="1" applyAlignment="1">
      <alignment horizontal="center" wrapText="1"/>
    </xf>
    <xf numFmtId="2" fontId="8" fillId="10" borderId="6" xfId="1" applyNumberFormat="1" applyFont="1" applyFill="1" applyBorder="1" applyAlignment="1">
      <alignment horizontal="center" wrapText="1"/>
    </xf>
    <xf numFmtId="164" fontId="9" fillId="0" borderId="0" xfId="2" applyNumberFormat="1" applyFont="1" applyAlignment="1">
      <alignment horizontal="center" vertical="center"/>
    </xf>
    <xf numFmtId="10" fontId="0" fillId="0" borderId="0" xfId="2" applyNumberFormat="1" applyFont="1"/>
    <xf numFmtId="0" fontId="5" fillId="2" borderId="1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" xfId="3" applyFont="1" applyFill="1" applyBorder="1" applyAlignment="1">
      <alignment horizontal="center"/>
    </xf>
    <xf numFmtId="165" fontId="5" fillId="2" borderId="1" xfId="1" applyFont="1" applyFill="1" applyBorder="1" applyAlignment="1">
      <alignment horizontal="center"/>
    </xf>
    <xf numFmtId="165" fontId="5" fillId="2" borderId="0" xfId="1" applyFont="1" applyFill="1" applyBorder="1" applyAlignment="1">
      <alignment horizontal="center"/>
    </xf>
    <xf numFmtId="165" fontId="5" fillId="2" borderId="2" xfId="1" applyFont="1" applyFill="1" applyBorder="1" applyAlignment="1">
      <alignment horizontal="center"/>
    </xf>
    <xf numFmtId="10" fontId="5" fillId="2" borderId="1" xfId="2" applyNumberFormat="1" applyFont="1" applyFill="1" applyBorder="1" applyAlignment="1">
      <alignment horizontal="center"/>
    </xf>
    <xf numFmtId="10" fontId="5" fillId="2" borderId="0" xfId="2" applyNumberFormat="1" applyFont="1" applyFill="1" applyBorder="1" applyAlignment="1">
      <alignment horizontal="center"/>
    </xf>
    <xf numFmtId="10" fontId="5" fillId="2" borderId="2" xfId="2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WBS" xfId="3" xr:uid="{267CC208-EA2C-4E11-9649-331A0CE3F67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s\Share%20Planning\Cumputer%202\Arvand%20report\ARVAND%20REPORT\Daily%20Report\Daily%20report%20for%20Mc\Daily%20report\Farvardin%2085\Documents%20and%20Settings\Planning\Desktop\Daily%20report\Aban%2084\mis\Plann\CIV-COMP-CODE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arimi\dare%20shar\Weekly\Kamran\RepWeek\Kamran\RepWeek\Kamran\Gozareshat\ManagerReport\moghayer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1\Report\Managment%20Rep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10-p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ناژي "/>
      <sheetName val="برنامه سال"/>
    </sheetNames>
    <sheetDataSet>
      <sheetData sheetId="0"/>
      <sheetData sheetId="1">
        <row r="7">
          <cell r="C7">
            <v>21.721999999999753</v>
          </cell>
          <cell r="D7">
            <v>6418.5</v>
          </cell>
          <cell r="E7" t="str">
            <v>تن</v>
          </cell>
          <cell r="G7" t="str">
            <v>17-9-75-579</v>
          </cell>
          <cell r="K7" t="e">
            <v>#REF!</v>
          </cell>
        </row>
        <row r="9">
          <cell r="C9">
            <v>1307.5</v>
          </cell>
          <cell r="D9">
            <v>1192.5</v>
          </cell>
          <cell r="E9" t="str">
            <v>تن</v>
          </cell>
          <cell r="G9" t="str">
            <v>36-4-76-661</v>
          </cell>
          <cell r="K9" t="e">
            <v>#REF!</v>
          </cell>
        </row>
        <row r="11">
          <cell r="C11">
            <v>102.4</v>
          </cell>
          <cell r="D11">
            <v>667.6</v>
          </cell>
          <cell r="E11" t="str">
            <v>تن</v>
          </cell>
          <cell r="G11" t="str">
            <v>36-1-79-914</v>
          </cell>
          <cell r="K11" t="e">
            <v>#REF!</v>
          </cell>
        </row>
        <row r="13">
          <cell r="C13">
            <v>86.120000000000346</v>
          </cell>
          <cell r="D13">
            <v>3856.98</v>
          </cell>
          <cell r="E13" t="str">
            <v>تن</v>
          </cell>
          <cell r="F13">
            <v>3943.1</v>
          </cell>
          <cell r="G13" t="str">
            <v>36-1-79-964,965,966</v>
          </cell>
          <cell r="K13" t="e">
            <v>#REF!</v>
          </cell>
        </row>
        <row r="15">
          <cell r="C15">
            <v>1.4700000000002547</v>
          </cell>
          <cell r="D15">
            <v>2479.62</v>
          </cell>
          <cell r="E15" t="str">
            <v>تن</v>
          </cell>
          <cell r="G15" t="str">
            <v>TK 2001 A/B/C</v>
          </cell>
          <cell r="K15" t="e">
            <v>#REF!</v>
          </cell>
        </row>
        <row r="17">
          <cell r="C17">
            <v>1.7300000000000182</v>
          </cell>
          <cell r="D17">
            <v>442.68</v>
          </cell>
          <cell r="E17" t="str">
            <v>تن</v>
          </cell>
          <cell r="G17" t="str">
            <v>TK 6001</v>
          </cell>
          <cell r="K17" t="e">
            <v>#REF!</v>
          </cell>
        </row>
        <row r="19">
          <cell r="C19">
            <v>82.920000000000073</v>
          </cell>
          <cell r="D19">
            <v>934.68</v>
          </cell>
          <cell r="E19" t="str">
            <v>تن</v>
          </cell>
          <cell r="F19">
            <v>1017.6</v>
          </cell>
          <cell r="G19" t="str">
            <v>TK 8001</v>
          </cell>
          <cell r="K19" t="e">
            <v>#REF!</v>
          </cell>
        </row>
        <row r="21">
          <cell r="C21">
            <v>67.731999999999971</v>
          </cell>
          <cell r="D21">
            <v>1151.3800000000001</v>
          </cell>
          <cell r="E21" t="str">
            <v>تن</v>
          </cell>
          <cell r="F21">
            <v>1219.1120000000001</v>
          </cell>
          <cell r="G21" t="str">
            <v>36-1-79-967,968</v>
          </cell>
          <cell r="K21" t="e">
            <v>#REF!</v>
          </cell>
        </row>
        <row r="23">
          <cell r="C23">
            <v>11.611999999999966</v>
          </cell>
          <cell r="D23">
            <v>852.5</v>
          </cell>
          <cell r="E23" t="str">
            <v>تن</v>
          </cell>
          <cell r="F23">
            <v>864.11199999999997</v>
          </cell>
          <cell r="G23" t="str">
            <v>Tk 2003 A / B</v>
          </cell>
          <cell r="K23" t="e">
            <v>#REF!</v>
          </cell>
        </row>
        <row r="25">
          <cell r="C25">
            <v>56.12</v>
          </cell>
          <cell r="D25">
            <v>298.88</v>
          </cell>
          <cell r="E25" t="str">
            <v>تن</v>
          </cell>
          <cell r="F25">
            <v>355</v>
          </cell>
          <cell r="G25" t="str">
            <v>TK 4002</v>
          </cell>
          <cell r="K25" t="e">
            <v>#REF!</v>
          </cell>
        </row>
        <row r="27">
          <cell r="C27">
            <v>2303</v>
          </cell>
          <cell r="D27">
            <v>1915.53</v>
          </cell>
          <cell r="E27" t="str">
            <v>تن</v>
          </cell>
          <cell r="F27">
            <v>3667</v>
          </cell>
          <cell r="G27" t="str">
            <v>36-2-79-991</v>
          </cell>
          <cell r="K27" t="e">
            <v>#REF!</v>
          </cell>
        </row>
        <row r="29">
          <cell r="C29">
            <v>563.51</v>
          </cell>
          <cell r="D29">
            <v>3666.94</v>
          </cell>
          <cell r="E29" t="str">
            <v>تن</v>
          </cell>
          <cell r="F29">
            <v>4230.45</v>
          </cell>
          <cell r="G29" t="str">
            <v>36-1-79-1017</v>
          </cell>
          <cell r="K29" t="e">
            <v>#REF!</v>
          </cell>
        </row>
        <row r="31">
          <cell r="C31">
            <v>134.19999999999999</v>
          </cell>
          <cell r="D31">
            <v>1787.8</v>
          </cell>
          <cell r="E31" t="str">
            <v>تن</v>
          </cell>
          <cell r="F31">
            <v>1922</v>
          </cell>
          <cell r="K31" t="e">
            <v>#REF!</v>
          </cell>
        </row>
        <row r="33">
          <cell r="D33">
            <v>192.2</v>
          </cell>
          <cell r="E33" t="str">
            <v>تن</v>
          </cell>
          <cell r="F33">
            <v>192.2</v>
          </cell>
          <cell r="K33" t="e">
            <v>#REF!</v>
          </cell>
        </row>
        <row r="35">
          <cell r="D35">
            <v>96.1</v>
          </cell>
          <cell r="E35" t="str">
            <v>تن</v>
          </cell>
          <cell r="F35">
            <v>96.1</v>
          </cell>
          <cell r="K35" t="e">
            <v>#REF!</v>
          </cell>
        </row>
        <row r="37">
          <cell r="C37">
            <v>82.5</v>
          </cell>
          <cell r="D37">
            <v>467.5</v>
          </cell>
          <cell r="E37" t="str">
            <v>تن</v>
          </cell>
          <cell r="F37">
            <v>550</v>
          </cell>
          <cell r="K37" t="e">
            <v>#REF!</v>
          </cell>
        </row>
        <row r="39">
          <cell r="C39">
            <v>0</v>
          </cell>
          <cell r="D39">
            <v>55</v>
          </cell>
          <cell r="E39" t="str">
            <v>تن</v>
          </cell>
          <cell r="F39">
            <v>55</v>
          </cell>
          <cell r="K39" t="e">
            <v>#REF!</v>
          </cell>
        </row>
        <row r="41">
          <cell r="C41">
            <v>86.16</v>
          </cell>
          <cell r="D41">
            <v>463.84</v>
          </cell>
          <cell r="E41" t="str">
            <v>تن</v>
          </cell>
          <cell r="F41">
            <v>550</v>
          </cell>
          <cell r="K41" t="e">
            <v>#REF!</v>
          </cell>
        </row>
        <row r="43">
          <cell r="C43">
            <v>0</v>
          </cell>
          <cell r="D43">
            <v>55</v>
          </cell>
          <cell r="E43" t="str">
            <v>تن</v>
          </cell>
          <cell r="F43">
            <v>55</v>
          </cell>
          <cell r="K43" t="e">
            <v>#REF!</v>
          </cell>
        </row>
        <row r="45">
          <cell r="C45">
            <v>238.65</v>
          </cell>
          <cell r="D45">
            <v>311.35000000000002</v>
          </cell>
          <cell r="E45" t="str">
            <v>تن</v>
          </cell>
          <cell r="F45">
            <v>550</v>
          </cell>
          <cell r="G45" t="str">
            <v>شمال غرب</v>
          </cell>
          <cell r="K45" t="e">
            <v>#REF!</v>
          </cell>
        </row>
        <row r="47">
          <cell r="C47">
            <v>0</v>
          </cell>
          <cell r="D47">
            <v>55</v>
          </cell>
          <cell r="E47" t="str">
            <v>تن</v>
          </cell>
          <cell r="F47">
            <v>55</v>
          </cell>
          <cell r="G47" t="str">
            <v>شمال غرب</v>
          </cell>
          <cell r="K47" t="e">
            <v>#REF!</v>
          </cell>
        </row>
        <row r="49">
          <cell r="C49">
            <v>15.95</v>
          </cell>
          <cell r="D49">
            <v>84.55</v>
          </cell>
          <cell r="E49" t="str">
            <v>تن</v>
          </cell>
          <cell r="F49">
            <v>100.5</v>
          </cell>
          <cell r="K49" t="e">
            <v>#REF!</v>
          </cell>
        </row>
        <row r="51">
          <cell r="C51">
            <v>0</v>
          </cell>
          <cell r="D51">
            <v>10.050000000000001</v>
          </cell>
          <cell r="E51" t="str">
            <v>تن</v>
          </cell>
          <cell r="F51">
            <v>10.050000000000001</v>
          </cell>
          <cell r="K51" t="e">
            <v>#REF!</v>
          </cell>
        </row>
        <row r="53">
          <cell r="C53">
            <v>6.05</v>
          </cell>
          <cell r="D53">
            <v>79.95</v>
          </cell>
          <cell r="E53" t="str">
            <v>تن</v>
          </cell>
          <cell r="F53">
            <v>86</v>
          </cell>
          <cell r="K53" t="e">
            <v>#REF!</v>
          </cell>
        </row>
        <row r="55">
          <cell r="C55">
            <v>0</v>
          </cell>
          <cell r="D55">
            <v>8.6</v>
          </cell>
          <cell r="E55" t="str">
            <v>تن</v>
          </cell>
          <cell r="F55">
            <v>8.6</v>
          </cell>
          <cell r="K55" t="e">
            <v>#REF!</v>
          </cell>
        </row>
        <row r="57">
          <cell r="C57">
            <v>1062.5</v>
          </cell>
          <cell r="D57">
            <v>87.5</v>
          </cell>
          <cell r="E57" t="str">
            <v>تن</v>
          </cell>
          <cell r="F57">
            <v>1150</v>
          </cell>
          <cell r="G57" t="str">
            <v>36-2-79-1068</v>
          </cell>
          <cell r="K57" t="e">
            <v>#REF!</v>
          </cell>
        </row>
        <row r="59">
          <cell r="C59">
            <v>702</v>
          </cell>
          <cell r="D59">
            <v>358.3</v>
          </cell>
          <cell r="E59" t="str">
            <v>تن</v>
          </cell>
          <cell r="F59">
            <v>1060.3</v>
          </cell>
          <cell r="G59" t="str">
            <v>36-1-79-1072</v>
          </cell>
          <cell r="K59" t="e">
            <v>#REF!</v>
          </cell>
        </row>
        <row r="61">
          <cell r="C61">
            <v>702</v>
          </cell>
          <cell r="D61">
            <v>68</v>
          </cell>
          <cell r="E61" t="str">
            <v>تن</v>
          </cell>
          <cell r="F61">
            <v>770</v>
          </cell>
          <cell r="G61" t="str">
            <v>36-1-79-1072</v>
          </cell>
          <cell r="K61" t="e">
            <v>#REF!</v>
          </cell>
        </row>
        <row r="63">
          <cell r="C63">
            <v>0</v>
          </cell>
          <cell r="D63">
            <v>290.3</v>
          </cell>
          <cell r="E63" t="str">
            <v>تن</v>
          </cell>
          <cell r="F63">
            <v>290.3</v>
          </cell>
          <cell r="G63" t="str">
            <v>36-1-79-1072</v>
          </cell>
          <cell r="K63" t="e">
            <v>#REF!</v>
          </cell>
        </row>
        <row r="65">
          <cell r="C65">
            <v>2083</v>
          </cell>
          <cell r="D65">
            <v>40</v>
          </cell>
          <cell r="E65" t="str">
            <v>تن</v>
          </cell>
          <cell r="F65">
            <v>2123</v>
          </cell>
          <cell r="G65" t="str">
            <v>36-1-80-508</v>
          </cell>
          <cell r="K65" t="e">
            <v>#REF!</v>
          </cell>
        </row>
        <row r="67">
          <cell r="C67">
            <v>1930</v>
          </cell>
          <cell r="D67">
            <v>0</v>
          </cell>
          <cell r="E67" t="str">
            <v>تن</v>
          </cell>
          <cell r="F67">
            <v>1930</v>
          </cell>
          <cell r="G67" t="str">
            <v>36-1-80-508</v>
          </cell>
          <cell r="K67" t="e">
            <v>#REF!</v>
          </cell>
        </row>
        <row r="69">
          <cell r="C69">
            <v>153</v>
          </cell>
          <cell r="D69">
            <v>40</v>
          </cell>
          <cell r="E69" t="str">
            <v>تن</v>
          </cell>
          <cell r="F69">
            <v>193</v>
          </cell>
          <cell r="G69" t="str">
            <v>36-1-80-508</v>
          </cell>
          <cell r="K69" t="e">
            <v>#REF!</v>
          </cell>
        </row>
        <row r="71">
          <cell r="C71">
            <v>105.35</v>
          </cell>
          <cell r="D71">
            <v>598.65</v>
          </cell>
          <cell r="E71" t="str">
            <v>تن</v>
          </cell>
          <cell r="F71">
            <v>704</v>
          </cell>
          <cell r="G71" t="str">
            <v>36-1-80-557</v>
          </cell>
          <cell r="K71" t="e">
            <v>#REF!</v>
          </cell>
        </row>
        <row r="73">
          <cell r="C73">
            <v>105.35</v>
          </cell>
          <cell r="D73">
            <v>534.65</v>
          </cell>
          <cell r="E73" t="str">
            <v>تن</v>
          </cell>
          <cell r="F73">
            <v>640</v>
          </cell>
          <cell r="G73" t="str">
            <v>36-1-80-557</v>
          </cell>
          <cell r="K73" t="e">
            <v>#REF!</v>
          </cell>
        </row>
        <row r="75">
          <cell r="C75">
            <v>0</v>
          </cell>
          <cell r="D75">
            <v>64</v>
          </cell>
          <cell r="E75" t="str">
            <v>تن</v>
          </cell>
          <cell r="F75">
            <v>64</v>
          </cell>
          <cell r="G75" t="str">
            <v>36-1-80-557</v>
          </cell>
          <cell r="K75" t="e">
            <v>#REF!</v>
          </cell>
        </row>
        <row r="77">
          <cell r="C77">
            <v>190</v>
          </cell>
          <cell r="D77">
            <v>0</v>
          </cell>
          <cell r="E77" t="str">
            <v>تن</v>
          </cell>
          <cell r="F77">
            <v>190</v>
          </cell>
          <cell r="G77" t="str">
            <v>15-3-80-559</v>
          </cell>
          <cell r="K77" t="e">
            <v>#REF!</v>
          </cell>
        </row>
        <row r="79">
          <cell r="C79">
            <v>190</v>
          </cell>
          <cell r="D79">
            <v>0</v>
          </cell>
          <cell r="E79" t="str">
            <v>تن</v>
          </cell>
          <cell r="F79">
            <v>190</v>
          </cell>
          <cell r="G79" t="str">
            <v>36-4-80-560</v>
          </cell>
          <cell r="K79" t="e">
            <v>#REF!</v>
          </cell>
        </row>
        <row r="81">
          <cell r="C81">
            <v>1358.9559999999997</v>
          </cell>
          <cell r="D81">
            <v>2536.0300000000002</v>
          </cell>
          <cell r="E81" t="str">
            <v>تن</v>
          </cell>
          <cell r="F81">
            <v>3894.9859999999999</v>
          </cell>
          <cell r="G81" t="str">
            <v>36-4-80-566</v>
          </cell>
          <cell r="K81" t="e">
            <v>#REF!</v>
          </cell>
        </row>
        <row r="83">
          <cell r="C83">
            <v>3491.5</v>
          </cell>
          <cell r="D83">
            <v>1313.5</v>
          </cell>
          <cell r="E83" t="str">
            <v>تن</v>
          </cell>
          <cell r="F83">
            <v>4805</v>
          </cell>
          <cell r="G83" t="str">
            <v>17-9-80-590</v>
          </cell>
          <cell r="K83" t="e">
            <v>#REF!</v>
          </cell>
        </row>
        <row r="85">
          <cell r="C85">
            <v>4805</v>
          </cell>
          <cell r="D85">
            <v>0</v>
          </cell>
          <cell r="E85" t="str">
            <v>تن</v>
          </cell>
          <cell r="F85">
            <v>4805</v>
          </cell>
          <cell r="G85" t="str">
            <v>36-3-80-591</v>
          </cell>
          <cell r="K85" t="e">
            <v>#REF!</v>
          </cell>
        </row>
        <row r="87">
          <cell r="C87">
            <v>177.7</v>
          </cell>
          <cell r="D87">
            <v>3322.3</v>
          </cell>
          <cell r="E87" t="str">
            <v>تن</v>
          </cell>
          <cell r="F87">
            <v>3500</v>
          </cell>
          <cell r="G87" t="str">
            <v>36-4-80-806</v>
          </cell>
          <cell r="K87" t="e">
            <v>#REF!</v>
          </cell>
        </row>
        <row r="89">
          <cell r="C89">
            <v>810</v>
          </cell>
          <cell r="D89">
            <v>0</v>
          </cell>
          <cell r="E89" t="str">
            <v>تن</v>
          </cell>
          <cell r="F89">
            <v>810</v>
          </cell>
          <cell r="G89" t="str">
            <v>36-2-80-847</v>
          </cell>
          <cell r="K89" t="e">
            <v>#REF!</v>
          </cell>
        </row>
        <row r="91">
          <cell r="C91">
            <v>16847.900000000001</v>
          </cell>
          <cell r="D91">
            <v>11708.1</v>
          </cell>
          <cell r="E91" t="str">
            <v>تن</v>
          </cell>
          <cell r="F91">
            <v>28556</v>
          </cell>
          <cell r="G91" t="str">
            <v>36-1-80-1016</v>
          </cell>
          <cell r="K91" t="e">
            <v>#REF!</v>
          </cell>
        </row>
        <row r="93">
          <cell r="C93">
            <v>1184.5</v>
          </cell>
          <cell r="D93">
            <v>1837.5</v>
          </cell>
          <cell r="E93" t="str">
            <v>تن</v>
          </cell>
          <cell r="F93">
            <v>3022</v>
          </cell>
          <cell r="G93" t="str">
            <v>36-1-80-1016</v>
          </cell>
          <cell r="J93">
            <v>89788153242</v>
          </cell>
          <cell r="K93" t="e">
            <v>#REF!</v>
          </cell>
          <cell r="L93">
            <v>47776276340.068199</v>
          </cell>
        </row>
        <row r="95">
          <cell r="C95">
            <v>4002.9</v>
          </cell>
          <cell r="D95">
            <v>4187.1000000000004</v>
          </cell>
          <cell r="E95" t="str">
            <v>تن</v>
          </cell>
          <cell r="F95">
            <v>8190</v>
          </cell>
          <cell r="G95" t="str">
            <v>36-1-80-1017</v>
          </cell>
          <cell r="K95" t="e">
            <v>#REF!</v>
          </cell>
        </row>
        <row r="97">
          <cell r="C97">
            <v>4294</v>
          </cell>
          <cell r="D97">
            <v>0</v>
          </cell>
          <cell r="E97" t="str">
            <v>تن</v>
          </cell>
          <cell r="F97">
            <v>4294</v>
          </cell>
          <cell r="G97" t="str">
            <v>36-2-80-1018</v>
          </cell>
          <cell r="K97" t="e">
            <v>#REF!</v>
          </cell>
        </row>
        <row r="99">
          <cell r="C99">
            <v>4369.8999999999996</v>
          </cell>
          <cell r="D99">
            <v>160.1</v>
          </cell>
          <cell r="E99" t="str">
            <v>تن</v>
          </cell>
          <cell r="F99">
            <v>4530</v>
          </cell>
          <cell r="G99" t="str">
            <v>36-6-80-1019</v>
          </cell>
          <cell r="K99" t="e">
            <v>#REF!</v>
          </cell>
        </row>
        <row r="101">
          <cell r="C101">
            <v>2996.6</v>
          </cell>
          <cell r="D101">
            <v>4583.3999999999996</v>
          </cell>
          <cell r="E101" t="str">
            <v>تن</v>
          </cell>
          <cell r="F101">
            <v>7580</v>
          </cell>
          <cell r="G101" t="str">
            <v>36-5-80-1020</v>
          </cell>
          <cell r="K101" t="e">
            <v>#REF!</v>
          </cell>
        </row>
        <row r="103">
          <cell r="C103">
            <v>0</v>
          </cell>
          <cell r="D103">
            <v>940</v>
          </cell>
          <cell r="E103" t="str">
            <v>تن</v>
          </cell>
          <cell r="F103">
            <v>940</v>
          </cell>
          <cell r="G103" t="str">
            <v>36-5-80-1021</v>
          </cell>
          <cell r="K103" t="e">
            <v>#REF!</v>
          </cell>
        </row>
        <row r="105">
          <cell r="C105">
            <v>308</v>
          </cell>
          <cell r="D105">
            <v>2512</v>
          </cell>
          <cell r="E105" t="str">
            <v>تن</v>
          </cell>
          <cell r="F105">
            <v>2820</v>
          </cell>
          <cell r="G105" t="str">
            <v>36-1-80-1067</v>
          </cell>
          <cell r="K105" t="e">
            <v>#REF!</v>
          </cell>
        </row>
        <row r="107">
          <cell r="C107">
            <v>3054.2</v>
          </cell>
          <cell r="D107">
            <v>25.8</v>
          </cell>
          <cell r="E107" t="str">
            <v>تن</v>
          </cell>
          <cell r="F107">
            <v>3080</v>
          </cell>
          <cell r="G107" t="str">
            <v>36-3-80-1070</v>
          </cell>
          <cell r="K107" t="e">
            <v>#REF!</v>
          </cell>
        </row>
        <row r="109">
          <cell r="C109">
            <v>2248.1190000000001</v>
          </cell>
          <cell r="D109">
            <v>1520.5810000000001</v>
          </cell>
          <cell r="E109" t="str">
            <v>تن</v>
          </cell>
          <cell r="F109">
            <v>3768.7</v>
          </cell>
          <cell r="G109" t="str">
            <v>36-1-80-1088</v>
          </cell>
          <cell r="K109" t="e">
            <v>#REF!</v>
          </cell>
        </row>
        <row r="111">
          <cell r="C111">
            <v>1956.8</v>
          </cell>
          <cell r="D111">
            <v>863.2</v>
          </cell>
          <cell r="E111" t="str">
            <v>تن</v>
          </cell>
          <cell r="F111">
            <v>2820</v>
          </cell>
          <cell r="K111" t="e">
            <v>#REF!</v>
          </cell>
        </row>
        <row r="113">
          <cell r="C113">
            <v>291.31900000000007</v>
          </cell>
          <cell r="D113">
            <v>657.38099999999997</v>
          </cell>
          <cell r="E113" t="str">
            <v>تن</v>
          </cell>
          <cell r="F113">
            <v>948.7</v>
          </cell>
          <cell r="K113" t="e">
            <v>#REF!</v>
          </cell>
        </row>
        <row r="115">
          <cell r="C115">
            <v>3266.18</v>
          </cell>
          <cell r="D115">
            <v>1901.5</v>
          </cell>
          <cell r="E115" t="str">
            <v>تن</v>
          </cell>
          <cell r="F115">
            <v>5167.68</v>
          </cell>
          <cell r="G115" t="str">
            <v>36-1-81-464</v>
          </cell>
          <cell r="K115" t="e">
            <v>#REF!</v>
          </cell>
        </row>
        <row r="117">
          <cell r="C117">
            <v>1700</v>
          </cell>
          <cell r="D117">
            <v>0</v>
          </cell>
          <cell r="E117" t="str">
            <v>تن</v>
          </cell>
          <cell r="F117">
            <v>1700</v>
          </cell>
          <cell r="G117" t="str">
            <v>36-3-81-0536</v>
          </cell>
          <cell r="J117" t="str">
            <v>B</v>
          </cell>
          <cell r="K117" t="e">
            <v>#REF!</v>
          </cell>
          <cell r="L117">
            <v>1</v>
          </cell>
        </row>
        <row r="119">
          <cell r="C119">
            <v>7342.8</v>
          </cell>
          <cell r="D119">
            <v>320</v>
          </cell>
          <cell r="E119" t="str">
            <v>تن</v>
          </cell>
          <cell r="F119">
            <v>7662.8</v>
          </cell>
          <cell r="G119" t="str">
            <v>36-1-81-0580</v>
          </cell>
          <cell r="J119" t="str">
            <v>D</v>
          </cell>
          <cell r="K119" t="e">
            <v>#REF!</v>
          </cell>
          <cell r="L119">
            <v>0.6</v>
          </cell>
        </row>
        <row r="121">
          <cell r="C121">
            <v>70</v>
          </cell>
          <cell r="D121">
            <v>0</v>
          </cell>
          <cell r="E121" t="str">
            <v>تن</v>
          </cell>
          <cell r="F121">
            <v>70</v>
          </cell>
          <cell r="G121" t="str">
            <v>36-1-81-0643</v>
          </cell>
          <cell r="J121" t="str">
            <v>F</v>
          </cell>
          <cell r="K121" t="e">
            <v>#REF!</v>
          </cell>
          <cell r="L121">
            <v>0.5</v>
          </cell>
        </row>
        <row r="123">
          <cell r="C123">
            <v>796</v>
          </cell>
          <cell r="D123">
            <v>0</v>
          </cell>
          <cell r="E123" t="str">
            <v>تن</v>
          </cell>
          <cell r="F123">
            <v>796</v>
          </cell>
          <cell r="G123" t="str">
            <v>36-1-81-0728</v>
          </cell>
          <cell r="K123" t="e">
            <v>#REF!</v>
          </cell>
          <cell r="L123" t="e">
            <v>#REF!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-Management"/>
      <sheetName val="Ref."/>
      <sheetName val="Sum (Manag)"/>
      <sheetName val="Piping"/>
      <sheetName val="Data"/>
      <sheetName val="El &amp; Instrument"/>
      <sheetName val="summary"/>
      <sheetName val="MAN POWER"/>
      <sheetName val="MACHIN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_Does_What"/>
      <sheetName val="pms2"/>
      <sheetName val="Done Activities2"/>
      <sheetName val="pms"/>
      <sheetName val="Sheet2"/>
    </sheetNames>
    <sheetDataSet>
      <sheetData sheetId="0"/>
      <sheetData sheetId="1"/>
      <sheetData sheetId="2"/>
      <sheetData sheetId="3">
        <row r="3">
          <cell r="AA3">
            <v>0.6250186235451638</v>
          </cell>
        </row>
      </sheetData>
      <sheetData sheetId="4">
        <row r="1">
          <cell r="K1" t="str">
            <v>IDS</v>
          </cell>
          <cell r="L1" t="str">
            <v>Text108</v>
          </cell>
          <cell r="M1" t="str">
            <v>Text10</v>
          </cell>
          <cell r="N1" t="str">
            <v>worked</v>
          </cell>
          <cell r="O1" t="str">
            <v>Text13</v>
          </cell>
          <cell r="P1" t="str">
            <v>w.f</v>
          </cell>
          <cell r="Q1" t="str">
            <v>weight</v>
          </cell>
        </row>
        <row r="2">
          <cell r="K2" t="str">
            <v>601.1.1.1.1.01.01</v>
          </cell>
          <cell r="L2" t="str">
            <v>not started</v>
          </cell>
          <cell r="M2" t="str">
            <v>Cracking Furnaces Erection (OLF1)</v>
          </cell>
          <cell r="N2">
            <v>0</v>
          </cell>
          <cell r="O2" t="str">
            <v>-</v>
          </cell>
          <cell r="P2">
            <v>0</v>
          </cell>
          <cell r="Q2">
            <v>0</v>
          </cell>
        </row>
        <row r="3">
          <cell r="K3" t="str">
            <v>601.1.1.1.1.01.02</v>
          </cell>
          <cell r="L3" t="str">
            <v>not started</v>
          </cell>
          <cell r="M3" t="str">
            <v>Cracking Furnaces Erection (OLF2)</v>
          </cell>
          <cell r="N3">
            <v>0</v>
          </cell>
          <cell r="O3" t="str">
            <v>-</v>
          </cell>
          <cell r="P3">
            <v>0</v>
          </cell>
          <cell r="Q3">
            <v>0</v>
          </cell>
        </row>
        <row r="4">
          <cell r="K4" t="str">
            <v>601.2.1.1.1.01.01</v>
          </cell>
          <cell r="L4" t="str">
            <v>complete</v>
          </cell>
          <cell r="M4" t="str">
            <v>Cracking Furnaces Erection (OLF1)</v>
          </cell>
          <cell r="N4">
            <v>0.5</v>
          </cell>
          <cell r="O4" t="str">
            <v>-</v>
          </cell>
          <cell r="P4">
            <v>5.0000000000000001E-3</v>
          </cell>
          <cell r="Q4">
            <v>0.5</v>
          </cell>
        </row>
        <row r="5">
          <cell r="K5" t="str">
            <v>601.2.1.1.1.01.02</v>
          </cell>
          <cell r="L5" t="str">
            <v>complete</v>
          </cell>
          <cell r="M5" t="str">
            <v>Cracking Furnaces Erection (OLF2)</v>
          </cell>
          <cell r="N5">
            <v>0.5</v>
          </cell>
          <cell r="O5" t="str">
            <v>-</v>
          </cell>
          <cell r="P5">
            <v>5.0000000000000001E-3</v>
          </cell>
          <cell r="Q5">
            <v>0.5</v>
          </cell>
        </row>
        <row r="6">
          <cell r="K6" t="str">
            <v>601.3.1.1.1.0101</v>
          </cell>
          <cell r="L6" t="str">
            <v>complete</v>
          </cell>
          <cell r="M6" t="str">
            <v>Material Handling</v>
          </cell>
          <cell r="N6">
            <v>9000</v>
          </cell>
          <cell r="O6" t="str">
            <v>KG</v>
          </cell>
          <cell r="P6">
            <v>1.7594999999999999E-4</v>
          </cell>
          <cell r="Q6">
            <v>9000</v>
          </cell>
        </row>
        <row r="7">
          <cell r="K7" t="str">
            <v>601.3.1.1.1.0102</v>
          </cell>
          <cell r="L7" t="str">
            <v>complete</v>
          </cell>
          <cell r="M7" t="str">
            <v>Installation</v>
          </cell>
          <cell r="N7">
            <v>9000</v>
          </cell>
          <cell r="O7" t="str">
            <v>KG</v>
          </cell>
          <cell r="P7">
            <v>1.7595E-3</v>
          </cell>
          <cell r="Q7">
            <v>9000</v>
          </cell>
        </row>
        <row r="8">
          <cell r="K8" t="str">
            <v>601.3.1.1.1.0103</v>
          </cell>
          <cell r="L8" t="str">
            <v>complete</v>
          </cell>
          <cell r="M8" t="str">
            <v>Leveling &amp; Plumbness</v>
          </cell>
          <cell r="N8">
            <v>9000</v>
          </cell>
          <cell r="O8" t="str">
            <v>KG</v>
          </cell>
          <cell r="P8">
            <v>5.2784999999999996E-4</v>
          </cell>
          <cell r="Q8">
            <v>9000</v>
          </cell>
        </row>
        <row r="9">
          <cell r="K9" t="str">
            <v>601.3.1.1.1.0104</v>
          </cell>
          <cell r="L9" t="str">
            <v>complete</v>
          </cell>
          <cell r="M9" t="str">
            <v>Full Bolt &amp; Tightening</v>
          </cell>
          <cell r="N9">
            <v>9000</v>
          </cell>
          <cell r="O9" t="str">
            <v>KG</v>
          </cell>
          <cell r="P9">
            <v>7.0379999999999998E-4</v>
          </cell>
          <cell r="Q9">
            <v>9000</v>
          </cell>
        </row>
        <row r="10">
          <cell r="K10" t="str">
            <v>601.3.1.1.1.0105</v>
          </cell>
          <cell r="L10" t="str">
            <v>complete</v>
          </cell>
          <cell r="M10" t="str">
            <v>Touch up</v>
          </cell>
          <cell r="N10">
            <v>9000</v>
          </cell>
          <cell r="O10" t="str">
            <v>KG</v>
          </cell>
          <cell r="P10">
            <v>1.7594999999999999E-4</v>
          </cell>
          <cell r="Q10">
            <v>9000</v>
          </cell>
        </row>
        <row r="11">
          <cell r="K11" t="str">
            <v>601.3.1.1.1.0106</v>
          </cell>
          <cell r="L11" t="str">
            <v>complete</v>
          </cell>
          <cell r="M11" t="str">
            <v>Certificate</v>
          </cell>
          <cell r="N11">
            <v>9000</v>
          </cell>
          <cell r="O11" t="str">
            <v>KG</v>
          </cell>
          <cell r="P11">
            <v>1.7594999999999999E-4</v>
          </cell>
          <cell r="Q11">
            <v>9000</v>
          </cell>
        </row>
        <row r="12">
          <cell r="K12" t="str">
            <v>601.3.1.1.1.0201</v>
          </cell>
          <cell r="L12" t="str">
            <v>complete</v>
          </cell>
          <cell r="M12" t="str">
            <v>Material Handling</v>
          </cell>
          <cell r="N12">
            <v>40000</v>
          </cell>
          <cell r="O12" t="str">
            <v>KG</v>
          </cell>
          <cell r="P12">
            <v>8.7107250000000003E-4</v>
          </cell>
          <cell r="Q12">
            <v>40000</v>
          </cell>
        </row>
        <row r="13">
          <cell r="K13" t="str">
            <v>601.3.1.1.1.0202</v>
          </cell>
          <cell r="L13" t="str">
            <v>complete</v>
          </cell>
          <cell r="M13" t="str">
            <v>Chipping&amp;Padding</v>
          </cell>
          <cell r="N13">
            <v>40000</v>
          </cell>
          <cell r="O13" t="str">
            <v>KG</v>
          </cell>
          <cell r="P13">
            <v>8.7107250000000003E-4</v>
          </cell>
          <cell r="Q13">
            <v>40000</v>
          </cell>
        </row>
        <row r="14">
          <cell r="K14" t="str">
            <v>601.3.1.1.1.0203</v>
          </cell>
          <cell r="L14" t="str">
            <v>complete</v>
          </cell>
          <cell r="M14" t="str">
            <v>Installation(Column/Beam/Bracing/Stair)</v>
          </cell>
          <cell r="N14">
            <v>40000</v>
          </cell>
          <cell r="O14" t="str">
            <v>KG</v>
          </cell>
          <cell r="P14">
            <v>8.7107250000000008E-3</v>
          </cell>
          <cell r="Q14">
            <v>40000</v>
          </cell>
        </row>
        <row r="15">
          <cell r="K15" t="str">
            <v>601.3.1.1.1.0204</v>
          </cell>
          <cell r="L15" t="str">
            <v>complete</v>
          </cell>
          <cell r="M15" t="str">
            <v>Bolting</v>
          </cell>
          <cell r="N15">
            <v>40000</v>
          </cell>
          <cell r="O15" t="str">
            <v>KG</v>
          </cell>
          <cell r="P15">
            <v>1.7421450000000001E-3</v>
          </cell>
          <cell r="Q15">
            <v>40000</v>
          </cell>
        </row>
        <row r="16">
          <cell r="K16" t="str">
            <v>601.3.1.1.1.0205</v>
          </cell>
          <cell r="L16" t="str">
            <v>complete</v>
          </cell>
          <cell r="M16" t="str">
            <v>Aligenment</v>
          </cell>
          <cell r="N16">
            <v>40000</v>
          </cell>
          <cell r="O16" t="str">
            <v>KG</v>
          </cell>
          <cell r="P16">
            <v>2.6132175000000003E-3</v>
          </cell>
          <cell r="Q16">
            <v>40000</v>
          </cell>
        </row>
        <row r="17">
          <cell r="K17" t="str">
            <v>601.3.1.1.1.0206</v>
          </cell>
          <cell r="L17" t="str">
            <v>complete</v>
          </cell>
          <cell r="M17" t="str">
            <v>Grouting</v>
          </cell>
          <cell r="N17">
            <v>40000</v>
          </cell>
          <cell r="O17" t="str">
            <v>KG</v>
          </cell>
          <cell r="P17">
            <v>8.7107250000000003E-4</v>
          </cell>
          <cell r="Q17">
            <v>40000</v>
          </cell>
        </row>
        <row r="18">
          <cell r="K18" t="str">
            <v>601.3.1.1.1.0207</v>
          </cell>
          <cell r="L18" t="str">
            <v>complete</v>
          </cell>
          <cell r="M18" t="str">
            <v>Punch Removing</v>
          </cell>
          <cell r="N18">
            <v>40000</v>
          </cell>
          <cell r="O18" t="str">
            <v>KG</v>
          </cell>
          <cell r="P18">
            <v>8.7107250000000003E-4</v>
          </cell>
          <cell r="Q18">
            <v>40000</v>
          </cell>
        </row>
        <row r="19">
          <cell r="K19" t="str">
            <v>601.3.1.1.1.0208</v>
          </cell>
          <cell r="L19" t="str">
            <v>complete</v>
          </cell>
          <cell r="M19" t="str">
            <v>Finall Inspection</v>
          </cell>
          <cell r="N19">
            <v>40000</v>
          </cell>
          <cell r="O19" t="str">
            <v>KG</v>
          </cell>
          <cell r="P19">
            <v>8.7107250000000003E-4</v>
          </cell>
          <cell r="Q19">
            <v>40000</v>
          </cell>
        </row>
        <row r="20">
          <cell r="K20" t="str">
            <v>601.3.1.1.1.0301</v>
          </cell>
          <cell r="L20" t="str">
            <v>complete</v>
          </cell>
          <cell r="M20" t="str">
            <v>Material Handling</v>
          </cell>
          <cell r="N20">
            <v>37000</v>
          </cell>
          <cell r="O20" t="str">
            <v>KG</v>
          </cell>
          <cell r="P20">
            <v>8.4771E-4</v>
          </cell>
          <cell r="Q20">
            <v>37000</v>
          </cell>
        </row>
        <row r="21">
          <cell r="K21" t="str">
            <v>601.3.1.1.1.0302</v>
          </cell>
          <cell r="L21" t="str">
            <v>complete</v>
          </cell>
          <cell r="M21" t="str">
            <v>Chipping&amp;Padding</v>
          </cell>
          <cell r="N21">
            <v>37000</v>
          </cell>
          <cell r="O21" t="str">
            <v>KG</v>
          </cell>
          <cell r="P21">
            <v>8.4771E-4</v>
          </cell>
          <cell r="Q21">
            <v>37000</v>
          </cell>
        </row>
        <row r="22">
          <cell r="K22" t="str">
            <v>601.3.1.1.1.0303</v>
          </cell>
          <cell r="L22" t="str">
            <v>complete</v>
          </cell>
          <cell r="M22" t="str">
            <v>Installation(Column/Beam/Bracing/Stair)</v>
          </cell>
          <cell r="N22">
            <v>37000</v>
          </cell>
          <cell r="O22" t="str">
            <v>KG</v>
          </cell>
          <cell r="P22">
            <v>8.4770999999999996E-3</v>
          </cell>
          <cell r="Q22">
            <v>37000</v>
          </cell>
        </row>
        <row r="23">
          <cell r="K23" t="str">
            <v>601.3.1.1.1.0304</v>
          </cell>
          <cell r="L23" t="str">
            <v>complete</v>
          </cell>
          <cell r="M23" t="str">
            <v>Bolting</v>
          </cell>
          <cell r="N23">
            <v>37000</v>
          </cell>
          <cell r="O23" t="str">
            <v>KG</v>
          </cell>
          <cell r="P23">
            <v>1.69542E-3</v>
          </cell>
          <cell r="Q23">
            <v>37000</v>
          </cell>
        </row>
        <row r="24">
          <cell r="K24" t="str">
            <v>601.3.1.1.1.0305</v>
          </cell>
          <cell r="L24" t="str">
            <v>complete</v>
          </cell>
          <cell r="M24" t="str">
            <v>Aligenment</v>
          </cell>
          <cell r="N24">
            <v>37000</v>
          </cell>
          <cell r="O24" t="str">
            <v>KG</v>
          </cell>
          <cell r="P24">
            <v>2.5431299999999998E-3</v>
          </cell>
          <cell r="Q24">
            <v>37000</v>
          </cell>
        </row>
        <row r="25">
          <cell r="K25" t="str">
            <v>601.3.1.1.1.0306</v>
          </cell>
          <cell r="L25" t="str">
            <v>complete</v>
          </cell>
          <cell r="M25" t="str">
            <v>Grouting</v>
          </cell>
          <cell r="N25">
            <v>37000</v>
          </cell>
          <cell r="O25" t="str">
            <v>KG</v>
          </cell>
          <cell r="P25">
            <v>8.4771E-4</v>
          </cell>
          <cell r="Q25">
            <v>37000</v>
          </cell>
        </row>
        <row r="26">
          <cell r="K26" t="str">
            <v>601.3.1.1.1.0307</v>
          </cell>
          <cell r="L26" t="str">
            <v>complete</v>
          </cell>
          <cell r="M26" t="str">
            <v>Punch Removing</v>
          </cell>
          <cell r="N26">
            <v>37000</v>
          </cell>
          <cell r="O26" t="str">
            <v>KG</v>
          </cell>
          <cell r="P26">
            <v>8.4771E-4</v>
          </cell>
          <cell r="Q26">
            <v>37000</v>
          </cell>
        </row>
        <row r="27">
          <cell r="K27" t="str">
            <v>601.3.1.1.1.0308</v>
          </cell>
          <cell r="L27" t="str">
            <v>complete</v>
          </cell>
          <cell r="M27" t="str">
            <v>Finall Inspection</v>
          </cell>
          <cell r="N27">
            <v>37000</v>
          </cell>
          <cell r="O27" t="str">
            <v>KG</v>
          </cell>
          <cell r="P27">
            <v>8.4771E-4</v>
          </cell>
          <cell r="Q27">
            <v>37000</v>
          </cell>
        </row>
        <row r="28">
          <cell r="K28" t="str">
            <v>601.3.1.1.1.0401</v>
          </cell>
          <cell r="L28" t="str">
            <v>complete</v>
          </cell>
          <cell r="M28" t="str">
            <v>Material Handling</v>
          </cell>
          <cell r="N28">
            <v>10000</v>
          </cell>
          <cell r="O28" t="str">
            <v>KG</v>
          </cell>
          <cell r="P28">
            <v>2.0991499999999997E-4</v>
          </cell>
          <cell r="Q28">
            <v>10000</v>
          </cell>
        </row>
        <row r="29">
          <cell r="K29" t="str">
            <v>601.3.1.1.1.0402</v>
          </cell>
          <cell r="L29" t="str">
            <v>complete</v>
          </cell>
          <cell r="M29" t="str">
            <v>Installation</v>
          </cell>
          <cell r="N29">
            <v>10000</v>
          </cell>
          <cell r="O29" t="str">
            <v>KG</v>
          </cell>
          <cell r="P29">
            <v>2.0991499999999997E-3</v>
          </cell>
          <cell r="Q29">
            <v>10000</v>
          </cell>
        </row>
        <row r="30">
          <cell r="K30" t="str">
            <v>601.3.1.1.1.0403</v>
          </cell>
          <cell r="L30" t="str">
            <v>complete</v>
          </cell>
          <cell r="M30" t="str">
            <v>Leveling &amp; Plumbness</v>
          </cell>
          <cell r="N30">
            <v>10000</v>
          </cell>
          <cell r="O30" t="str">
            <v>KG</v>
          </cell>
          <cell r="P30">
            <v>6.2974499999999991E-4</v>
          </cell>
          <cell r="Q30">
            <v>10000</v>
          </cell>
        </row>
        <row r="31">
          <cell r="K31" t="str">
            <v>601.3.1.1.1.0404</v>
          </cell>
          <cell r="L31" t="str">
            <v>complete</v>
          </cell>
          <cell r="M31" t="str">
            <v>Full Bolt &amp; Tightening</v>
          </cell>
          <cell r="N31">
            <v>10000</v>
          </cell>
          <cell r="O31" t="str">
            <v>KG</v>
          </cell>
          <cell r="P31">
            <v>8.3965999999999989E-4</v>
          </cell>
          <cell r="Q31">
            <v>10000</v>
          </cell>
        </row>
        <row r="32">
          <cell r="K32" t="str">
            <v>601.3.1.1.1.0405</v>
          </cell>
          <cell r="L32" t="str">
            <v>complete</v>
          </cell>
          <cell r="M32" t="str">
            <v>Touch up</v>
          </cell>
          <cell r="N32">
            <v>10000</v>
          </cell>
          <cell r="O32" t="str">
            <v>KG</v>
          </cell>
          <cell r="P32">
            <v>2.0991499999999997E-4</v>
          </cell>
          <cell r="Q32">
            <v>10000</v>
          </cell>
        </row>
        <row r="33">
          <cell r="K33" t="str">
            <v>601.3.1.1.1.0406</v>
          </cell>
          <cell r="L33" t="str">
            <v>complete</v>
          </cell>
          <cell r="M33" t="str">
            <v>Certificate</v>
          </cell>
          <cell r="N33">
            <v>10000</v>
          </cell>
          <cell r="O33" t="str">
            <v>KG</v>
          </cell>
          <cell r="P33">
            <v>2.0991499999999997E-4</v>
          </cell>
          <cell r="Q33">
            <v>10000</v>
          </cell>
        </row>
        <row r="34">
          <cell r="K34" t="str">
            <v>601.3.1.1.1.0501</v>
          </cell>
          <cell r="L34" t="str">
            <v>complete</v>
          </cell>
          <cell r="M34" t="str">
            <v>Material Handling</v>
          </cell>
          <cell r="N34">
            <v>7000</v>
          </cell>
          <cell r="O34" t="str">
            <v>KG</v>
          </cell>
          <cell r="P34">
            <v>1.8270499999999999E-4</v>
          </cell>
          <cell r="Q34">
            <v>7000</v>
          </cell>
        </row>
        <row r="35">
          <cell r="K35" t="str">
            <v>601.3.1.1.1.0502</v>
          </cell>
          <cell r="L35" t="str">
            <v>complete</v>
          </cell>
          <cell r="M35" t="str">
            <v>Installation</v>
          </cell>
          <cell r="N35">
            <v>7000</v>
          </cell>
          <cell r="O35" t="str">
            <v>KG</v>
          </cell>
          <cell r="P35">
            <v>1.82705E-3</v>
          </cell>
          <cell r="Q35">
            <v>7000</v>
          </cell>
        </row>
        <row r="36">
          <cell r="K36" t="str">
            <v>601.3.1.1.1.0503</v>
          </cell>
          <cell r="L36" t="str">
            <v>complete</v>
          </cell>
          <cell r="M36" t="str">
            <v>Leveling &amp; Plumbness</v>
          </cell>
          <cell r="N36">
            <v>7000</v>
          </cell>
          <cell r="O36" t="str">
            <v>KG</v>
          </cell>
          <cell r="P36">
            <v>5.4811499999999995E-4</v>
          </cell>
          <cell r="Q36">
            <v>7000</v>
          </cell>
        </row>
        <row r="37">
          <cell r="K37" t="str">
            <v>601.3.1.1.1.0504</v>
          </cell>
          <cell r="L37" t="str">
            <v>complete</v>
          </cell>
          <cell r="M37" t="str">
            <v>Full Bolt &amp; Tightening</v>
          </cell>
          <cell r="N37">
            <v>7000</v>
          </cell>
          <cell r="O37" t="str">
            <v>KG</v>
          </cell>
          <cell r="P37">
            <v>7.3081999999999997E-4</v>
          </cell>
          <cell r="Q37">
            <v>7000</v>
          </cell>
        </row>
        <row r="38">
          <cell r="K38" t="str">
            <v>601.3.1.1.1.0505</v>
          </cell>
          <cell r="L38" t="str">
            <v>complete</v>
          </cell>
          <cell r="M38" t="str">
            <v>Touch up</v>
          </cell>
          <cell r="N38">
            <v>7000</v>
          </cell>
          <cell r="O38" t="str">
            <v>KG</v>
          </cell>
          <cell r="P38">
            <v>1.8270499999999999E-4</v>
          </cell>
          <cell r="Q38">
            <v>7000</v>
          </cell>
        </row>
        <row r="39">
          <cell r="K39" t="str">
            <v>601.3.1.1.1.0506</v>
          </cell>
          <cell r="L39" t="str">
            <v>complete</v>
          </cell>
          <cell r="M39" t="str">
            <v>Certificate</v>
          </cell>
          <cell r="N39">
            <v>7000</v>
          </cell>
          <cell r="O39" t="str">
            <v>KG</v>
          </cell>
          <cell r="P39">
            <v>1.8270499999999999E-4</v>
          </cell>
          <cell r="Q39">
            <v>7000</v>
          </cell>
        </row>
        <row r="40">
          <cell r="K40" t="str">
            <v>601.3.1.1.1.0601</v>
          </cell>
          <cell r="L40" t="str">
            <v>complete</v>
          </cell>
          <cell r="M40" t="str">
            <v>Material Handling</v>
          </cell>
          <cell r="N40">
            <v>2000</v>
          </cell>
          <cell r="O40" t="str">
            <v>KG</v>
          </cell>
          <cell r="P40">
            <v>5.295E-5</v>
          </cell>
          <cell r="Q40">
            <v>2000</v>
          </cell>
        </row>
        <row r="41">
          <cell r="K41" t="str">
            <v>601.3.1.1.1.0602</v>
          </cell>
          <cell r="L41" t="str">
            <v>complete</v>
          </cell>
          <cell r="M41" t="str">
            <v>Installation</v>
          </cell>
          <cell r="N41">
            <v>2000</v>
          </cell>
          <cell r="O41" t="str">
            <v>KG</v>
          </cell>
          <cell r="P41">
            <v>5.2950000000000002E-4</v>
          </cell>
          <cell r="Q41">
            <v>2000</v>
          </cell>
        </row>
        <row r="42">
          <cell r="K42" t="str">
            <v>601.3.1.1.1.0603</v>
          </cell>
          <cell r="L42" t="str">
            <v>complete</v>
          </cell>
          <cell r="M42" t="str">
            <v>Leveling &amp; Plumbness</v>
          </cell>
          <cell r="N42">
            <v>2000</v>
          </cell>
          <cell r="O42" t="str">
            <v>KG</v>
          </cell>
          <cell r="P42">
            <v>1.5885000000000001E-4</v>
          </cell>
          <cell r="Q42">
            <v>2000</v>
          </cell>
        </row>
        <row r="43">
          <cell r="K43" t="str">
            <v>601.3.1.1.1.0604</v>
          </cell>
          <cell r="L43" t="str">
            <v>complete</v>
          </cell>
          <cell r="M43" t="str">
            <v>Full Bolt &amp; Tightening</v>
          </cell>
          <cell r="N43">
            <v>2000</v>
          </cell>
          <cell r="O43" t="str">
            <v>KG</v>
          </cell>
          <cell r="P43">
            <v>2.118E-4</v>
          </cell>
          <cell r="Q43">
            <v>2000</v>
          </cell>
        </row>
        <row r="44">
          <cell r="K44" t="str">
            <v>601.3.1.1.1.0605</v>
          </cell>
          <cell r="L44" t="str">
            <v>complete</v>
          </cell>
          <cell r="M44" t="str">
            <v>Touch up</v>
          </cell>
          <cell r="N44">
            <v>2000</v>
          </cell>
          <cell r="O44" t="str">
            <v>KG</v>
          </cell>
          <cell r="P44">
            <v>5.295E-5</v>
          </cell>
          <cell r="Q44">
            <v>2000</v>
          </cell>
        </row>
        <row r="45">
          <cell r="K45" t="str">
            <v>601.3.1.1.1.0606</v>
          </cell>
          <cell r="L45" t="str">
            <v>complete</v>
          </cell>
          <cell r="M45" t="str">
            <v>Certificate</v>
          </cell>
          <cell r="N45">
            <v>2000</v>
          </cell>
          <cell r="O45" t="str">
            <v>KG</v>
          </cell>
          <cell r="P45">
            <v>5.295E-5</v>
          </cell>
          <cell r="Q45">
            <v>2000</v>
          </cell>
        </row>
        <row r="46">
          <cell r="K46" t="str">
            <v>601.3.1.1.1.0701</v>
          </cell>
          <cell r="L46" t="str">
            <v>complete</v>
          </cell>
          <cell r="M46" t="str">
            <v>Material Handling</v>
          </cell>
          <cell r="N46">
            <v>5000</v>
          </cell>
          <cell r="O46" t="str">
            <v>KG</v>
          </cell>
          <cell r="P46">
            <v>1.0685500000000002E-4</v>
          </cell>
          <cell r="Q46">
            <v>5000</v>
          </cell>
        </row>
        <row r="47">
          <cell r="K47" t="str">
            <v>601.3.1.1.1.0702</v>
          </cell>
          <cell r="L47" t="str">
            <v>complete</v>
          </cell>
          <cell r="M47" t="str">
            <v>Installation</v>
          </cell>
          <cell r="N47">
            <v>5000</v>
          </cell>
          <cell r="O47" t="str">
            <v>KG</v>
          </cell>
          <cell r="P47">
            <v>1.0685500000000001E-3</v>
          </cell>
          <cell r="Q47">
            <v>5000</v>
          </cell>
        </row>
        <row r="48">
          <cell r="K48" t="str">
            <v>601.3.1.1.1.0703</v>
          </cell>
          <cell r="L48" t="str">
            <v>complete</v>
          </cell>
          <cell r="M48" t="str">
            <v>Leveling &amp; Plumbness</v>
          </cell>
          <cell r="N48">
            <v>5000</v>
          </cell>
          <cell r="O48" t="str">
            <v>KG</v>
          </cell>
          <cell r="P48">
            <v>3.2056500000000003E-4</v>
          </cell>
          <cell r="Q48">
            <v>5000</v>
          </cell>
        </row>
        <row r="49">
          <cell r="K49" t="str">
            <v>601.3.1.1.1.0704</v>
          </cell>
          <cell r="L49" t="str">
            <v>complete</v>
          </cell>
          <cell r="M49" t="str">
            <v>Full Bolt &amp; Tightening</v>
          </cell>
          <cell r="N49">
            <v>5000</v>
          </cell>
          <cell r="O49" t="str">
            <v>KG</v>
          </cell>
          <cell r="P49">
            <v>4.2742000000000008E-4</v>
          </cell>
          <cell r="Q49">
            <v>5000</v>
          </cell>
        </row>
        <row r="50">
          <cell r="K50" t="str">
            <v>601.3.1.1.1.0705</v>
          </cell>
          <cell r="L50" t="str">
            <v>complete</v>
          </cell>
          <cell r="M50" t="str">
            <v>Touch up</v>
          </cell>
          <cell r="N50">
            <v>5000</v>
          </cell>
          <cell r="O50" t="str">
            <v>KG</v>
          </cell>
          <cell r="P50">
            <v>1.0685500000000002E-4</v>
          </cell>
          <cell r="Q50">
            <v>5000</v>
          </cell>
        </row>
        <row r="51">
          <cell r="K51" t="str">
            <v>601.3.1.1.1.0706</v>
          </cell>
          <cell r="L51" t="str">
            <v>complete</v>
          </cell>
          <cell r="M51" t="str">
            <v>Certificate</v>
          </cell>
          <cell r="N51">
            <v>5000</v>
          </cell>
          <cell r="O51" t="str">
            <v>KG</v>
          </cell>
          <cell r="P51">
            <v>1.0685500000000002E-4</v>
          </cell>
          <cell r="Q51">
            <v>5000</v>
          </cell>
        </row>
        <row r="52">
          <cell r="K52" t="str">
            <v>601.3.1.1.2.0101</v>
          </cell>
          <cell r="L52" t="str">
            <v>complete</v>
          </cell>
          <cell r="M52" t="str">
            <v>Material Handling</v>
          </cell>
          <cell r="N52">
            <v>36000</v>
          </cell>
          <cell r="O52" t="str">
            <v>KG</v>
          </cell>
          <cell r="P52">
            <v>8.0844999999999995E-4</v>
          </cell>
          <cell r="Q52">
            <v>36000</v>
          </cell>
        </row>
        <row r="53">
          <cell r="K53" t="str">
            <v>601.3.1.1.2.0102</v>
          </cell>
          <cell r="L53" t="str">
            <v>complete</v>
          </cell>
          <cell r="M53" t="str">
            <v>Chipping&amp;Padding</v>
          </cell>
          <cell r="N53">
            <v>36000</v>
          </cell>
          <cell r="O53" t="str">
            <v>KG</v>
          </cell>
          <cell r="P53">
            <v>8.0844999999999995E-4</v>
          </cell>
          <cell r="Q53">
            <v>36000</v>
          </cell>
        </row>
        <row r="54">
          <cell r="K54" t="str">
            <v>601.3.1.1.2.0103</v>
          </cell>
          <cell r="L54" t="str">
            <v>complete</v>
          </cell>
          <cell r="M54" t="str">
            <v>Installation(Column/Beam/Bracing/Stair)</v>
          </cell>
          <cell r="N54">
            <v>36000</v>
          </cell>
          <cell r="O54" t="str">
            <v>KG</v>
          </cell>
          <cell r="P54">
            <v>8.0844999999999997E-3</v>
          </cell>
          <cell r="Q54">
            <v>36000</v>
          </cell>
        </row>
        <row r="55">
          <cell r="K55" t="str">
            <v>601.3.1.1.2.0104</v>
          </cell>
          <cell r="L55" t="str">
            <v>complete</v>
          </cell>
          <cell r="M55" t="str">
            <v>Bolting</v>
          </cell>
          <cell r="N55">
            <v>36000</v>
          </cell>
          <cell r="O55" t="str">
            <v>KG</v>
          </cell>
          <cell r="P55">
            <v>1.6168999999999999E-3</v>
          </cell>
          <cell r="Q55">
            <v>36000</v>
          </cell>
        </row>
        <row r="56">
          <cell r="K56" t="str">
            <v>601.3.1.1.2.0105</v>
          </cell>
          <cell r="L56" t="str">
            <v>complete</v>
          </cell>
          <cell r="M56" t="str">
            <v>Aligenment</v>
          </cell>
          <cell r="N56">
            <v>36000</v>
          </cell>
          <cell r="O56" t="str">
            <v>KG</v>
          </cell>
          <cell r="P56">
            <v>2.4253499999999997E-3</v>
          </cell>
          <cell r="Q56">
            <v>36000</v>
          </cell>
        </row>
        <row r="57">
          <cell r="K57" t="str">
            <v>601.3.1.1.2.0106</v>
          </cell>
          <cell r="L57" t="str">
            <v>complete</v>
          </cell>
          <cell r="M57" t="str">
            <v>Grouting</v>
          </cell>
          <cell r="N57">
            <v>36000</v>
          </cell>
          <cell r="O57" t="str">
            <v>KG</v>
          </cell>
          <cell r="P57">
            <v>8.0844999999999995E-4</v>
          </cell>
          <cell r="Q57">
            <v>36000</v>
          </cell>
        </row>
        <row r="58">
          <cell r="K58" t="str">
            <v>601.3.1.1.2.0107</v>
          </cell>
          <cell r="L58" t="str">
            <v>complete</v>
          </cell>
          <cell r="M58" t="str">
            <v>Punch Removing</v>
          </cell>
          <cell r="N58">
            <v>36000</v>
          </cell>
          <cell r="O58" t="str">
            <v>KG</v>
          </cell>
          <cell r="P58">
            <v>8.0844999999999995E-4</v>
          </cell>
          <cell r="Q58">
            <v>36000</v>
          </cell>
        </row>
        <row r="59">
          <cell r="K59" t="str">
            <v>601.3.1.1.2.0108</v>
          </cell>
          <cell r="L59" t="str">
            <v>complete</v>
          </cell>
          <cell r="M59" t="str">
            <v>Finall Inspection</v>
          </cell>
          <cell r="N59">
            <v>36000</v>
          </cell>
          <cell r="O59" t="str">
            <v>KG</v>
          </cell>
          <cell r="P59">
            <v>8.0844999999999995E-4</v>
          </cell>
          <cell r="Q59">
            <v>36000</v>
          </cell>
        </row>
        <row r="60">
          <cell r="K60" t="str">
            <v>601.3.1.1.2.0201</v>
          </cell>
          <cell r="L60" t="str">
            <v>complete</v>
          </cell>
          <cell r="M60" t="str">
            <v>Material Handling</v>
          </cell>
          <cell r="N60">
            <v>8000</v>
          </cell>
          <cell r="O60" t="str">
            <v>KG</v>
          </cell>
          <cell r="P60">
            <v>1.9604999999999999E-4</v>
          </cell>
          <cell r="Q60">
            <v>8000</v>
          </cell>
        </row>
        <row r="61">
          <cell r="K61" t="str">
            <v>601.3.1.1.2.0202</v>
          </cell>
          <cell r="L61" t="str">
            <v>complete</v>
          </cell>
          <cell r="M61" t="str">
            <v>Installation</v>
          </cell>
          <cell r="N61">
            <v>8000</v>
          </cell>
          <cell r="O61" t="str">
            <v>KG</v>
          </cell>
          <cell r="P61">
            <v>1.9605E-3</v>
          </cell>
          <cell r="Q61">
            <v>8000</v>
          </cell>
        </row>
        <row r="62">
          <cell r="K62" t="str">
            <v>601.3.1.1.2.0203</v>
          </cell>
          <cell r="L62" t="str">
            <v>complete</v>
          </cell>
          <cell r="M62" t="str">
            <v>Leveling &amp; Plumbness</v>
          </cell>
          <cell r="N62">
            <v>8000</v>
          </cell>
          <cell r="O62" t="str">
            <v>KG</v>
          </cell>
          <cell r="P62">
            <v>5.8814999999999996E-4</v>
          </cell>
          <cell r="Q62">
            <v>8000</v>
          </cell>
        </row>
        <row r="63">
          <cell r="K63" t="str">
            <v>601.3.1.1.2.0204</v>
          </cell>
          <cell r="L63" t="str">
            <v>complete</v>
          </cell>
          <cell r="M63" t="str">
            <v>Full Bolt &amp; Tightening</v>
          </cell>
          <cell r="N63">
            <v>8000</v>
          </cell>
          <cell r="O63" t="str">
            <v>KG</v>
          </cell>
          <cell r="P63">
            <v>7.8419999999999998E-4</v>
          </cell>
          <cell r="Q63">
            <v>8000</v>
          </cell>
        </row>
        <row r="64">
          <cell r="K64" t="str">
            <v>601.3.1.1.2.0205</v>
          </cell>
          <cell r="L64" t="str">
            <v>complete</v>
          </cell>
          <cell r="M64" t="str">
            <v>Touch up</v>
          </cell>
          <cell r="N64">
            <v>8000</v>
          </cell>
          <cell r="O64" t="str">
            <v>KG</v>
          </cell>
          <cell r="P64">
            <v>1.9604999999999999E-4</v>
          </cell>
          <cell r="Q64">
            <v>8000</v>
          </cell>
        </row>
        <row r="65">
          <cell r="K65" t="str">
            <v>601.3.1.1.2.0206</v>
          </cell>
          <cell r="L65" t="str">
            <v>complete</v>
          </cell>
          <cell r="M65" t="str">
            <v>Certificate</v>
          </cell>
          <cell r="N65">
            <v>8000</v>
          </cell>
          <cell r="O65" t="str">
            <v>KG</v>
          </cell>
          <cell r="P65">
            <v>1.9604999999999999E-4</v>
          </cell>
          <cell r="Q65">
            <v>8000</v>
          </cell>
        </row>
        <row r="66">
          <cell r="K66" t="str">
            <v>601.3.1.1.2.0301</v>
          </cell>
          <cell r="L66" t="str">
            <v>complete</v>
          </cell>
          <cell r="M66" t="str">
            <v>Material Handling</v>
          </cell>
          <cell r="N66">
            <v>8000</v>
          </cell>
          <cell r="O66" t="str">
            <v>KG</v>
          </cell>
          <cell r="P66">
            <v>1.9604999999999999E-4</v>
          </cell>
          <cell r="Q66">
            <v>8000</v>
          </cell>
        </row>
        <row r="67">
          <cell r="K67" t="str">
            <v>601.3.1.1.2.0302</v>
          </cell>
          <cell r="L67" t="str">
            <v>complete</v>
          </cell>
          <cell r="M67" t="str">
            <v>Installation</v>
          </cell>
          <cell r="N67">
            <v>8000</v>
          </cell>
          <cell r="O67" t="str">
            <v>KG</v>
          </cell>
          <cell r="P67">
            <v>1.9605E-3</v>
          </cell>
          <cell r="Q67">
            <v>8000</v>
          </cell>
        </row>
        <row r="68">
          <cell r="K68" t="str">
            <v>601.3.1.1.2.0303</v>
          </cell>
          <cell r="L68" t="str">
            <v>complete</v>
          </cell>
          <cell r="M68" t="str">
            <v>Leveling &amp; Plumbness</v>
          </cell>
          <cell r="N68">
            <v>8000</v>
          </cell>
          <cell r="O68" t="str">
            <v>KG</v>
          </cell>
          <cell r="P68">
            <v>5.8814999999999996E-4</v>
          </cell>
          <cell r="Q68">
            <v>8000</v>
          </cell>
        </row>
        <row r="69">
          <cell r="K69" t="str">
            <v>601.3.1.1.2.0304</v>
          </cell>
          <cell r="L69" t="str">
            <v>complete</v>
          </cell>
          <cell r="M69" t="str">
            <v>Full Bolt &amp; Tightening</v>
          </cell>
          <cell r="N69">
            <v>8000</v>
          </cell>
          <cell r="O69" t="str">
            <v>KG</v>
          </cell>
          <cell r="P69">
            <v>7.8419999999999998E-4</v>
          </cell>
          <cell r="Q69">
            <v>8000</v>
          </cell>
        </row>
        <row r="70">
          <cell r="K70" t="str">
            <v>601.3.1.1.2.0305</v>
          </cell>
          <cell r="L70" t="str">
            <v>complete</v>
          </cell>
          <cell r="M70" t="str">
            <v>Touch up</v>
          </cell>
          <cell r="N70">
            <v>8000</v>
          </cell>
          <cell r="O70" t="str">
            <v>KG</v>
          </cell>
          <cell r="P70">
            <v>1.9604999999999999E-4</v>
          </cell>
          <cell r="Q70">
            <v>8000</v>
          </cell>
        </row>
        <row r="71">
          <cell r="K71" t="str">
            <v>601.3.1.1.2.0306</v>
          </cell>
          <cell r="L71" t="str">
            <v>complete</v>
          </cell>
          <cell r="M71" t="str">
            <v>Certificate</v>
          </cell>
          <cell r="N71">
            <v>8000</v>
          </cell>
          <cell r="O71" t="str">
            <v>KG</v>
          </cell>
          <cell r="P71">
            <v>1.9604999999999999E-4</v>
          </cell>
          <cell r="Q71">
            <v>8000</v>
          </cell>
        </row>
        <row r="72">
          <cell r="K72" t="str">
            <v>601.3.1.1.2.0401</v>
          </cell>
          <cell r="L72" t="str">
            <v>complete</v>
          </cell>
          <cell r="M72" t="str">
            <v>Material Handling</v>
          </cell>
          <cell r="N72">
            <v>8000</v>
          </cell>
          <cell r="O72" t="str">
            <v>KG</v>
          </cell>
          <cell r="P72">
            <v>1.9604999999999999E-4</v>
          </cell>
          <cell r="Q72">
            <v>8000</v>
          </cell>
        </row>
        <row r="73">
          <cell r="K73" t="str">
            <v>601.3.1.1.2.0402</v>
          </cell>
          <cell r="L73" t="str">
            <v>complete</v>
          </cell>
          <cell r="M73" t="str">
            <v>Installation</v>
          </cell>
          <cell r="N73">
            <v>8000</v>
          </cell>
          <cell r="O73" t="str">
            <v>KG</v>
          </cell>
          <cell r="P73">
            <v>1.9605E-3</v>
          </cell>
          <cell r="Q73">
            <v>8000</v>
          </cell>
        </row>
        <row r="74">
          <cell r="K74" t="str">
            <v>601.3.1.1.2.0403</v>
          </cell>
          <cell r="L74" t="str">
            <v>complete</v>
          </cell>
          <cell r="M74" t="str">
            <v>Leveling &amp; Plumbness</v>
          </cell>
          <cell r="N74">
            <v>8000</v>
          </cell>
          <cell r="O74" t="str">
            <v>KG</v>
          </cell>
          <cell r="P74">
            <v>5.8814999999999996E-4</v>
          </cell>
          <cell r="Q74">
            <v>8000</v>
          </cell>
        </row>
        <row r="75">
          <cell r="K75" t="str">
            <v>601.3.1.1.2.0404</v>
          </cell>
          <cell r="L75" t="str">
            <v>complete</v>
          </cell>
          <cell r="M75" t="str">
            <v>Full Bolt &amp; Tightening</v>
          </cell>
          <cell r="N75">
            <v>8000</v>
          </cell>
          <cell r="O75" t="str">
            <v>KG</v>
          </cell>
          <cell r="P75">
            <v>7.8419999999999998E-4</v>
          </cell>
          <cell r="Q75">
            <v>8000</v>
          </cell>
        </row>
        <row r="76">
          <cell r="K76" t="str">
            <v>601.3.1.1.2.0405</v>
          </cell>
          <cell r="L76" t="str">
            <v>complete</v>
          </cell>
          <cell r="M76" t="str">
            <v>Touch up</v>
          </cell>
          <cell r="N76">
            <v>8000</v>
          </cell>
          <cell r="O76" t="str">
            <v>KG</v>
          </cell>
          <cell r="P76">
            <v>1.9604999999999999E-4</v>
          </cell>
          <cell r="Q76">
            <v>8000</v>
          </cell>
        </row>
        <row r="77">
          <cell r="K77" t="str">
            <v>601.3.1.1.2.0406</v>
          </cell>
          <cell r="L77" t="str">
            <v>complete</v>
          </cell>
          <cell r="M77" t="str">
            <v>Certificate</v>
          </cell>
          <cell r="N77">
            <v>8000</v>
          </cell>
          <cell r="O77" t="str">
            <v>KG</v>
          </cell>
          <cell r="P77">
            <v>1.9604999999999999E-4</v>
          </cell>
          <cell r="Q77">
            <v>8000</v>
          </cell>
        </row>
        <row r="78">
          <cell r="K78" t="str">
            <v>601.3.1.1.2.0501</v>
          </cell>
          <cell r="L78" t="str">
            <v>complete</v>
          </cell>
          <cell r="M78" t="str">
            <v>Material Handling</v>
          </cell>
          <cell r="N78">
            <v>8000</v>
          </cell>
          <cell r="O78" t="str">
            <v>KG</v>
          </cell>
          <cell r="P78">
            <v>1.9604999999999999E-4</v>
          </cell>
          <cell r="Q78">
            <v>8000</v>
          </cell>
        </row>
        <row r="79">
          <cell r="K79" t="str">
            <v>601.3.1.1.2.0502</v>
          </cell>
          <cell r="L79" t="str">
            <v>complete</v>
          </cell>
          <cell r="M79" t="str">
            <v>Installation</v>
          </cell>
          <cell r="N79">
            <v>8000</v>
          </cell>
          <cell r="O79" t="str">
            <v>KG</v>
          </cell>
          <cell r="P79">
            <v>1.9605E-3</v>
          </cell>
          <cell r="Q79">
            <v>8000</v>
          </cell>
        </row>
        <row r="80">
          <cell r="K80" t="str">
            <v>601.3.1.1.2.0503</v>
          </cell>
          <cell r="L80" t="str">
            <v>complete</v>
          </cell>
          <cell r="M80" t="str">
            <v>Leveling &amp; Plumbness</v>
          </cell>
          <cell r="N80">
            <v>8000</v>
          </cell>
          <cell r="O80" t="str">
            <v>KG</v>
          </cell>
          <cell r="P80">
            <v>5.8814999999999996E-4</v>
          </cell>
          <cell r="Q80">
            <v>8000</v>
          </cell>
        </row>
        <row r="81">
          <cell r="K81" t="str">
            <v>601.3.1.1.2.0504</v>
          </cell>
          <cell r="L81" t="str">
            <v>complete</v>
          </cell>
          <cell r="M81" t="str">
            <v>Full Bolt &amp; Tightening</v>
          </cell>
          <cell r="N81">
            <v>8000</v>
          </cell>
          <cell r="O81" t="str">
            <v>KG</v>
          </cell>
          <cell r="P81">
            <v>7.8419999999999998E-4</v>
          </cell>
          <cell r="Q81">
            <v>8000</v>
          </cell>
        </row>
        <row r="82">
          <cell r="K82" t="str">
            <v>601.3.1.1.2.0505</v>
          </cell>
          <cell r="L82" t="str">
            <v>complete</v>
          </cell>
          <cell r="M82" t="str">
            <v>Touch up</v>
          </cell>
          <cell r="N82">
            <v>8000</v>
          </cell>
          <cell r="O82" t="str">
            <v>KG</v>
          </cell>
          <cell r="P82">
            <v>1.9604999999999999E-4</v>
          </cell>
          <cell r="Q82">
            <v>8000</v>
          </cell>
        </row>
        <row r="83">
          <cell r="K83" t="str">
            <v>601.3.1.1.2.0506</v>
          </cell>
          <cell r="L83" t="str">
            <v>complete</v>
          </cell>
          <cell r="M83" t="str">
            <v>Certificate</v>
          </cell>
          <cell r="N83">
            <v>8000</v>
          </cell>
          <cell r="O83" t="str">
            <v>KG</v>
          </cell>
          <cell r="P83">
            <v>1.9604999999999999E-4</v>
          </cell>
          <cell r="Q83">
            <v>8000</v>
          </cell>
        </row>
        <row r="84">
          <cell r="K84" t="str">
            <v>601.3.1.1.2.0601</v>
          </cell>
          <cell r="L84" t="str">
            <v>complete</v>
          </cell>
          <cell r="M84" t="str">
            <v>Material Handling</v>
          </cell>
          <cell r="N84">
            <v>7750</v>
          </cell>
          <cell r="O84" t="str">
            <v>KG</v>
          </cell>
          <cell r="P84">
            <v>2.3080000000000003E-4</v>
          </cell>
          <cell r="Q84">
            <v>7750</v>
          </cell>
        </row>
        <row r="85">
          <cell r="K85" t="str">
            <v>601.3.1.1.2.0602</v>
          </cell>
          <cell r="L85" t="str">
            <v>complete</v>
          </cell>
          <cell r="M85" t="str">
            <v>Installation</v>
          </cell>
          <cell r="N85">
            <v>7750</v>
          </cell>
          <cell r="O85" t="str">
            <v>KG</v>
          </cell>
          <cell r="P85">
            <v>2.3080000000000002E-3</v>
          </cell>
          <cell r="Q85">
            <v>7750</v>
          </cell>
        </row>
        <row r="86">
          <cell r="K86" t="str">
            <v>601.3.1.1.2.0603</v>
          </cell>
          <cell r="L86" t="str">
            <v>complete</v>
          </cell>
          <cell r="M86" t="str">
            <v>Leveling &amp; Plumbness</v>
          </cell>
          <cell r="N86">
            <v>7750</v>
          </cell>
          <cell r="O86" t="str">
            <v>KG</v>
          </cell>
          <cell r="P86">
            <v>6.9240000000000002E-4</v>
          </cell>
          <cell r="Q86">
            <v>7750</v>
          </cell>
        </row>
        <row r="87">
          <cell r="K87" t="str">
            <v>601.3.1.1.2.0604</v>
          </cell>
          <cell r="L87" t="str">
            <v>complete</v>
          </cell>
          <cell r="M87" t="str">
            <v>Full Bolt &amp; Tightening</v>
          </cell>
          <cell r="N87">
            <v>7750</v>
          </cell>
          <cell r="O87" t="str">
            <v>KG</v>
          </cell>
          <cell r="P87">
            <v>9.2320000000000011E-4</v>
          </cell>
          <cell r="Q87">
            <v>7750</v>
          </cell>
        </row>
        <row r="88">
          <cell r="K88" t="str">
            <v>601.3.1.1.2.0605</v>
          </cell>
          <cell r="L88" t="str">
            <v>complete</v>
          </cell>
          <cell r="M88" t="str">
            <v>Touch up</v>
          </cell>
          <cell r="N88">
            <v>7750</v>
          </cell>
          <cell r="O88" t="str">
            <v>KG</v>
          </cell>
          <cell r="P88">
            <v>2.3080000000000003E-4</v>
          </cell>
          <cell r="Q88">
            <v>7750</v>
          </cell>
        </row>
        <row r="89">
          <cell r="K89" t="str">
            <v>601.3.1.1.2.0606</v>
          </cell>
          <cell r="L89" t="str">
            <v>complete</v>
          </cell>
          <cell r="M89" t="str">
            <v>Certificate</v>
          </cell>
          <cell r="N89">
            <v>7750</v>
          </cell>
          <cell r="O89" t="str">
            <v>KG</v>
          </cell>
          <cell r="P89">
            <v>2.3080000000000003E-4</v>
          </cell>
          <cell r="Q89">
            <v>7750</v>
          </cell>
        </row>
        <row r="90">
          <cell r="K90" t="str">
            <v>601.3.1.1.2.0701</v>
          </cell>
          <cell r="L90" t="str">
            <v>complete</v>
          </cell>
          <cell r="M90" t="str">
            <v>Material Handling</v>
          </cell>
          <cell r="N90">
            <v>2504</v>
          </cell>
          <cell r="O90" t="str">
            <v>KG</v>
          </cell>
          <cell r="P90">
            <v>3.0249999999999997E-5</v>
          </cell>
          <cell r="Q90">
            <v>2504</v>
          </cell>
        </row>
        <row r="91">
          <cell r="K91" t="str">
            <v>601.3.1.1.2.0702</v>
          </cell>
          <cell r="L91" t="str">
            <v>complete</v>
          </cell>
          <cell r="M91" t="str">
            <v>Installation</v>
          </cell>
          <cell r="N91">
            <v>2504</v>
          </cell>
          <cell r="O91" t="str">
            <v>KG</v>
          </cell>
          <cell r="P91">
            <v>3.0249999999999998E-4</v>
          </cell>
          <cell r="Q91">
            <v>2504</v>
          </cell>
        </row>
        <row r="92">
          <cell r="K92" t="str">
            <v>601.3.1.1.2.0703</v>
          </cell>
          <cell r="L92" t="str">
            <v>complete</v>
          </cell>
          <cell r="M92" t="str">
            <v>Leveling &amp; Plumbness</v>
          </cell>
          <cell r="N92">
            <v>2504</v>
          </cell>
          <cell r="O92" t="str">
            <v>KG</v>
          </cell>
          <cell r="P92">
            <v>9.0749999999999997E-5</v>
          </cell>
          <cell r="Q92">
            <v>2504</v>
          </cell>
        </row>
        <row r="93">
          <cell r="K93" t="str">
            <v>601.3.1.1.2.0704</v>
          </cell>
          <cell r="L93" t="str">
            <v>complete</v>
          </cell>
          <cell r="M93" t="str">
            <v>Full Bolt &amp; Tightening</v>
          </cell>
          <cell r="N93">
            <v>2504</v>
          </cell>
          <cell r="O93" t="str">
            <v>KG</v>
          </cell>
          <cell r="P93">
            <v>1.2099999999999999E-4</v>
          </cell>
          <cell r="Q93">
            <v>2504</v>
          </cell>
        </row>
        <row r="94">
          <cell r="K94" t="str">
            <v>601.3.1.1.2.0705</v>
          </cell>
          <cell r="L94" t="str">
            <v>complete</v>
          </cell>
          <cell r="M94" t="str">
            <v>Touch up</v>
          </cell>
          <cell r="N94">
            <v>2504</v>
          </cell>
          <cell r="O94" t="str">
            <v>KG</v>
          </cell>
          <cell r="P94">
            <v>3.0249999999999997E-5</v>
          </cell>
          <cell r="Q94">
            <v>2504</v>
          </cell>
        </row>
        <row r="95">
          <cell r="K95" t="str">
            <v>601.3.1.1.2.0706</v>
          </cell>
          <cell r="L95" t="str">
            <v>complete</v>
          </cell>
          <cell r="M95" t="str">
            <v>Certificate</v>
          </cell>
          <cell r="N95">
            <v>2504</v>
          </cell>
          <cell r="O95" t="str">
            <v>KG</v>
          </cell>
          <cell r="P95">
            <v>3.0249999999999997E-5</v>
          </cell>
          <cell r="Q95">
            <v>2504</v>
          </cell>
        </row>
        <row r="96">
          <cell r="K96" t="str">
            <v>601.3.1.1.2.0801</v>
          </cell>
          <cell r="L96" t="str">
            <v>complete</v>
          </cell>
          <cell r="M96" t="str">
            <v>Material Handling</v>
          </cell>
          <cell r="N96">
            <v>24167</v>
          </cell>
          <cell r="O96" t="str">
            <v>KG</v>
          </cell>
          <cell r="P96">
            <v>2.085E-4</v>
          </cell>
          <cell r="Q96">
            <v>24167</v>
          </cell>
        </row>
        <row r="97">
          <cell r="K97" t="str">
            <v>601.3.1.1.2.0802</v>
          </cell>
          <cell r="L97" t="str">
            <v>complete</v>
          </cell>
          <cell r="M97" t="str">
            <v>installation</v>
          </cell>
          <cell r="N97">
            <v>24167</v>
          </cell>
          <cell r="O97" t="str">
            <v>KG</v>
          </cell>
          <cell r="P97">
            <v>2.7105000000000002E-3</v>
          </cell>
          <cell r="Q97">
            <v>24167</v>
          </cell>
        </row>
        <row r="98">
          <cell r="K98" t="str">
            <v>601.3.1.1.2.0803</v>
          </cell>
          <cell r="L98" t="str">
            <v>complete</v>
          </cell>
          <cell r="M98" t="str">
            <v>Clamping &amp; Tightening</v>
          </cell>
          <cell r="N98">
            <v>24167</v>
          </cell>
          <cell r="O98" t="str">
            <v>KG</v>
          </cell>
          <cell r="P98">
            <v>8.34E-4</v>
          </cell>
          <cell r="Q98">
            <v>24167</v>
          </cell>
        </row>
        <row r="99">
          <cell r="K99" t="str">
            <v>601.3.1.1.2.0804</v>
          </cell>
          <cell r="L99" t="str">
            <v>complete</v>
          </cell>
          <cell r="M99" t="str">
            <v>Touch up &amp; Cleaning</v>
          </cell>
          <cell r="N99">
            <v>24167</v>
          </cell>
          <cell r="O99" t="str">
            <v>KG</v>
          </cell>
          <cell r="P99">
            <v>2.085E-4</v>
          </cell>
          <cell r="Q99">
            <v>24167</v>
          </cell>
        </row>
        <row r="100">
          <cell r="K100" t="str">
            <v>601.3.1.1.2.0805</v>
          </cell>
          <cell r="L100" t="str">
            <v>complete</v>
          </cell>
          <cell r="M100" t="str">
            <v>Certificate</v>
          </cell>
          <cell r="N100">
            <v>24167</v>
          </cell>
          <cell r="O100" t="str">
            <v>KG</v>
          </cell>
          <cell r="P100">
            <v>2.085E-4</v>
          </cell>
          <cell r="Q100">
            <v>24167</v>
          </cell>
        </row>
        <row r="101">
          <cell r="K101" t="str">
            <v>601.3.1.1.3.0101</v>
          </cell>
          <cell r="L101" t="str">
            <v>complete</v>
          </cell>
          <cell r="M101" t="str">
            <v>Material Handling</v>
          </cell>
          <cell r="N101">
            <v>4000</v>
          </cell>
          <cell r="O101" t="str">
            <v>KG</v>
          </cell>
          <cell r="P101">
            <v>9.0574999999999993E-5</v>
          </cell>
          <cell r="Q101">
            <v>4000</v>
          </cell>
        </row>
        <row r="102">
          <cell r="K102" t="str">
            <v>601.3.1.1.3.0102</v>
          </cell>
          <cell r="L102" t="str">
            <v>complete</v>
          </cell>
          <cell r="M102" t="str">
            <v>Installation</v>
          </cell>
          <cell r="N102">
            <v>4000</v>
          </cell>
          <cell r="O102" t="str">
            <v>KG</v>
          </cell>
          <cell r="P102">
            <v>9.0574999999999998E-4</v>
          </cell>
          <cell r="Q102">
            <v>4000</v>
          </cell>
        </row>
        <row r="103">
          <cell r="K103" t="str">
            <v>601.3.1.1.3.0103</v>
          </cell>
          <cell r="L103" t="str">
            <v>complete</v>
          </cell>
          <cell r="M103" t="str">
            <v>Leveling &amp; Plumbness</v>
          </cell>
          <cell r="N103">
            <v>4000</v>
          </cell>
          <cell r="O103" t="str">
            <v>KG</v>
          </cell>
          <cell r="P103">
            <v>2.71725E-4</v>
          </cell>
          <cell r="Q103">
            <v>4000</v>
          </cell>
        </row>
        <row r="104">
          <cell r="K104" t="str">
            <v>601.3.1.1.3.0104</v>
          </cell>
          <cell r="L104" t="str">
            <v>complete</v>
          </cell>
          <cell r="M104" t="str">
            <v>Full Bolt &amp; Tightening</v>
          </cell>
          <cell r="N104">
            <v>4000</v>
          </cell>
          <cell r="O104" t="str">
            <v>KG</v>
          </cell>
          <cell r="P104">
            <v>3.6229999999999997E-4</v>
          </cell>
          <cell r="Q104">
            <v>4000</v>
          </cell>
        </row>
        <row r="105">
          <cell r="K105" t="str">
            <v>601.3.1.1.3.0105</v>
          </cell>
          <cell r="L105" t="str">
            <v>complete</v>
          </cell>
          <cell r="M105" t="str">
            <v>Touch up</v>
          </cell>
          <cell r="N105">
            <v>4000</v>
          </cell>
          <cell r="O105" t="str">
            <v>KG</v>
          </cell>
          <cell r="P105">
            <v>9.0574999999999993E-5</v>
          </cell>
          <cell r="Q105">
            <v>4000</v>
          </cell>
        </row>
        <row r="106">
          <cell r="K106" t="str">
            <v>601.3.1.1.3.0106</v>
          </cell>
          <cell r="L106" t="str">
            <v>complete</v>
          </cell>
          <cell r="M106" t="str">
            <v>Certificate</v>
          </cell>
          <cell r="N106">
            <v>4000</v>
          </cell>
          <cell r="O106" t="str">
            <v>KG</v>
          </cell>
          <cell r="P106">
            <v>9.0574999999999993E-5</v>
          </cell>
          <cell r="Q106">
            <v>4000</v>
          </cell>
        </row>
        <row r="107">
          <cell r="K107" t="str">
            <v>601.3.1.1.3.0201</v>
          </cell>
          <cell r="L107" t="str">
            <v>complete</v>
          </cell>
          <cell r="M107" t="str">
            <v>Material Handling</v>
          </cell>
          <cell r="N107">
            <v>24000</v>
          </cell>
          <cell r="O107" t="str">
            <v>KG</v>
          </cell>
          <cell r="P107">
            <v>5.1973500000000001E-4</v>
          </cell>
          <cell r="Q107">
            <v>24000</v>
          </cell>
        </row>
        <row r="108">
          <cell r="K108" t="str">
            <v>601.3.1.1.3.0202</v>
          </cell>
          <cell r="L108" t="str">
            <v>complete</v>
          </cell>
          <cell r="M108" t="str">
            <v>Installation</v>
          </cell>
          <cell r="N108">
            <v>24000</v>
          </cell>
          <cell r="O108" t="str">
            <v>KG</v>
          </cell>
          <cell r="P108">
            <v>5.1973499999999999E-3</v>
          </cell>
          <cell r="Q108">
            <v>24000</v>
          </cell>
        </row>
        <row r="109">
          <cell r="K109" t="str">
            <v>601.3.1.1.3.0203</v>
          </cell>
          <cell r="L109" t="str">
            <v>complete</v>
          </cell>
          <cell r="M109" t="str">
            <v>Leveling &amp; Plumbness</v>
          </cell>
          <cell r="N109">
            <v>24000</v>
          </cell>
          <cell r="O109" t="str">
            <v>KG</v>
          </cell>
          <cell r="P109">
            <v>1.5592049999999999E-3</v>
          </cell>
          <cell r="Q109">
            <v>24000</v>
          </cell>
        </row>
        <row r="110">
          <cell r="K110" t="str">
            <v>601.3.1.1.3.0204</v>
          </cell>
          <cell r="L110" t="str">
            <v>complete</v>
          </cell>
          <cell r="M110" t="str">
            <v>Full Bolt &amp; Tightening</v>
          </cell>
          <cell r="N110">
            <v>24000</v>
          </cell>
          <cell r="O110" t="str">
            <v>KG</v>
          </cell>
          <cell r="P110">
            <v>2.07894E-3</v>
          </cell>
          <cell r="Q110">
            <v>24000</v>
          </cell>
        </row>
        <row r="111">
          <cell r="K111" t="str">
            <v>601.3.1.1.3.0205</v>
          </cell>
          <cell r="L111" t="str">
            <v>complete</v>
          </cell>
          <cell r="M111" t="str">
            <v>Touch up</v>
          </cell>
          <cell r="N111">
            <v>24000</v>
          </cell>
          <cell r="O111" t="str">
            <v>KG</v>
          </cell>
          <cell r="P111">
            <v>5.1973500000000001E-4</v>
          </cell>
          <cell r="Q111">
            <v>24000</v>
          </cell>
        </row>
        <row r="112">
          <cell r="K112" t="str">
            <v>601.3.1.1.3.0206</v>
          </cell>
          <cell r="L112" t="str">
            <v>complete</v>
          </cell>
          <cell r="M112" t="str">
            <v>Certificate</v>
          </cell>
          <cell r="N112">
            <v>24000</v>
          </cell>
          <cell r="O112" t="str">
            <v>KG</v>
          </cell>
          <cell r="P112">
            <v>5.1973500000000001E-4</v>
          </cell>
          <cell r="Q112">
            <v>24000</v>
          </cell>
        </row>
        <row r="113">
          <cell r="K113" t="str">
            <v>601.3.1.1.3.0301</v>
          </cell>
          <cell r="L113" t="str">
            <v>complete</v>
          </cell>
          <cell r="M113" t="str">
            <v>Material Handling</v>
          </cell>
          <cell r="N113">
            <v>16000</v>
          </cell>
          <cell r="O113" t="str">
            <v>KG</v>
          </cell>
          <cell r="P113">
            <v>3.6752499999999995E-4</v>
          </cell>
          <cell r="Q113">
            <v>16000</v>
          </cell>
        </row>
        <row r="114">
          <cell r="K114" t="str">
            <v>601.3.1.1.3.0302</v>
          </cell>
          <cell r="L114" t="str">
            <v>complete</v>
          </cell>
          <cell r="M114" t="str">
            <v>Installation</v>
          </cell>
          <cell r="N114">
            <v>16000</v>
          </cell>
          <cell r="O114" t="str">
            <v>KG</v>
          </cell>
          <cell r="P114">
            <v>3.6752499999999997E-3</v>
          </cell>
          <cell r="Q114">
            <v>16000</v>
          </cell>
        </row>
        <row r="115">
          <cell r="K115" t="str">
            <v>601.3.1.1.3.0303</v>
          </cell>
          <cell r="L115" t="str">
            <v>complete</v>
          </cell>
          <cell r="M115" t="str">
            <v>Leveling &amp; Plumbness</v>
          </cell>
          <cell r="N115">
            <v>16000</v>
          </cell>
          <cell r="O115" t="str">
            <v>KG</v>
          </cell>
          <cell r="P115">
            <v>1.102575E-3</v>
          </cell>
          <cell r="Q115">
            <v>16000</v>
          </cell>
        </row>
        <row r="116">
          <cell r="K116" t="str">
            <v>601.3.1.1.3.0304</v>
          </cell>
          <cell r="L116" t="str">
            <v>complete</v>
          </cell>
          <cell r="M116" t="str">
            <v>Full Bolt &amp; Tightening</v>
          </cell>
          <cell r="N116">
            <v>16000</v>
          </cell>
          <cell r="O116" t="str">
            <v>KG</v>
          </cell>
          <cell r="P116">
            <v>1.4700999999999998E-3</v>
          </cell>
          <cell r="Q116">
            <v>16000</v>
          </cell>
        </row>
        <row r="117">
          <cell r="K117" t="str">
            <v>601.3.1.1.3.0305</v>
          </cell>
          <cell r="L117" t="str">
            <v>complete</v>
          </cell>
          <cell r="M117" t="str">
            <v>Touch up</v>
          </cell>
          <cell r="N117">
            <v>16000</v>
          </cell>
          <cell r="O117" t="str">
            <v>KG</v>
          </cell>
          <cell r="P117">
            <v>3.6752499999999995E-4</v>
          </cell>
          <cell r="Q117">
            <v>16000</v>
          </cell>
        </row>
        <row r="118">
          <cell r="K118" t="str">
            <v>601.3.1.1.3.0306</v>
          </cell>
          <cell r="L118" t="str">
            <v>complete</v>
          </cell>
          <cell r="M118" t="str">
            <v>Certificate</v>
          </cell>
          <cell r="N118">
            <v>16000</v>
          </cell>
          <cell r="O118" t="str">
            <v>KG</v>
          </cell>
          <cell r="P118">
            <v>3.6752499999999995E-4</v>
          </cell>
          <cell r="Q118">
            <v>16000</v>
          </cell>
        </row>
        <row r="119">
          <cell r="K119" t="str">
            <v>601.3.1.1.3.0401</v>
          </cell>
          <cell r="L119" t="str">
            <v>not started</v>
          </cell>
          <cell r="M119" t="str">
            <v>Material Handling</v>
          </cell>
          <cell r="N119"/>
          <cell r="O119" t="str">
            <v>KG</v>
          </cell>
          <cell r="P119">
            <v>1.7629500000000001E-4</v>
          </cell>
          <cell r="Q119">
            <v>8000</v>
          </cell>
        </row>
        <row r="120">
          <cell r="K120" t="str">
            <v>601.3.1.1.3.0402</v>
          </cell>
          <cell r="L120" t="str">
            <v>not started</v>
          </cell>
          <cell r="M120" t="str">
            <v>Installation</v>
          </cell>
          <cell r="N120"/>
          <cell r="O120" t="str">
            <v>KG</v>
          </cell>
          <cell r="P120">
            <v>1.7629500000000001E-3</v>
          </cell>
          <cell r="Q120">
            <v>8000</v>
          </cell>
        </row>
        <row r="121">
          <cell r="K121" t="str">
            <v>601.3.1.1.3.0403</v>
          </cell>
          <cell r="L121" t="str">
            <v>not started</v>
          </cell>
          <cell r="M121" t="str">
            <v>Leveling &amp; Plumbness</v>
          </cell>
          <cell r="N121"/>
          <cell r="O121" t="str">
            <v>KG</v>
          </cell>
          <cell r="P121">
            <v>5.2888499999999999E-4</v>
          </cell>
          <cell r="Q121">
            <v>8000</v>
          </cell>
        </row>
        <row r="122">
          <cell r="K122" t="str">
            <v>601.3.1.1.3.0404</v>
          </cell>
          <cell r="L122" t="str">
            <v>not started</v>
          </cell>
          <cell r="M122" t="str">
            <v>Full Bolt &amp; Tightening</v>
          </cell>
          <cell r="N122"/>
          <cell r="O122" t="str">
            <v>KG</v>
          </cell>
          <cell r="P122">
            <v>7.0518000000000002E-4</v>
          </cell>
          <cell r="Q122">
            <v>8000</v>
          </cell>
        </row>
        <row r="123">
          <cell r="K123" t="str">
            <v>601.3.1.1.3.0405</v>
          </cell>
          <cell r="L123" t="str">
            <v>not started</v>
          </cell>
          <cell r="M123" t="str">
            <v>Touch up</v>
          </cell>
          <cell r="N123"/>
          <cell r="O123" t="str">
            <v>KG</v>
          </cell>
          <cell r="P123">
            <v>1.7629500000000001E-4</v>
          </cell>
          <cell r="Q123">
            <v>8000</v>
          </cell>
        </row>
        <row r="124">
          <cell r="K124" t="str">
            <v>601.3.1.1.3.0406</v>
          </cell>
          <cell r="L124" t="str">
            <v>not started</v>
          </cell>
          <cell r="M124" t="str">
            <v>Certificate</v>
          </cell>
          <cell r="N124"/>
          <cell r="O124" t="str">
            <v>KG</v>
          </cell>
          <cell r="P124">
            <v>1.7629500000000001E-4</v>
          </cell>
          <cell r="Q124">
            <v>8000</v>
          </cell>
        </row>
        <row r="125">
          <cell r="K125" t="str">
            <v>601.3.1.1.3.0501</v>
          </cell>
          <cell r="L125" t="str">
            <v>not started</v>
          </cell>
          <cell r="M125" t="str">
            <v>Material Handling</v>
          </cell>
          <cell r="N125"/>
          <cell r="O125" t="str">
            <v>KG</v>
          </cell>
          <cell r="P125">
            <v>1.0693499999999999E-4</v>
          </cell>
          <cell r="Q125">
            <v>5000</v>
          </cell>
        </row>
        <row r="126">
          <cell r="K126" t="str">
            <v>601.3.1.1.3.0502</v>
          </cell>
          <cell r="L126" t="str">
            <v>not started</v>
          </cell>
          <cell r="M126" t="str">
            <v>Installation</v>
          </cell>
          <cell r="N126"/>
          <cell r="O126" t="str">
            <v>KG</v>
          </cell>
          <cell r="P126">
            <v>1.0693499999999999E-3</v>
          </cell>
          <cell r="Q126">
            <v>5000</v>
          </cell>
        </row>
        <row r="127">
          <cell r="K127" t="str">
            <v>601.3.1.1.3.0503</v>
          </cell>
          <cell r="L127" t="str">
            <v>not started</v>
          </cell>
          <cell r="M127" t="str">
            <v>Leveling &amp; Plumbness</v>
          </cell>
          <cell r="N127"/>
          <cell r="O127" t="str">
            <v>KG</v>
          </cell>
          <cell r="P127">
            <v>3.2080499999999996E-4</v>
          </cell>
          <cell r="Q127">
            <v>5000</v>
          </cell>
        </row>
        <row r="128">
          <cell r="K128" t="str">
            <v>601.3.1.1.3.0504</v>
          </cell>
          <cell r="L128" t="str">
            <v>not started</v>
          </cell>
          <cell r="M128" t="str">
            <v>Full Bolt &amp; Tightening</v>
          </cell>
          <cell r="N128"/>
          <cell r="O128" t="str">
            <v>KG</v>
          </cell>
          <cell r="P128">
            <v>4.2773999999999997E-4</v>
          </cell>
          <cell r="Q128">
            <v>5000</v>
          </cell>
        </row>
        <row r="129">
          <cell r="K129" t="str">
            <v>601.3.1.1.3.0505</v>
          </cell>
          <cell r="L129" t="str">
            <v>not started</v>
          </cell>
          <cell r="M129" t="str">
            <v>Touch up</v>
          </cell>
          <cell r="N129"/>
          <cell r="O129" t="str">
            <v>KG</v>
          </cell>
          <cell r="P129">
            <v>1.0693499999999999E-4</v>
          </cell>
          <cell r="Q129">
            <v>5000</v>
          </cell>
        </row>
        <row r="130">
          <cell r="K130" t="str">
            <v>601.3.1.1.3.0506</v>
          </cell>
          <cell r="L130" t="str">
            <v>not started</v>
          </cell>
          <cell r="M130" t="str">
            <v>Certificate</v>
          </cell>
          <cell r="N130"/>
          <cell r="O130" t="str">
            <v>KG</v>
          </cell>
          <cell r="P130">
            <v>1.0693499999999999E-4</v>
          </cell>
          <cell r="Q130">
            <v>5000</v>
          </cell>
        </row>
        <row r="131">
          <cell r="K131" t="str">
            <v>601.3.1.1.4.0101</v>
          </cell>
          <cell r="L131" t="str">
            <v>not started</v>
          </cell>
          <cell r="M131" t="str">
            <v>Material Handling</v>
          </cell>
          <cell r="N131"/>
          <cell r="O131" t="str">
            <v>KG</v>
          </cell>
          <cell r="P131">
            <v>3.099E-5</v>
          </cell>
          <cell r="Q131">
            <v>1600</v>
          </cell>
        </row>
        <row r="132">
          <cell r="K132" t="str">
            <v>601.3.1.1.4.0102</v>
          </cell>
          <cell r="L132" t="str">
            <v>not started</v>
          </cell>
          <cell r="M132" t="str">
            <v>Installation</v>
          </cell>
          <cell r="N132"/>
          <cell r="O132" t="str">
            <v>KG</v>
          </cell>
          <cell r="P132">
            <v>3.099E-4</v>
          </cell>
          <cell r="Q132">
            <v>1600</v>
          </cell>
        </row>
        <row r="133">
          <cell r="K133" t="str">
            <v>601.3.1.1.4.0103</v>
          </cell>
          <cell r="L133" t="str">
            <v>not started</v>
          </cell>
          <cell r="M133" t="str">
            <v>Leveling &amp; Plumbness</v>
          </cell>
          <cell r="N133"/>
          <cell r="O133" t="str">
            <v>KG</v>
          </cell>
          <cell r="P133">
            <v>9.2969999999999999E-5</v>
          </cell>
          <cell r="Q133">
            <v>1600</v>
          </cell>
        </row>
        <row r="134">
          <cell r="K134" t="str">
            <v>601.3.1.1.4.0104</v>
          </cell>
          <cell r="L134" t="str">
            <v>not started</v>
          </cell>
          <cell r="M134" t="str">
            <v>Full Bolt &amp; Tightening</v>
          </cell>
          <cell r="N134"/>
          <cell r="O134" t="str">
            <v>KG</v>
          </cell>
          <cell r="P134">
            <v>1.2396E-4</v>
          </cell>
          <cell r="Q134">
            <v>1600</v>
          </cell>
        </row>
        <row r="135">
          <cell r="K135" t="str">
            <v>601.3.1.1.4.0105</v>
          </cell>
          <cell r="L135" t="str">
            <v>not started</v>
          </cell>
          <cell r="M135" t="str">
            <v>Touch up</v>
          </cell>
          <cell r="N135"/>
          <cell r="O135" t="str">
            <v>KG</v>
          </cell>
          <cell r="P135">
            <v>3.099E-5</v>
          </cell>
          <cell r="Q135">
            <v>1600</v>
          </cell>
        </row>
        <row r="136">
          <cell r="K136" t="str">
            <v>601.3.1.1.4.0106</v>
          </cell>
          <cell r="L136" t="str">
            <v>not started</v>
          </cell>
          <cell r="M136" t="str">
            <v>Certificate</v>
          </cell>
          <cell r="N136"/>
          <cell r="O136" t="str">
            <v>KG</v>
          </cell>
          <cell r="P136">
            <v>3.099E-5</v>
          </cell>
          <cell r="Q136">
            <v>1600</v>
          </cell>
        </row>
        <row r="137">
          <cell r="K137" t="str">
            <v>601.3.1.1.4.0201</v>
          </cell>
          <cell r="L137" t="str">
            <v>not started</v>
          </cell>
          <cell r="M137" t="str">
            <v>Material Handling</v>
          </cell>
          <cell r="N137"/>
          <cell r="O137" t="str">
            <v>KG</v>
          </cell>
          <cell r="P137">
            <v>1.7144999999999999E-5</v>
          </cell>
          <cell r="Q137">
            <v>910</v>
          </cell>
        </row>
        <row r="138">
          <cell r="K138" t="str">
            <v>601.3.1.1.4.0202</v>
          </cell>
          <cell r="L138" t="str">
            <v>not started</v>
          </cell>
          <cell r="M138" t="str">
            <v>Installation</v>
          </cell>
          <cell r="N138"/>
          <cell r="O138" t="str">
            <v>KG</v>
          </cell>
          <cell r="P138">
            <v>1.7144999999999999E-4</v>
          </cell>
          <cell r="Q138">
            <v>910</v>
          </cell>
        </row>
        <row r="139">
          <cell r="K139" t="str">
            <v>601.3.1.1.4.0203</v>
          </cell>
          <cell r="L139" t="str">
            <v>not started</v>
          </cell>
          <cell r="M139" t="str">
            <v>Leveling &amp; Plumbness</v>
          </cell>
          <cell r="N139"/>
          <cell r="O139" t="str">
            <v>KG</v>
          </cell>
          <cell r="P139">
            <v>5.1434999999999998E-5</v>
          </cell>
          <cell r="Q139">
            <v>910</v>
          </cell>
        </row>
        <row r="140">
          <cell r="K140" t="str">
            <v>601.3.1.1.4.0204</v>
          </cell>
          <cell r="L140" t="str">
            <v>not started</v>
          </cell>
          <cell r="M140" t="str">
            <v>Full Bolt &amp; Tightening</v>
          </cell>
          <cell r="N140"/>
          <cell r="O140" t="str">
            <v>KG</v>
          </cell>
          <cell r="P140">
            <v>6.8579999999999997E-5</v>
          </cell>
          <cell r="Q140">
            <v>910</v>
          </cell>
        </row>
        <row r="141">
          <cell r="K141" t="str">
            <v>601.3.1.1.4.0205</v>
          </cell>
          <cell r="L141" t="str">
            <v>not started</v>
          </cell>
          <cell r="M141" t="str">
            <v>Touch up</v>
          </cell>
          <cell r="N141"/>
          <cell r="O141" t="str">
            <v>KG</v>
          </cell>
          <cell r="P141">
            <v>1.7144999999999999E-5</v>
          </cell>
          <cell r="Q141">
            <v>910</v>
          </cell>
        </row>
        <row r="142">
          <cell r="K142" t="str">
            <v>601.3.1.1.4.0206</v>
          </cell>
          <cell r="L142" t="str">
            <v>not started</v>
          </cell>
          <cell r="M142" t="str">
            <v>Certificate</v>
          </cell>
          <cell r="N142"/>
          <cell r="O142" t="str">
            <v>KG</v>
          </cell>
          <cell r="P142">
            <v>1.7144999999999999E-5</v>
          </cell>
          <cell r="Q142">
            <v>910</v>
          </cell>
        </row>
        <row r="143">
          <cell r="K143" t="str">
            <v>601.3.1.1.5.0101</v>
          </cell>
          <cell r="L143" t="str">
            <v>complete</v>
          </cell>
          <cell r="M143" t="str">
            <v>Material Handling</v>
          </cell>
          <cell r="N143">
            <v>42000</v>
          </cell>
          <cell r="O143" t="str">
            <v>KG</v>
          </cell>
          <cell r="P143">
            <v>9.0154500000000012E-4</v>
          </cell>
          <cell r="Q143">
            <v>42000</v>
          </cell>
        </row>
        <row r="144">
          <cell r="K144" t="str">
            <v>601.3.1.1.5.0102</v>
          </cell>
          <cell r="L144" t="str">
            <v>complete</v>
          </cell>
          <cell r="M144" t="str">
            <v>Installation</v>
          </cell>
          <cell r="N144">
            <v>42000</v>
          </cell>
          <cell r="O144" t="str">
            <v>KG</v>
          </cell>
          <cell r="P144">
            <v>9.0154500000000012E-3</v>
          </cell>
          <cell r="Q144">
            <v>42000</v>
          </cell>
        </row>
        <row r="145">
          <cell r="K145" t="str">
            <v>601.3.1.1.5.0103</v>
          </cell>
          <cell r="L145" t="str">
            <v>complete</v>
          </cell>
          <cell r="M145" t="str">
            <v>Leveling &amp; Plumbness</v>
          </cell>
          <cell r="N145">
            <v>42000</v>
          </cell>
          <cell r="O145" t="str">
            <v>KG</v>
          </cell>
          <cell r="P145">
            <v>2.7046350000000004E-3</v>
          </cell>
          <cell r="Q145">
            <v>42000</v>
          </cell>
        </row>
        <row r="146">
          <cell r="K146" t="str">
            <v>601.3.1.1.5.0104</v>
          </cell>
          <cell r="L146" t="str">
            <v>complete</v>
          </cell>
          <cell r="M146" t="str">
            <v>Full Bolt &amp; Tightening</v>
          </cell>
          <cell r="N146">
            <v>42000</v>
          </cell>
          <cell r="O146" t="str">
            <v>KG</v>
          </cell>
          <cell r="P146">
            <v>3.6061800000000005E-3</v>
          </cell>
          <cell r="Q146">
            <v>42000</v>
          </cell>
        </row>
        <row r="147">
          <cell r="K147" t="str">
            <v>601.3.1.1.5.0105</v>
          </cell>
          <cell r="L147" t="str">
            <v>complete</v>
          </cell>
          <cell r="M147" t="str">
            <v>Touch up</v>
          </cell>
          <cell r="N147">
            <v>42000</v>
          </cell>
          <cell r="O147" t="str">
            <v>KG</v>
          </cell>
          <cell r="P147">
            <v>9.0154500000000012E-4</v>
          </cell>
          <cell r="Q147">
            <v>42000</v>
          </cell>
        </row>
        <row r="148">
          <cell r="K148" t="str">
            <v>601.3.1.1.5.0106</v>
          </cell>
          <cell r="L148" t="str">
            <v>complete</v>
          </cell>
          <cell r="M148" t="str">
            <v>Certificate</v>
          </cell>
          <cell r="N148">
            <v>42000</v>
          </cell>
          <cell r="O148" t="str">
            <v>KG</v>
          </cell>
          <cell r="P148">
            <v>9.0154500000000012E-4</v>
          </cell>
          <cell r="Q148">
            <v>42000</v>
          </cell>
        </row>
        <row r="149">
          <cell r="K149" t="str">
            <v>601.3.1.1.5.0201</v>
          </cell>
          <cell r="L149" t="str">
            <v>complete</v>
          </cell>
          <cell r="M149" t="str">
            <v>Material Handling</v>
          </cell>
          <cell r="N149">
            <v>42000</v>
          </cell>
          <cell r="O149" t="str">
            <v>KG</v>
          </cell>
          <cell r="P149">
            <v>9.0154500000000012E-4</v>
          </cell>
          <cell r="Q149">
            <v>42000</v>
          </cell>
        </row>
        <row r="150">
          <cell r="K150" t="str">
            <v>601.3.1.1.5.0202</v>
          </cell>
          <cell r="L150" t="str">
            <v>complete</v>
          </cell>
          <cell r="M150" t="str">
            <v>Installation</v>
          </cell>
          <cell r="N150">
            <v>42000</v>
          </cell>
          <cell r="O150" t="str">
            <v>KG</v>
          </cell>
          <cell r="P150">
            <v>9.0154500000000012E-3</v>
          </cell>
          <cell r="Q150">
            <v>42000</v>
          </cell>
        </row>
        <row r="151">
          <cell r="K151" t="str">
            <v>601.3.1.1.5.0203</v>
          </cell>
          <cell r="L151" t="str">
            <v>complete</v>
          </cell>
          <cell r="M151" t="str">
            <v>Leveling &amp; Plumbness</v>
          </cell>
          <cell r="N151">
            <v>42000</v>
          </cell>
          <cell r="O151" t="str">
            <v>KG</v>
          </cell>
          <cell r="P151">
            <v>2.7046350000000004E-3</v>
          </cell>
          <cell r="Q151">
            <v>42000</v>
          </cell>
        </row>
        <row r="152">
          <cell r="K152" t="str">
            <v>601.3.1.1.5.0204</v>
          </cell>
          <cell r="L152" t="str">
            <v>complete</v>
          </cell>
          <cell r="M152" t="str">
            <v>Full Bolt &amp; Tightening</v>
          </cell>
          <cell r="N152">
            <v>42000</v>
          </cell>
          <cell r="O152" t="str">
            <v>KG</v>
          </cell>
          <cell r="P152">
            <v>3.6061800000000005E-3</v>
          </cell>
          <cell r="Q152">
            <v>42000</v>
          </cell>
        </row>
        <row r="153">
          <cell r="K153" t="str">
            <v>601.3.1.1.5.0205</v>
          </cell>
          <cell r="L153" t="str">
            <v>complete</v>
          </cell>
          <cell r="M153" t="str">
            <v>Touch up</v>
          </cell>
          <cell r="N153">
            <v>42000</v>
          </cell>
          <cell r="O153" t="str">
            <v>KG</v>
          </cell>
          <cell r="P153">
            <v>9.0154500000000012E-4</v>
          </cell>
          <cell r="Q153">
            <v>42000</v>
          </cell>
        </row>
        <row r="154">
          <cell r="K154" t="str">
            <v>601.3.1.1.5.0206</v>
          </cell>
          <cell r="L154" t="str">
            <v>complete</v>
          </cell>
          <cell r="M154" t="str">
            <v>Certificate</v>
          </cell>
          <cell r="N154">
            <v>42000</v>
          </cell>
          <cell r="O154" t="str">
            <v>KG</v>
          </cell>
          <cell r="P154">
            <v>9.0154500000000012E-4</v>
          </cell>
          <cell r="Q154">
            <v>42000</v>
          </cell>
        </row>
        <row r="155">
          <cell r="K155" t="str">
            <v>601.3.1.1.5.0301</v>
          </cell>
          <cell r="L155" t="str">
            <v>complete</v>
          </cell>
          <cell r="M155" t="str">
            <v>Material Handling</v>
          </cell>
          <cell r="N155">
            <v>42000</v>
          </cell>
          <cell r="O155" t="str">
            <v>KG</v>
          </cell>
          <cell r="P155">
            <v>9.0154500000000012E-4</v>
          </cell>
          <cell r="Q155">
            <v>42000</v>
          </cell>
        </row>
        <row r="156">
          <cell r="K156" t="str">
            <v>601.3.1.1.5.0302</v>
          </cell>
          <cell r="L156" t="str">
            <v>complete</v>
          </cell>
          <cell r="M156" t="str">
            <v>Installation</v>
          </cell>
          <cell r="N156">
            <v>42000</v>
          </cell>
          <cell r="O156" t="str">
            <v>KG</v>
          </cell>
          <cell r="P156">
            <v>9.0154500000000012E-3</v>
          </cell>
          <cell r="Q156">
            <v>42000</v>
          </cell>
        </row>
        <row r="157">
          <cell r="K157" t="str">
            <v>601.3.1.1.5.0303</v>
          </cell>
          <cell r="L157" t="str">
            <v>complete</v>
          </cell>
          <cell r="M157" t="str">
            <v>Leveling &amp; Plumbness</v>
          </cell>
          <cell r="N157">
            <v>42000</v>
          </cell>
          <cell r="O157" t="str">
            <v>KG</v>
          </cell>
          <cell r="P157">
            <v>2.7046350000000004E-3</v>
          </cell>
          <cell r="Q157">
            <v>42000</v>
          </cell>
        </row>
        <row r="158">
          <cell r="K158" t="str">
            <v>601.3.1.1.5.0304</v>
          </cell>
          <cell r="L158" t="str">
            <v>complete</v>
          </cell>
          <cell r="M158" t="str">
            <v>Full Bolt &amp; Tightening</v>
          </cell>
          <cell r="N158">
            <v>42000</v>
          </cell>
          <cell r="O158" t="str">
            <v>KG</v>
          </cell>
          <cell r="P158">
            <v>3.6061800000000005E-3</v>
          </cell>
          <cell r="Q158">
            <v>42000</v>
          </cell>
        </row>
        <row r="159">
          <cell r="K159" t="str">
            <v>601.3.1.1.5.0305</v>
          </cell>
          <cell r="L159" t="str">
            <v>complete</v>
          </cell>
          <cell r="M159" t="str">
            <v>Touch up</v>
          </cell>
          <cell r="N159">
            <v>42000</v>
          </cell>
          <cell r="O159" t="str">
            <v>KG</v>
          </cell>
          <cell r="P159">
            <v>9.0154500000000012E-4</v>
          </cell>
          <cell r="Q159">
            <v>42000</v>
          </cell>
        </row>
        <row r="160">
          <cell r="K160" t="str">
            <v>601.3.1.1.5.0306</v>
          </cell>
          <cell r="L160" t="str">
            <v>complete</v>
          </cell>
          <cell r="M160" t="str">
            <v>Certificate</v>
          </cell>
          <cell r="N160">
            <v>42000</v>
          </cell>
          <cell r="O160" t="str">
            <v>KG</v>
          </cell>
          <cell r="P160">
            <v>9.0154500000000012E-4</v>
          </cell>
          <cell r="Q160">
            <v>42000</v>
          </cell>
        </row>
        <row r="161">
          <cell r="K161" t="str">
            <v>601.3.1.1.5.0401</v>
          </cell>
          <cell r="L161" t="str">
            <v>complete</v>
          </cell>
          <cell r="M161" t="str">
            <v>Material Handling</v>
          </cell>
          <cell r="N161">
            <v>5500</v>
          </cell>
          <cell r="O161" t="str">
            <v>KG</v>
          </cell>
          <cell r="P161">
            <v>1.0784E-4</v>
          </cell>
          <cell r="Q161">
            <v>5500</v>
          </cell>
        </row>
        <row r="162">
          <cell r="K162" t="str">
            <v>601.3.1.1.5.0402</v>
          </cell>
          <cell r="L162" t="str">
            <v>complete</v>
          </cell>
          <cell r="M162" t="str">
            <v>Installation</v>
          </cell>
          <cell r="N162">
            <v>5500</v>
          </cell>
          <cell r="O162" t="str">
            <v>KG</v>
          </cell>
          <cell r="P162">
            <v>1.0784E-3</v>
          </cell>
          <cell r="Q162">
            <v>5500</v>
          </cell>
        </row>
        <row r="163">
          <cell r="K163" t="str">
            <v>601.3.1.1.5.0403</v>
          </cell>
          <cell r="L163" t="str">
            <v>complete</v>
          </cell>
          <cell r="M163" t="str">
            <v>Leveling &amp; Plumbness</v>
          </cell>
          <cell r="N163">
            <v>5500</v>
          </cell>
          <cell r="O163" t="str">
            <v>KG</v>
          </cell>
          <cell r="P163">
            <v>3.2351999999999999E-4</v>
          </cell>
          <cell r="Q163">
            <v>5500</v>
          </cell>
        </row>
        <row r="164">
          <cell r="K164" t="str">
            <v>601.3.1.1.5.0404</v>
          </cell>
          <cell r="L164" t="str">
            <v>complete</v>
          </cell>
          <cell r="M164" t="str">
            <v>Full Bolt &amp; Tightening</v>
          </cell>
          <cell r="N164">
            <v>5500</v>
          </cell>
          <cell r="O164" t="str">
            <v>KG</v>
          </cell>
          <cell r="P164">
            <v>4.3135999999999999E-4</v>
          </cell>
          <cell r="Q164">
            <v>5500</v>
          </cell>
        </row>
        <row r="165">
          <cell r="K165" t="str">
            <v>601.3.1.1.5.0405</v>
          </cell>
          <cell r="L165" t="str">
            <v>complete</v>
          </cell>
          <cell r="M165" t="str">
            <v>Touch up</v>
          </cell>
          <cell r="N165">
            <v>5500</v>
          </cell>
          <cell r="O165" t="str">
            <v>KG</v>
          </cell>
          <cell r="P165">
            <v>1.0784E-4</v>
          </cell>
          <cell r="Q165">
            <v>5500</v>
          </cell>
        </row>
        <row r="166">
          <cell r="K166" t="str">
            <v>601.3.1.1.5.0406</v>
          </cell>
          <cell r="L166" t="str">
            <v>complete</v>
          </cell>
          <cell r="M166" t="str">
            <v>Certificate</v>
          </cell>
          <cell r="N166">
            <v>5500</v>
          </cell>
          <cell r="O166" t="str">
            <v>KG</v>
          </cell>
          <cell r="P166">
            <v>1.0784E-4</v>
          </cell>
          <cell r="Q166">
            <v>5500</v>
          </cell>
        </row>
        <row r="167">
          <cell r="K167" t="str">
            <v>601.3.1.1.5.0501</v>
          </cell>
          <cell r="L167" t="str">
            <v>complete</v>
          </cell>
          <cell r="M167" t="str">
            <v>Material Handling</v>
          </cell>
          <cell r="N167">
            <v>2496</v>
          </cell>
          <cell r="O167" t="str">
            <v>KG</v>
          </cell>
          <cell r="P167">
            <v>3.0185E-5</v>
          </cell>
          <cell r="Q167">
            <v>2496</v>
          </cell>
        </row>
        <row r="168">
          <cell r="K168" t="str">
            <v>601.3.1.1.5.0502</v>
          </cell>
          <cell r="L168" t="str">
            <v>complete</v>
          </cell>
          <cell r="M168" t="str">
            <v>Installation</v>
          </cell>
          <cell r="N168">
            <v>2496</v>
          </cell>
          <cell r="O168" t="str">
            <v>KG</v>
          </cell>
          <cell r="P168">
            <v>3.0184999999999999E-4</v>
          </cell>
          <cell r="Q168">
            <v>2496</v>
          </cell>
        </row>
        <row r="169">
          <cell r="K169" t="str">
            <v>601.3.1.1.5.0503</v>
          </cell>
          <cell r="L169" t="str">
            <v>complete</v>
          </cell>
          <cell r="M169" t="str">
            <v>Leveling &amp; Plumbness</v>
          </cell>
          <cell r="N169">
            <v>2496</v>
          </cell>
          <cell r="O169" t="str">
            <v>KG</v>
          </cell>
          <cell r="P169">
            <v>9.0555000000000003E-5</v>
          </cell>
          <cell r="Q169">
            <v>2496</v>
          </cell>
        </row>
        <row r="170">
          <cell r="K170" t="str">
            <v>601.3.1.1.5.0504</v>
          </cell>
          <cell r="L170" t="str">
            <v>complete</v>
          </cell>
          <cell r="M170" t="str">
            <v>Full Bolt &amp; Tightening</v>
          </cell>
          <cell r="N170">
            <v>2496</v>
          </cell>
          <cell r="O170" t="str">
            <v>KG</v>
          </cell>
          <cell r="P170">
            <v>1.2074E-4</v>
          </cell>
          <cell r="Q170">
            <v>2496</v>
          </cell>
        </row>
        <row r="171">
          <cell r="K171" t="str">
            <v>601.3.1.1.5.0505</v>
          </cell>
          <cell r="L171" t="str">
            <v>complete</v>
          </cell>
          <cell r="M171" t="str">
            <v>Touch up</v>
          </cell>
          <cell r="N171">
            <v>2496</v>
          </cell>
          <cell r="O171" t="str">
            <v>KG</v>
          </cell>
          <cell r="P171">
            <v>3.0185E-5</v>
          </cell>
          <cell r="Q171">
            <v>2496</v>
          </cell>
        </row>
        <row r="172">
          <cell r="K172" t="str">
            <v>601.3.1.1.5.0506</v>
          </cell>
          <cell r="L172" t="str">
            <v>complete</v>
          </cell>
          <cell r="M172" t="str">
            <v>Certificate</v>
          </cell>
          <cell r="N172">
            <v>2496</v>
          </cell>
          <cell r="O172" t="str">
            <v>KG</v>
          </cell>
          <cell r="P172">
            <v>3.0185E-5</v>
          </cell>
          <cell r="Q172">
            <v>2496</v>
          </cell>
        </row>
        <row r="173">
          <cell r="K173" t="str">
            <v>601.3.1.1.5.0601</v>
          </cell>
          <cell r="L173" t="str">
            <v>complete</v>
          </cell>
          <cell r="M173" t="str">
            <v>Material Handling</v>
          </cell>
          <cell r="N173">
            <v>24780.5</v>
          </cell>
          <cell r="O173" t="str">
            <v>KG</v>
          </cell>
          <cell r="P173">
            <v>2.1378500000000003E-4</v>
          </cell>
          <cell r="Q173">
            <v>24780.5</v>
          </cell>
        </row>
        <row r="174">
          <cell r="K174" t="str">
            <v>601.3.1.1.5.0602</v>
          </cell>
          <cell r="L174" t="str">
            <v>complete</v>
          </cell>
          <cell r="M174" t="str">
            <v>installation</v>
          </cell>
          <cell r="N174">
            <v>24780.5</v>
          </cell>
          <cell r="O174" t="str">
            <v>KG</v>
          </cell>
          <cell r="P174">
            <v>2.7792050000000003E-3</v>
          </cell>
          <cell r="Q174">
            <v>24780.5</v>
          </cell>
        </row>
        <row r="175">
          <cell r="K175" t="str">
            <v>601.3.1.1.5.0603</v>
          </cell>
          <cell r="L175" t="str">
            <v>complete</v>
          </cell>
          <cell r="M175" t="str">
            <v>Clamping &amp; Tightening</v>
          </cell>
          <cell r="N175">
            <v>24780.5</v>
          </cell>
          <cell r="O175" t="str">
            <v>KG</v>
          </cell>
          <cell r="P175">
            <v>8.5514000000000011E-4</v>
          </cell>
          <cell r="Q175">
            <v>24780.5</v>
          </cell>
        </row>
        <row r="176">
          <cell r="K176" t="str">
            <v>601.3.1.1.5.0604</v>
          </cell>
          <cell r="L176" t="str">
            <v>complete</v>
          </cell>
          <cell r="M176" t="str">
            <v>Touch up &amp; Cleaning</v>
          </cell>
          <cell r="N176">
            <v>24780.5</v>
          </cell>
          <cell r="O176" t="str">
            <v>KG</v>
          </cell>
          <cell r="P176">
            <v>2.1378500000000003E-4</v>
          </cell>
          <cell r="Q176">
            <v>24780.5</v>
          </cell>
        </row>
        <row r="177">
          <cell r="K177" t="str">
            <v>601.3.1.1.5.0605</v>
          </cell>
          <cell r="L177" t="str">
            <v>complete</v>
          </cell>
          <cell r="M177" t="str">
            <v>Certificate</v>
          </cell>
          <cell r="N177">
            <v>24780.5</v>
          </cell>
          <cell r="O177" t="str">
            <v>KG</v>
          </cell>
          <cell r="P177">
            <v>2.1378500000000003E-4</v>
          </cell>
          <cell r="Q177">
            <v>24780.5</v>
          </cell>
        </row>
        <row r="178">
          <cell r="K178" t="str">
            <v>601.3.1.1.6.0101</v>
          </cell>
          <cell r="L178" t="str">
            <v>not started</v>
          </cell>
          <cell r="M178" t="str">
            <v>Installation</v>
          </cell>
          <cell r="N178"/>
          <cell r="O178" t="str">
            <v>KG</v>
          </cell>
          <cell r="P178">
            <v>5.0000000000000001E-3</v>
          </cell>
          <cell r="Q178">
            <v>1500</v>
          </cell>
        </row>
        <row r="179">
          <cell r="K179" t="str">
            <v>601.3.1.1.6.0102</v>
          </cell>
          <cell r="L179" t="str">
            <v>not started</v>
          </cell>
          <cell r="M179" t="str">
            <v>Tightening</v>
          </cell>
          <cell r="N179"/>
          <cell r="O179" t="str">
            <v>KG</v>
          </cell>
          <cell r="P179">
            <v>2.5000000000000001E-3</v>
          </cell>
          <cell r="Q179">
            <v>1500</v>
          </cell>
        </row>
        <row r="180">
          <cell r="K180" t="str">
            <v>601.3.1.1.6.0103</v>
          </cell>
          <cell r="L180" t="str">
            <v>not started</v>
          </cell>
          <cell r="M180" t="str">
            <v>Certificate</v>
          </cell>
          <cell r="N180"/>
          <cell r="O180" t="str">
            <v>KG</v>
          </cell>
          <cell r="P180">
            <v>2.5000000000000001E-3</v>
          </cell>
          <cell r="Q180">
            <v>1500</v>
          </cell>
        </row>
        <row r="181">
          <cell r="K181" t="str">
            <v>601.3.1.1.6.0201</v>
          </cell>
          <cell r="L181" t="str">
            <v>not started</v>
          </cell>
          <cell r="M181" t="str">
            <v>Installation</v>
          </cell>
          <cell r="N181"/>
          <cell r="O181" t="str">
            <v>KG</v>
          </cell>
          <cell r="P181">
            <v>5.0000000000000001E-3</v>
          </cell>
          <cell r="Q181">
            <v>660</v>
          </cell>
        </row>
        <row r="182">
          <cell r="K182" t="str">
            <v>601.3.1.1.6.0202</v>
          </cell>
          <cell r="L182" t="str">
            <v>not started</v>
          </cell>
          <cell r="M182" t="str">
            <v>Tightening</v>
          </cell>
          <cell r="N182"/>
          <cell r="O182" t="str">
            <v>KG</v>
          </cell>
          <cell r="P182">
            <v>2.5000000000000001E-3</v>
          </cell>
          <cell r="Q182">
            <v>660</v>
          </cell>
        </row>
        <row r="183">
          <cell r="K183" t="str">
            <v>601.3.1.1.6.0203</v>
          </cell>
          <cell r="L183" t="str">
            <v>not started</v>
          </cell>
          <cell r="M183" t="str">
            <v>Certificate</v>
          </cell>
          <cell r="N183"/>
          <cell r="O183" t="str">
            <v>KG</v>
          </cell>
          <cell r="P183">
            <v>2.5000000000000001E-3</v>
          </cell>
          <cell r="Q183">
            <v>660</v>
          </cell>
        </row>
        <row r="184">
          <cell r="K184" t="str">
            <v>601.3.1.2.1.0101</v>
          </cell>
          <cell r="L184" t="str">
            <v>complete</v>
          </cell>
          <cell r="M184" t="str">
            <v>Material Handling</v>
          </cell>
          <cell r="N184">
            <v>40200</v>
          </cell>
          <cell r="O184" t="str">
            <v>KG</v>
          </cell>
          <cell r="P184">
            <v>1E-3</v>
          </cell>
          <cell r="Q184">
            <v>40200</v>
          </cell>
        </row>
        <row r="185">
          <cell r="K185" t="str">
            <v>601.3.1.2.1.0102</v>
          </cell>
          <cell r="L185" t="str">
            <v>complete</v>
          </cell>
          <cell r="M185" t="str">
            <v>Erection</v>
          </cell>
          <cell r="N185">
            <v>40200</v>
          </cell>
          <cell r="O185" t="str">
            <v>KG</v>
          </cell>
          <cell r="P185">
            <v>0.01</v>
          </cell>
          <cell r="Q185">
            <v>40200</v>
          </cell>
        </row>
        <row r="186">
          <cell r="K186" t="str">
            <v>601.3.1.2.1.0103</v>
          </cell>
          <cell r="L186" t="str">
            <v>not started</v>
          </cell>
          <cell r="M186" t="str">
            <v>Aligenment/Leveling</v>
          </cell>
          <cell r="N186"/>
          <cell r="O186" t="str">
            <v>KG</v>
          </cell>
          <cell r="P186">
            <v>4.0000000000000001E-3</v>
          </cell>
          <cell r="Q186">
            <v>40200</v>
          </cell>
        </row>
        <row r="187">
          <cell r="K187" t="str">
            <v>601.3.1.2.1.0104</v>
          </cell>
          <cell r="L187" t="str">
            <v>not started</v>
          </cell>
          <cell r="M187" t="str">
            <v>Full Bolting/Welding</v>
          </cell>
          <cell r="N187"/>
          <cell r="O187" t="str">
            <v>KG</v>
          </cell>
          <cell r="P187">
            <v>3.0000000000000001E-3</v>
          </cell>
          <cell r="Q187">
            <v>40200</v>
          </cell>
        </row>
        <row r="188">
          <cell r="K188" t="str">
            <v>601.3.1.2.1.0106</v>
          </cell>
          <cell r="L188" t="str">
            <v>not started</v>
          </cell>
          <cell r="M188" t="str">
            <v>Punch Removing</v>
          </cell>
          <cell r="N188"/>
          <cell r="O188" t="str">
            <v>KG</v>
          </cell>
          <cell r="P188">
            <v>1E-3</v>
          </cell>
          <cell r="Q188">
            <v>40200</v>
          </cell>
        </row>
        <row r="189">
          <cell r="K189" t="str">
            <v>601.3.1.2.1.0107</v>
          </cell>
          <cell r="L189" t="str">
            <v>not started</v>
          </cell>
          <cell r="M189" t="str">
            <v>Certificate</v>
          </cell>
          <cell r="N189"/>
          <cell r="O189" t="str">
            <v>KG</v>
          </cell>
          <cell r="P189">
            <v>1E-3</v>
          </cell>
          <cell r="Q189">
            <v>40200</v>
          </cell>
        </row>
        <row r="190">
          <cell r="K190" t="str">
            <v>601.3.1.2.2.0101</v>
          </cell>
          <cell r="L190" t="str">
            <v>not started</v>
          </cell>
          <cell r="M190" t="str">
            <v>Material Handling</v>
          </cell>
          <cell r="N190"/>
          <cell r="O190" t="str">
            <v>NO.</v>
          </cell>
          <cell r="P190">
            <v>2.0000000000000001E-4</v>
          </cell>
          <cell r="Q190">
            <v>22680</v>
          </cell>
        </row>
        <row r="191">
          <cell r="K191" t="str">
            <v>601.3.1.2.2.0102</v>
          </cell>
          <cell r="L191" t="str">
            <v>not started</v>
          </cell>
          <cell r="M191" t="str">
            <v>Installation</v>
          </cell>
          <cell r="N191"/>
          <cell r="O191" t="str">
            <v>NO.</v>
          </cell>
          <cell r="P191">
            <v>1.2000000000000001E-3</v>
          </cell>
          <cell r="Q191">
            <v>22680</v>
          </cell>
        </row>
        <row r="192">
          <cell r="K192" t="str">
            <v>601.3.1.2.2.0103</v>
          </cell>
          <cell r="L192" t="str">
            <v>not started</v>
          </cell>
          <cell r="M192" t="str">
            <v>Fixing &amp; tightening</v>
          </cell>
          <cell r="N192"/>
          <cell r="O192" t="str">
            <v>NO.</v>
          </cell>
          <cell r="P192">
            <v>3.0000000000000003E-4</v>
          </cell>
          <cell r="Q192">
            <v>22680</v>
          </cell>
        </row>
        <row r="193">
          <cell r="K193" t="str">
            <v>601.3.1.2.2.0104</v>
          </cell>
          <cell r="L193" t="str">
            <v>not started</v>
          </cell>
          <cell r="M193" t="str">
            <v>Setting &amp; Alignment</v>
          </cell>
          <cell r="N193"/>
          <cell r="O193" t="str">
            <v>NO.</v>
          </cell>
          <cell r="P193">
            <v>2.0000000000000001E-4</v>
          </cell>
          <cell r="Q193">
            <v>22680</v>
          </cell>
        </row>
        <row r="194">
          <cell r="K194" t="str">
            <v>601.3.1.2.2.0105</v>
          </cell>
          <cell r="L194" t="str">
            <v>not started</v>
          </cell>
          <cell r="M194" t="str">
            <v>Certificate</v>
          </cell>
          <cell r="N194"/>
          <cell r="O194" t="str">
            <v>NO.</v>
          </cell>
          <cell r="P194">
            <v>1E-4</v>
          </cell>
          <cell r="Q194">
            <v>22680</v>
          </cell>
        </row>
        <row r="195">
          <cell r="K195" t="str">
            <v>601.3.1.2.2.0201</v>
          </cell>
          <cell r="L195" t="str">
            <v>not started</v>
          </cell>
          <cell r="M195" t="str">
            <v>Material Handling</v>
          </cell>
          <cell r="N195"/>
          <cell r="O195" t="str">
            <v>NO.</v>
          </cell>
          <cell r="P195">
            <v>2.0999999999999998E-4</v>
          </cell>
          <cell r="Q195">
            <v>36260</v>
          </cell>
        </row>
        <row r="196">
          <cell r="K196" t="str">
            <v>601.3.1.2.2.0202</v>
          </cell>
          <cell r="L196" t="str">
            <v>not started</v>
          </cell>
          <cell r="M196" t="str">
            <v>Installation</v>
          </cell>
          <cell r="N196"/>
          <cell r="O196" t="str">
            <v>NO.</v>
          </cell>
          <cell r="P196">
            <v>1.2599999999999998E-3</v>
          </cell>
          <cell r="Q196">
            <v>36260</v>
          </cell>
        </row>
        <row r="197">
          <cell r="K197" t="str">
            <v>601.3.1.2.2.0203</v>
          </cell>
          <cell r="L197" t="str">
            <v>not started</v>
          </cell>
          <cell r="M197" t="str">
            <v>Fixing &amp; tightening</v>
          </cell>
          <cell r="N197"/>
          <cell r="O197" t="str">
            <v>NO.</v>
          </cell>
          <cell r="P197">
            <v>3.1499999999999996E-4</v>
          </cell>
          <cell r="Q197">
            <v>36260</v>
          </cell>
        </row>
        <row r="198">
          <cell r="K198" t="str">
            <v>601.3.1.2.2.0204</v>
          </cell>
          <cell r="L198" t="str">
            <v>not started</v>
          </cell>
          <cell r="M198" t="str">
            <v>Setting &amp; Alignment</v>
          </cell>
          <cell r="N198"/>
          <cell r="O198" t="str">
            <v>NO.</v>
          </cell>
          <cell r="P198">
            <v>2.0999999999999998E-4</v>
          </cell>
          <cell r="Q198">
            <v>36260</v>
          </cell>
        </row>
        <row r="199">
          <cell r="K199" t="str">
            <v>601.3.1.2.2.0205</v>
          </cell>
          <cell r="L199" t="str">
            <v>not started</v>
          </cell>
          <cell r="M199" t="str">
            <v>Certificate</v>
          </cell>
          <cell r="N199"/>
          <cell r="O199" t="str">
            <v>NO.</v>
          </cell>
          <cell r="P199">
            <v>1.0499999999999999E-4</v>
          </cell>
          <cell r="Q199">
            <v>36260</v>
          </cell>
        </row>
        <row r="200">
          <cell r="K200" t="str">
            <v>601.3.1.2.2.0301</v>
          </cell>
          <cell r="L200" t="str">
            <v>not started</v>
          </cell>
          <cell r="M200" t="str">
            <v>Material Handling</v>
          </cell>
          <cell r="N200"/>
          <cell r="O200" t="str">
            <v>NO.</v>
          </cell>
          <cell r="P200">
            <v>1E-4</v>
          </cell>
          <cell r="Q200">
            <v>9550</v>
          </cell>
        </row>
        <row r="201">
          <cell r="K201" t="str">
            <v>601.3.1.2.2.0302</v>
          </cell>
          <cell r="L201" t="str">
            <v>not started</v>
          </cell>
          <cell r="M201" t="str">
            <v>Installation</v>
          </cell>
          <cell r="N201"/>
          <cell r="O201" t="str">
            <v>NO.</v>
          </cell>
          <cell r="P201">
            <v>6.0000000000000006E-4</v>
          </cell>
          <cell r="Q201">
            <v>9550</v>
          </cell>
        </row>
        <row r="202">
          <cell r="K202" t="str">
            <v>601.3.1.2.2.0303</v>
          </cell>
          <cell r="L202" t="str">
            <v>not started</v>
          </cell>
          <cell r="M202" t="str">
            <v>Fixing &amp; tightening</v>
          </cell>
          <cell r="N202"/>
          <cell r="O202" t="str">
            <v>NO.</v>
          </cell>
          <cell r="P202">
            <v>1.5000000000000001E-4</v>
          </cell>
          <cell r="Q202">
            <v>9550</v>
          </cell>
        </row>
        <row r="203">
          <cell r="K203" t="str">
            <v>601.3.1.2.2.0304</v>
          </cell>
          <cell r="L203" t="str">
            <v>not started</v>
          </cell>
          <cell r="M203" t="str">
            <v>Setting &amp; Alignment</v>
          </cell>
          <cell r="N203"/>
          <cell r="O203" t="str">
            <v>NO.</v>
          </cell>
          <cell r="P203">
            <v>1E-4</v>
          </cell>
          <cell r="Q203">
            <v>9550</v>
          </cell>
        </row>
        <row r="204">
          <cell r="K204" t="str">
            <v>601.3.1.2.2.0305</v>
          </cell>
          <cell r="L204" t="str">
            <v>not started</v>
          </cell>
          <cell r="M204" t="str">
            <v>Certificate</v>
          </cell>
          <cell r="N204"/>
          <cell r="O204" t="str">
            <v>NO.</v>
          </cell>
          <cell r="P204">
            <v>5.0000000000000002E-5</v>
          </cell>
          <cell r="Q204">
            <v>9550</v>
          </cell>
        </row>
        <row r="205">
          <cell r="K205" t="str">
            <v>601.3.1.2.2.0401</v>
          </cell>
          <cell r="L205" t="str">
            <v>not started</v>
          </cell>
          <cell r="M205" t="str">
            <v>Material Handling</v>
          </cell>
          <cell r="N205"/>
          <cell r="O205" t="str">
            <v>NO.</v>
          </cell>
          <cell r="P205">
            <v>8.9999999999999992E-5</v>
          </cell>
          <cell r="Q205">
            <v>7000</v>
          </cell>
        </row>
        <row r="206">
          <cell r="K206" t="str">
            <v>601.3.1.2.2.0402</v>
          </cell>
          <cell r="L206" t="str">
            <v>not started</v>
          </cell>
          <cell r="M206" t="str">
            <v>Installation</v>
          </cell>
          <cell r="N206"/>
          <cell r="O206" t="str">
            <v>NO.</v>
          </cell>
          <cell r="P206">
            <v>5.4000000000000001E-4</v>
          </cell>
          <cell r="Q206">
            <v>7000</v>
          </cell>
        </row>
        <row r="207">
          <cell r="K207" t="str">
            <v>601.3.1.2.2.0403</v>
          </cell>
          <cell r="L207" t="str">
            <v>not started</v>
          </cell>
          <cell r="M207" t="str">
            <v>Fixing &amp; tightening</v>
          </cell>
          <cell r="N207"/>
          <cell r="O207" t="str">
            <v>NO.</v>
          </cell>
          <cell r="P207">
            <v>1.35E-4</v>
          </cell>
          <cell r="Q207">
            <v>7000</v>
          </cell>
        </row>
        <row r="208">
          <cell r="K208" t="str">
            <v>601.3.1.2.2.0404</v>
          </cell>
          <cell r="L208" t="str">
            <v>not started</v>
          </cell>
          <cell r="M208" t="str">
            <v>Setting &amp; Alignment</v>
          </cell>
          <cell r="N208"/>
          <cell r="O208" t="str">
            <v>NO.</v>
          </cell>
          <cell r="P208">
            <v>8.9999999999999992E-5</v>
          </cell>
          <cell r="Q208">
            <v>7000</v>
          </cell>
        </row>
        <row r="209">
          <cell r="K209" t="str">
            <v>601.3.1.2.2.0405</v>
          </cell>
          <cell r="L209" t="str">
            <v>not started</v>
          </cell>
          <cell r="M209" t="str">
            <v>Certificate</v>
          </cell>
          <cell r="N209"/>
          <cell r="O209" t="str">
            <v>NO.</v>
          </cell>
          <cell r="P209">
            <v>4.4999999999999996E-5</v>
          </cell>
          <cell r="Q209">
            <v>7000</v>
          </cell>
        </row>
        <row r="210">
          <cell r="K210" t="str">
            <v>601.3.1.2.2.0501</v>
          </cell>
          <cell r="L210" t="str">
            <v>not started</v>
          </cell>
          <cell r="M210" t="str">
            <v>Material Handling</v>
          </cell>
          <cell r="N210"/>
          <cell r="O210" t="str">
            <v>NO.</v>
          </cell>
          <cell r="P210">
            <v>2.5000000000000001E-4</v>
          </cell>
          <cell r="Q210">
            <v>26550</v>
          </cell>
        </row>
        <row r="211">
          <cell r="K211" t="str">
            <v>601.3.1.2.2.0502</v>
          </cell>
          <cell r="L211" t="str">
            <v>not started</v>
          </cell>
          <cell r="M211" t="str">
            <v>Installation</v>
          </cell>
          <cell r="N211"/>
          <cell r="O211" t="str">
            <v>NO.</v>
          </cell>
          <cell r="P211">
            <v>1.5E-3</v>
          </cell>
          <cell r="Q211">
            <v>26550</v>
          </cell>
        </row>
        <row r="212">
          <cell r="K212" t="str">
            <v>601.3.1.2.2.0503</v>
          </cell>
          <cell r="L212" t="str">
            <v>not started</v>
          </cell>
          <cell r="M212" t="str">
            <v>Fixing &amp; tightening</v>
          </cell>
          <cell r="N212"/>
          <cell r="O212" t="str">
            <v>NO.</v>
          </cell>
          <cell r="P212">
            <v>3.7500000000000001E-4</v>
          </cell>
          <cell r="Q212">
            <v>26550</v>
          </cell>
        </row>
        <row r="213">
          <cell r="K213" t="str">
            <v>601.3.1.2.2.0504</v>
          </cell>
          <cell r="L213" t="str">
            <v>not started</v>
          </cell>
          <cell r="M213" t="str">
            <v>Setting &amp; Alignment</v>
          </cell>
          <cell r="N213"/>
          <cell r="O213" t="str">
            <v>NO.</v>
          </cell>
          <cell r="P213">
            <v>2.5000000000000001E-4</v>
          </cell>
          <cell r="Q213">
            <v>26550</v>
          </cell>
        </row>
        <row r="214">
          <cell r="K214" t="str">
            <v>601.3.1.2.2.0505</v>
          </cell>
          <cell r="L214" t="str">
            <v>not started</v>
          </cell>
          <cell r="M214" t="str">
            <v>Certificate</v>
          </cell>
          <cell r="N214"/>
          <cell r="O214" t="str">
            <v>NO.</v>
          </cell>
          <cell r="P214">
            <v>1.25E-4</v>
          </cell>
          <cell r="Q214">
            <v>26550</v>
          </cell>
        </row>
        <row r="215">
          <cell r="K215" t="str">
            <v>601.3.1.2.2.0601</v>
          </cell>
          <cell r="L215" t="str">
            <v>not started</v>
          </cell>
          <cell r="M215" t="str">
            <v>Material Handling</v>
          </cell>
          <cell r="N215"/>
          <cell r="O215" t="str">
            <v>NO.</v>
          </cell>
          <cell r="P215">
            <v>2.0000000000000001E-4</v>
          </cell>
          <cell r="Q215">
            <v>20120</v>
          </cell>
        </row>
        <row r="216">
          <cell r="K216" t="str">
            <v>601.3.1.2.2.0602</v>
          </cell>
          <cell r="L216" t="str">
            <v>not started</v>
          </cell>
          <cell r="M216" t="str">
            <v>Installation</v>
          </cell>
          <cell r="N216"/>
          <cell r="O216" t="str">
            <v>NO.</v>
          </cell>
          <cell r="P216">
            <v>1.2000000000000001E-3</v>
          </cell>
          <cell r="Q216">
            <v>20120</v>
          </cell>
        </row>
        <row r="217">
          <cell r="K217" t="str">
            <v>601.3.1.2.2.0603</v>
          </cell>
          <cell r="L217" t="str">
            <v>not started</v>
          </cell>
          <cell r="M217" t="str">
            <v>Fixing &amp; tightening</v>
          </cell>
          <cell r="N217"/>
          <cell r="O217" t="str">
            <v>NO.</v>
          </cell>
          <cell r="P217">
            <v>3.0000000000000003E-4</v>
          </cell>
          <cell r="Q217">
            <v>20120</v>
          </cell>
        </row>
        <row r="218">
          <cell r="K218" t="str">
            <v>601.3.1.2.2.0604</v>
          </cell>
          <cell r="L218" t="str">
            <v>not started</v>
          </cell>
          <cell r="M218" t="str">
            <v>Setting &amp; Alignment</v>
          </cell>
          <cell r="N218"/>
          <cell r="O218" t="str">
            <v>NO.</v>
          </cell>
          <cell r="P218">
            <v>2.0000000000000001E-4</v>
          </cell>
          <cell r="Q218">
            <v>20120</v>
          </cell>
        </row>
        <row r="219">
          <cell r="K219" t="str">
            <v>601.3.1.2.2.0605</v>
          </cell>
          <cell r="L219" t="str">
            <v>not started</v>
          </cell>
          <cell r="M219" t="str">
            <v>Certificate</v>
          </cell>
          <cell r="N219"/>
          <cell r="O219" t="str">
            <v>NO.</v>
          </cell>
          <cell r="P219">
            <v>1E-4</v>
          </cell>
          <cell r="Q219">
            <v>20120</v>
          </cell>
        </row>
        <row r="220">
          <cell r="K220" t="str">
            <v>601.3.1.2.2.0701</v>
          </cell>
          <cell r="L220" t="str">
            <v>not started</v>
          </cell>
          <cell r="M220" t="str">
            <v>Material Handling</v>
          </cell>
          <cell r="N220"/>
          <cell r="O220" t="str">
            <v>NO.</v>
          </cell>
          <cell r="P220">
            <v>8.9999999999999992E-5</v>
          </cell>
          <cell r="Q220">
            <v>2100</v>
          </cell>
        </row>
        <row r="221">
          <cell r="K221" t="str">
            <v>601.3.1.2.2.0702</v>
          </cell>
          <cell r="L221" t="str">
            <v>not started</v>
          </cell>
          <cell r="M221" t="str">
            <v>Installation</v>
          </cell>
          <cell r="N221"/>
          <cell r="O221" t="str">
            <v>NO.</v>
          </cell>
          <cell r="P221">
            <v>5.4000000000000001E-4</v>
          </cell>
          <cell r="Q221">
            <v>2100</v>
          </cell>
        </row>
        <row r="222">
          <cell r="K222" t="str">
            <v>601.3.1.2.2.0703</v>
          </cell>
          <cell r="L222" t="str">
            <v>not started</v>
          </cell>
          <cell r="M222" t="str">
            <v>Fixing &amp; tightening</v>
          </cell>
          <cell r="N222"/>
          <cell r="O222" t="str">
            <v>NO.</v>
          </cell>
          <cell r="P222">
            <v>1.35E-4</v>
          </cell>
          <cell r="Q222">
            <v>2100</v>
          </cell>
        </row>
        <row r="223">
          <cell r="K223" t="str">
            <v>601.3.1.2.2.0704</v>
          </cell>
          <cell r="L223" t="str">
            <v>not started</v>
          </cell>
          <cell r="M223" t="str">
            <v>Setting &amp; Alignment</v>
          </cell>
          <cell r="N223"/>
          <cell r="O223" t="str">
            <v>NO.</v>
          </cell>
          <cell r="P223">
            <v>8.9999999999999992E-5</v>
          </cell>
          <cell r="Q223">
            <v>2100</v>
          </cell>
        </row>
        <row r="224">
          <cell r="K224" t="str">
            <v>601.3.1.2.2.0705</v>
          </cell>
          <cell r="L224" t="str">
            <v>not started</v>
          </cell>
          <cell r="M224" t="str">
            <v>Certificate</v>
          </cell>
          <cell r="N224"/>
          <cell r="O224" t="str">
            <v>NO.</v>
          </cell>
          <cell r="P224">
            <v>4.4999999999999996E-5</v>
          </cell>
          <cell r="Q224">
            <v>2100</v>
          </cell>
        </row>
        <row r="225">
          <cell r="K225" t="str">
            <v>601.3.1.2.2.0801</v>
          </cell>
          <cell r="L225" t="str">
            <v>not started</v>
          </cell>
          <cell r="M225" t="str">
            <v>Material Handling</v>
          </cell>
          <cell r="N225"/>
          <cell r="O225" t="str">
            <v>NO.</v>
          </cell>
          <cell r="P225">
            <v>8.9999999999999992E-5</v>
          </cell>
          <cell r="Q225">
            <v>2000</v>
          </cell>
        </row>
        <row r="226">
          <cell r="K226" t="str">
            <v>601.3.1.2.2.0802</v>
          </cell>
          <cell r="L226" t="str">
            <v>not started</v>
          </cell>
          <cell r="M226" t="str">
            <v>Installation</v>
          </cell>
          <cell r="N226"/>
          <cell r="O226" t="str">
            <v>NO.</v>
          </cell>
          <cell r="P226">
            <v>5.4000000000000001E-4</v>
          </cell>
          <cell r="Q226">
            <v>2000</v>
          </cell>
        </row>
        <row r="227">
          <cell r="K227" t="str">
            <v>601.3.1.2.2.0803</v>
          </cell>
          <cell r="L227" t="str">
            <v>not started</v>
          </cell>
          <cell r="M227" t="str">
            <v>Fixing &amp; tightening</v>
          </cell>
          <cell r="N227"/>
          <cell r="O227" t="str">
            <v>NO.</v>
          </cell>
          <cell r="P227">
            <v>1.35E-4</v>
          </cell>
          <cell r="Q227">
            <v>2000</v>
          </cell>
        </row>
        <row r="228">
          <cell r="K228" t="str">
            <v>601.3.1.2.2.0804</v>
          </cell>
          <cell r="L228" t="str">
            <v>not started</v>
          </cell>
          <cell r="M228" t="str">
            <v>Setting &amp; Alignment</v>
          </cell>
          <cell r="N228"/>
          <cell r="O228" t="str">
            <v>NO.</v>
          </cell>
          <cell r="P228">
            <v>8.9999999999999992E-5</v>
          </cell>
          <cell r="Q228">
            <v>2000</v>
          </cell>
        </row>
        <row r="229">
          <cell r="K229" t="str">
            <v>601.3.1.2.2.0805</v>
          </cell>
          <cell r="L229" t="str">
            <v>not started</v>
          </cell>
          <cell r="M229" t="str">
            <v>Certificate</v>
          </cell>
          <cell r="N229"/>
          <cell r="O229" t="str">
            <v>NO.</v>
          </cell>
          <cell r="P229">
            <v>4.4999999999999996E-5</v>
          </cell>
          <cell r="Q229">
            <v>2000</v>
          </cell>
        </row>
        <row r="230">
          <cell r="K230" t="str">
            <v>601.3.1.2.2.0901</v>
          </cell>
          <cell r="L230" t="str">
            <v>not started</v>
          </cell>
          <cell r="M230" t="str">
            <v>Material Handling</v>
          </cell>
          <cell r="N230"/>
          <cell r="O230" t="str">
            <v>NO.</v>
          </cell>
          <cell r="P230">
            <v>5.9999999999999995E-5</v>
          </cell>
          <cell r="Q230">
            <v>1000</v>
          </cell>
        </row>
        <row r="231">
          <cell r="K231" t="str">
            <v>601.3.1.2.2.0902</v>
          </cell>
          <cell r="L231" t="str">
            <v>not started</v>
          </cell>
          <cell r="M231" t="str">
            <v>Installation</v>
          </cell>
          <cell r="N231"/>
          <cell r="O231" t="str">
            <v>NO.</v>
          </cell>
          <cell r="P231">
            <v>3.5999999999999997E-4</v>
          </cell>
          <cell r="Q231">
            <v>1000</v>
          </cell>
        </row>
        <row r="232">
          <cell r="K232" t="str">
            <v>601.3.1.2.2.0903</v>
          </cell>
          <cell r="L232" t="str">
            <v>not started</v>
          </cell>
          <cell r="M232" t="str">
            <v>Fixing &amp; tightening</v>
          </cell>
          <cell r="N232"/>
          <cell r="O232" t="str">
            <v>NO.</v>
          </cell>
          <cell r="P232">
            <v>8.9999999999999992E-5</v>
          </cell>
          <cell r="Q232">
            <v>1000</v>
          </cell>
        </row>
        <row r="233">
          <cell r="K233" t="str">
            <v>601.3.1.2.2.0904</v>
          </cell>
          <cell r="L233" t="str">
            <v>not started</v>
          </cell>
          <cell r="M233" t="str">
            <v>Setting &amp; Alignment</v>
          </cell>
          <cell r="N233"/>
          <cell r="O233" t="str">
            <v>NO.</v>
          </cell>
          <cell r="P233">
            <v>5.9999999999999995E-5</v>
          </cell>
          <cell r="Q233">
            <v>1000</v>
          </cell>
        </row>
        <row r="234">
          <cell r="K234" t="str">
            <v>601.3.1.2.2.0905</v>
          </cell>
          <cell r="L234" t="str">
            <v>not started</v>
          </cell>
          <cell r="M234" t="str">
            <v>Certificate</v>
          </cell>
          <cell r="N234"/>
          <cell r="O234" t="str">
            <v>NO.</v>
          </cell>
          <cell r="P234">
            <v>2.9999999999999997E-5</v>
          </cell>
          <cell r="Q234">
            <v>1000</v>
          </cell>
        </row>
        <row r="235">
          <cell r="K235" t="str">
            <v>601.3.1.2.2.1001</v>
          </cell>
          <cell r="L235" t="str">
            <v>not started</v>
          </cell>
          <cell r="M235" t="str">
            <v>Material Handling</v>
          </cell>
          <cell r="N235"/>
          <cell r="O235" t="str">
            <v>NO.</v>
          </cell>
          <cell r="P235">
            <v>1E-4</v>
          </cell>
          <cell r="Q235">
            <v>1</v>
          </cell>
        </row>
        <row r="236">
          <cell r="K236" t="str">
            <v>601.3.1.2.2.1002</v>
          </cell>
          <cell r="L236" t="str">
            <v>not started</v>
          </cell>
          <cell r="M236" t="str">
            <v>Installation</v>
          </cell>
          <cell r="N236"/>
          <cell r="O236" t="str">
            <v>NO.</v>
          </cell>
          <cell r="P236">
            <v>6.0000000000000006E-4</v>
          </cell>
          <cell r="Q236">
            <v>1</v>
          </cell>
        </row>
        <row r="237">
          <cell r="K237" t="str">
            <v>601.3.1.2.2.1003</v>
          </cell>
          <cell r="L237" t="str">
            <v>not started</v>
          </cell>
          <cell r="M237" t="str">
            <v>Fixing &amp; tightening</v>
          </cell>
          <cell r="N237"/>
          <cell r="O237" t="str">
            <v>NO.</v>
          </cell>
          <cell r="P237">
            <v>1.5000000000000001E-4</v>
          </cell>
          <cell r="Q237">
            <v>1</v>
          </cell>
        </row>
        <row r="238">
          <cell r="K238" t="str">
            <v>601.3.1.2.2.1004</v>
          </cell>
          <cell r="L238" t="str">
            <v>not started</v>
          </cell>
          <cell r="M238" t="str">
            <v>Setting &amp; Alignment</v>
          </cell>
          <cell r="N238"/>
          <cell r="O238" t="str">
            <v>NO.</v>
          </cell>
          <cell r="P238">
            <v>1E-4</v>
          </cell>
          <cell r="Q238">
            <v>1</v>
          </cell>
        </row>
        <row r="239">
          <cell r="K239" t="str">
            <v>601.3.1.2.2.1005</v>
          </cell>
          <cell r="L239" t="str">
            <v>not started</v>
          </cell>
          <cell r="M239" t="str">
            <v>Certificate</v>
          </cell>
          <cell r="N239"/>
          <cell r="O239" t="str">
            <v>NO.</v>
          </cell>
          <cell r="P239">
            <v>5.0000000000000002E-5</v>
          </cell>
          <cell r="Q239">
            <v>1</v>
          </cell>
        </row>
        <row r="240">
          <cell r="K240" t="str">
            <v>601.3.1.2.2.1101</v>
          </cell>
          <cell r="L240" t="str">
            <v>not started</v>
          </cell>
          <cell r="M240" t="str">
            <v>Material Handling</v>
          </cell>
          <cell r="N240"/>
          <cell r="O240" t="str">
            <v>NO.</v>
          </cell>
          <cell r="P240">
            <v>8.0000000000000007E-5</v>
          </cell>
          <cell r="Q240">
            <v>1789.2</v>
          </cell>
        </row>
        <row r="241">
          <cell r="K241" t="str">
            <v>601.3.1.2.2.1102</v>
          </cell>
          <cell r="L241" t="str">
            <v>not started</v>
          </cell>
          <cell r="M241" t="str">
            <v>Installation</v>
          </cell>
          <cell r="N241"/>
          <cell r="O241" t="str">
            <v>NO.</v>
          </cell>
          <cell r="P241">
            <v>4.8000000000000001E-4</v>
          </cell>
          <cell r="Q241">
            <v>1789.2</v>
          </cell>
        </row>
        <row r="242">
          <cell r="K242" t="str">
            <v>601.3.1.2.2.1103</v>
          </cell>
          <cell r="L242" t="str">
            <v>not started</v>
          </cell>
          <cell r="M242" t="str">
            <v>Fixing &amp; tightening</v>
          </cell>
          <cell r="N242"/>
          <cell r="O242" t="str">
            <v>NO.</v>
          </cell>
          <cell r="P242">
            <v>1.2E-4</v>
          </cell>
          <cell r="Q242">
            <v>1789.2</v>
          </cell>
        </row>
        <row r="243">
          <cell r="K243" t="str">
            <v>601.3.1.2.2.1104</v>
          </cell>
          <cell r="L243" t="str">
            <v>not started</v>
          </cell>
          <cell r="M243" t="str">
            <v>Setting &amp; Alignment</v>
          </cell>
          <cell r="N243"/>
          <cell r="O243" t="str">
            <v>NO.</v>
          </cell>
          <cell r="P243">
            <v>8.0000000000000007E-5</v>
          </cell>
          <cell r="Q243">
            <v>1789.2</v>
          </cell>
        </row>
        <row r="244">
          <cell r="K244" t="str">
            <v>601.3.1.2.2.1105</v>
          </cell>
          <cell r="L244" t="str">
            <v>not started</v>
          </cell>
          <cell r="M244" t="str">
            <v>Certificate</v>
          </cell>
          <cell r="N244"/>
          <cell r="O244" t="str">
            <v>NO.</v>
          </cell>
          <cell r="P244">
            <v>4.0000000000000003E-5</v>
          </cell>
          <cell r="Q244">
            <v>1789.2</v>
          </cell>
        </row>
        <row r="245">
          <cell r="K245" t="str">
            <v>601.3.1.2.2.1201</v>
          </cell>
          <cell r="L245" t="str">
            <v>not started</v>
          </cell>
          <cell r="M245" t="str">
            <v>Material Handling</v>
          </cell>
          <cell r="N245"/>
          <cell r="O245" t="str">
            <v>NO.</v>
          </cell>
          <cell r="P245">
            <v>1.5000000000000001E-4</v>
          </cell>
          <cell r="Q245">
            <v>13550</v>
          </cell>
        </row>
        <row r="246">
          <cell r="K246" t="str">
            <v>601.3.1.2.2.1202</v>
          </cell>
          <cell r="L246" t="str">
            <v>not started</v>
          </cell>
          <cell r="M246" t="str">
            <v>Installation</v>
          </cell>
          <cell r="N246"/>
          <cell r="O246" t="str">
            <v>NO.</v>
          </cell>
          <cell r="P246">
            <v>8.9999999999999998E-4</v>
          </cell>
          <cell r="Q246">
            <v>13550</v>
          </cell>
        </row>
        <row r="247">
          <cell r="K247" t="str">
            <v>601.3.1.2.2.1203</v>
          </cell>
          <cell r="L247" t="str">
            <v>not started</v>
          </cell>
          <cell r="M247" t="str">
            <v>Fixing &amp; tightening</v>
          </cell>
          <cell r="N247"/>
          <cell r="O247" t="str">
            <v>NO.</v>
          </cell>
          <cell r="P247">
            <v>2.2499999999999999E-4</v>
          </cell>
          <cell r="Q247">
            <v>13550</v>
          </cell>
        </row>
        <row r="248">
          <cell r="K248" t="str">
            <v>601.3.1.2.2.1204</v>
          </cell>
          <cell r="L248" t="str">
            <v>not started</v>
          </cell>
          <cell r="M248" t="str">
            <v>Setting &amp; Alignment</v>
          </cell>
          <cell r="N248"/>
          <cell r="O248" t="str">
            <v>NO.</v>
          </cell>
          <cell r="P248">
            <v>1.5000000000000001E-4</v>
          </cell>
          <cell r="Q248">
            <v>13550</v>
          </cell>
        </row>
        <row r="249">
          <cell r="K249" t="str">
            <v>601.3.1.2.2.1205</v>
          </cell>
          <cell r="L249" t="str">
            <v>not started</v>
          </cell>
          <cell r="M249" t="str">
            <v>Certificate</v>
          </cell>
          <cell r="N249"/>
          <cell r="O249" t="str">
            <v>NO.</v>
          </cell>
          <cell r="P249">
            <v>7.5000000000000007E-5</v>
          </cell>
          <cell r="Q249">
            <v>13550</v>
          </cell>
        </row>
        <row r="250">
          <cell r="K250" t="str">
            <v>601.3.1.2.2.1301</v>
          </cell>
          <cell r="L250" t="str">
            <v>not started</v>
          </cell>
          <cell r="M250" t="str">
            <v>Material Handling</v>
          </cell>
          <cell r="N250"/>
          <cell r="O250" t="str">
            <v>NO.</v>
          </cell>
          <cell r="P250">
            <v>8.0000000000000007E-5</v>
          </cell>
          <cell r="Q250">
            <v>1840</v>
          </cell>
        </row>
        <row r="251">
          <cell r="K251" t="str">
            <v>601.3.1.2.2.1302</v>
          </cell>
          <cell r="L251" t="str">
            <v>not started</v>
          </cell>
          <cell r="M251" t="str">
            <v>Installation</v>
          </cell>
          <cell r="N251"/>
          <cell r="O251" t="str">
            <v>NO.</v>
          </cell>
          <cell r="P251">
            <v>4.8000000000000001E-4</v>
          </cell>
          <cell r="Q251">
            <v>1840</v>
          </cell>
        </row>
        <row r="252">
          <cell r="K252" t="str">
            <v>601.3.1.2.2.1303</v>
          </cell>
          <cell r="L252" t="str">
            <v>not started</v>
          </cell>
          <cell r="M252" t="str">
            <v>Fixing &amp; tightening</v>
          </cell>
          <cell r="N252"/>
          <cell r="O252" t="str">
            <v>NO.</v>
          </cell>
          <cell r="P252">
            <v>1.2E-4</v>
          </cell>
          <cell r="Q252">
            <v>1840</v>
          </cell>
        </row>
        <row r="253">
          <cell r="K253" t="str">
            <v>601.3.1.2.2.1304</v>
          </cell>
          <cell r="L253" t="str">
            <v>not started</v>
          </cell>
          <cell r="M253" t="str">
            <v>Setting &amp; Alignment</v>
          </cell>
          <cell r="N253"/>
          <cell r="O253" t="str">
            <v>NO.</v>
          </cell>
          <cell r="P253">
            <v>8.0000000000000007E-5</v>
          </cell>
          <cell r="Q253">
            <v>1840</v>
          </cell>
        </row>
        <row r="254">
          <cell r="K254" t="str">
            <v>601.3.1.2.2.1305</v>
          </cell>
          <cell r="L254" t="str">
            <v>not started</v>
          </cell>
          <cell r="M254" t="str">
            <v>Certificate</v>
          </cell>
          <cell r="N254"/>
          <cell r="O254" t="str">
            <v>NO.</v>
          </cell>
          <cell r="P254">
            <v>4.0000000000000003E-5</v>
          </cell>
          <cell r="Q254">
            <v>1840</v>
          </cell>
        </row>
        <row r="255">
          <cell r="K255" t="str">
            <v>601.3.1.2.3.0101</v>
          </cell>
          <cell r="L255" t="str">
            <v>complete</v>
          </cell>
          <cell r="M255" t="str">
            <v>Material Handling</v>
          </cell>
          <cell r="N255">
            <v>5068</v>
          </cell>
          <cell r="O255" t="str">
            <v>KG</v>
          </cell>
          <cell r="P255">
            <v>4.0000000000000002E-4</v>
          </cell>
          <cell r="Q255">
            <v>5068</v>
          </cell>
        </row>
        <row r="256">
          <cell r="K256" t="str">
            <v>601.3.1.2.3.0102</v>
          </cell>
          <cell r="L256" t="str">
            <v>inprogrss</v>
          </cell>
          <cell r="M256" t="str">
            <v>Erection</v>
          </cell>
          <cell r="N256">
            <v>5068</v>
          </cell>
          <cell r="O256" t="str">
            <v>KG</v>
          </cell>
          <cell r="P256">
            <v>4.4000000000000003E-3</v>
          </cell>
          <cell r="Q256">
            <v>5068</v>
          </cell>
        </row>
        <row r="257">
          <cell r="K257" t="str">
            <v>601.3.1.2.3.0103</v>
          </cell>
          <cell r="L257" t="str">
            <v>not started</v>
          </cell>
          <cell r="M257" t="str">
            <v>Fixing &amp; tightening</v>
          </cell>
          <cell r="N257">
            <v>1142</v>
          </cell>
          <cell r="O257" t="str">
            <v>KG</v>
          </cell>
          <cell r="P257">
            <v>2E-3</v>
          </cell>
          <cell r="Q257">
            <v>5068</v>
          </cell>
        </row>
        <row r="258">
          <cell r="K258" t="str">
            <v>601.3.1.2.3.0104</v>
          </cell>
          <cell r="L258" t="str">
            <v>not started</v>
          </cell>
          <cell r="M258" t="str">
            <v>Punch Removing</v>
          </cell>
          <cell r="N258"/>
          <cell r="O258" t="str">
            <v>KG</v>
          </cell>
          <cell r="P258">
            <v>8.0000000000000004E-4</v>
          </cell>
          <cell r="Q258">
            <v>5068</v>
          </cell>
        </row>
        <row r="259">
          <cell r="K259" t="str">
            <v>601.3.1.2.3.0105</v>
          </cell>
          <cell r="L259" t="str">
            <v>not started</v>
          </cell>
          <cell r="M259" t="str">
            <v>Certificate</v>
          </cell>
          <cell r="N259"/>
          <cell r="O259" t="str">
            <v>KG</v>
          </cell>
          <cell r="P259">
            <v>4.0000000000000002E-4</v>
          </cell>
          <cell r="Q259">
            <v>5068</v>
          </cell>
        </row>
        <row r="260">
          <cell r="K260" t="str">
            <v>601.3.1.3.1.0101</v>
          </cell>
          <cell r="L260" t="str">
            <v>not started</v>
          </cell>
          <cell r="M260" t="str">
            <v>Material Handling</v>
          </cell>
          <cell r="N260"/>
          <cell r="O260" t="str">
            <v>NO.</v>
          </cell>
          <cell r="P260">
            <v>4.5000000000000004E-4</v>
          </cell>
          <cell r="Q260">
            <v>10128.6</v>
          </cell>
        </row>
        <row r="261">
          <cell r="K261" t="str">
            <v>601.3.1.3.1.0102</v>
          </cell>
          <cell r="L261" t="str">
            <v>not started</v>
          </cell>
          <cell r="M261" t="str">
            <v>Installation</v>
          </cell>
          <cell r="N261"/>
          <cell r="O261" t="str">
            <v>NO.</v>
          </cell>
          <cell r="P261">
            <v>2.7000000000000001E-3</v>
          </cell>
          <cell r="Q261">
            <v>10128.6</v>
          </cell>
        </row>
        <row r="262">
          <cell r="K262" t="str">
            <v>601.3.1.3.1.0103</v>
          </cell>
          <cell r="L262" t="str">
            <v>not started</v>
          </cell>
          <cell r="M262" t="str">
            <v>Fixing &amp; tightening</v>
          </cell>
          <cell r="N262"/>
          <cell r="O262" t="str">
            <v>NO.</v>
          </cell>
          <cell r="P262">
            <v>6.7500000000000004E-4</v>
          </cell>
          <cell r="Q262">
            <v>10128.6</v>
          </cell>
        </row>
        <row r="263">
          <cell r="K263" t="str">
            <v>601.3.1.3.1.0104</v>
          </cell>
          <cell r="L263" t="str">
            <v>not started</v>
          </cell>
          <cell r="M263" t="str">
            <v>Setting &amp; Alignment</v>
          </cell>
          <cell r="N263"/>
          <cell r="O263" t="str">
            <v>NO.</v>
          </cell>
          <cell r="P263">
            <v>4.5000000000000004E-4</v>
          </cell>
          <cell r="Q263">
            <v>10128.6</v>
          </cell>
        </row>
        <row r="264">
          <cell r="K264" t="str">
            <v>601.3.1.3.1.0105</v>
          </cell>
          <cell r="L264" t="str">
            <v>not started</v>
          </cell>
          <cell r="M264" t="str">
            <v>Certificate</v>
          </cell>
          <cell r="N264"/>
          <cell r="O264" t="str">
            <v>NO.</v>
          </cell>
          <cell r="P264">
            <v>2.2500000000000002E-4</v>
          </cell>
          <cell r="Q264">
            <v>10128.6</v>
          </cell>
        </row>
        <row r="265">
          <cell r="K265" t="str">
            <v>601.3.1.3.1.0201</v>
          </cell>
          <cell r="L265" t="str">
            <v>complete</v>
          </cell>
          <cell r="M265" t="str">
            <v>Material Handling</v>
          </cell>
          <cell r="N265">
            <v>14628.6</v>
          </cell>
          <cell r="O265" t="str">
            <v>NO.</v>
          </cell>
          <cell r="P265">
            <v>4.5000000000000004E-4</v>
          </cell>
          <cell r="Q265">
            <v>14628.6</v>
          </cell>
        </row>
        <row r="266">
          <cell r="K266" t="str">
            <v>601.3.1.3.1.0202</v>
          </cell>
          <cell r="L266" t="str">
            <v>inprogrss</v>
          </cell>
          <cell r="M266" t="str">
            <v>Installation</v>
          </cell>
          <cell r="N266">
            <v>14628.6</v>
          </cell>
          <cell r="O266" t="str">
            <v>NO.</v>
          </cell>
          <cell r="P266">
            <v>2.7000000000000001E-3</v>
          </cell>
          <cell r="Q266">
            <v>14628.6</v>
          </cell>
        </row>
        <row r="267">
          <cell r="K267" t="str">
            <v>601.3.1.3.1.0203</v>
          </cell>
          <cell r="L267" t="str">
            <v>complete</v>
          </cell>
          <cell r="M267" t="str">
            <v>Fixing &amp; tightening</v>
          </cell>
          <cell r="N267">
            <v>8670</v>
          </cell>
          <cell r="O267" t="str">
            <v>NO.</v>
          </cell>
          <cell r="P267">
            <v>6.7500000000000004E-4</v>
          </cell>
          <cell r="Q267">
            <v>14628.6</v>
          </cell>
        </row>
        <row r="268">
          <cell r="K268" t="str">
            <v>601.3.1.3.1.0204</v>
          </cell>
          <cell r="L268" t="str">
            <v>inprogrss</v>
          </cell>
          <cell r="M268" t="str">
            <v>Setting &amp; Alignment</v>
          </cell>
          <cell r="N268"/>
          <cell r="O268" t="str">
            <v>NO.</v>
          </cell>
          <cell r="P268">
            <v>4.5000000000000004E-4</v>
          </cell>
          <cell r="Q268">
            <v>14628.6</v>
          </cell>
        </row>
        <row r="269">
          <cell r="K269" t="str">
            <v>601.3.1.3.1.0205</v>
          </cell>
          <cell r="L269" t="str">
            <v>inprogrss</v>
          </cell>
          <cell r="M269" t="str">
            <v>Certificate</v>
          </cell>
          <cell r="N269"/>
          <cell r="O269" t="str">
            <v>NO.</v>
          </cell>
          <cell r="P269">
            <v>2.2500000000000002E-4</v>
          </cell>
          <cell r="Q269">
            <v>14628.6</v>
          </cell>
        </row>
        <row r="270">
          <cell r="K270" t="str">
            <v>601.3.1.3.1.0301</v>
          </cell>
          <cell r="L270" t="str">
            <v>complete</v>
          </cell>
          <cell r="M270" t="str">
            <v>Material Handling</v>
          </cell>
          <cell r="N270">
            <v>17100</v>
          </cell>
          <cell r="O270" t="str">
            <v>NO.</v>
          </cell>
          <cell r="P270">
            <v>4.8999999999999998E-4</v>
          </cell>
          <cell r="Q270">
            <v>17100</v>
          </cell>
        </row>
        <row r="271">
          <cell r="K271" t="str">
            <v>601.3.1.3.1.0302</v>
          </cell>
          <cell r="L271" t="str">
            <v>complete</v>
          </cell>
          <cell r="M271" t="str">
            <v>Installation</v>
          </cell>
          <cell r="N271">
            <v>17100</v>
          </cell>
          <cell r="O271" t="str">
            <v>NO.</v>
          </cell>
          <cell r="P271">
            <v>2.9399999999999999E-3</v>
          </cell>
          <cell r="Q271">
            <v>17100</v>
          </cell>
        </row>
        <row r="272">
          <cell r="K272" t="str">
            <v>601.3.1.3.1.0303</v>
          </cell>
          <cell r="L272" t="str">
            <v>complete</v>
          </cell>
          <cell r="M272" t="str">
            <v>Fixing &amp; tightening</v>
          </cell>
          <cell r="N272">
            <v>17100</v>
          </cell>
          <cell r="O272" t="str">
            <v>NO.</v>
          </cell>
          <cell r="P272">
            <v>7.3499999999999998E-4</v>
          </cell>
          <cell r="Q272">
            <v>17100</v>
          </cell>
        </row>
        <row r="273">
          <cell r="K273" t="str">
            <v>601.3.1.3.1.0304</v>
          </cell>
          <cell r="L273" t="str">
            <v>complete</v>
          </cell>
          <cell r="M273" t="str">
            <v>Setting &amp; Alignment</v>
          </cell>
          <cell r="N273">
            <v>17100</v>
          </cell>
          <cell r="O273" t="str">
            <v>NO.</v>
          </cell>
          <cell r="P273">
            <v>4.8999999999999998E-4</v>
          </cell>
          <cell r="Q273">
            <v>17100</v>
          </cell>
        </row>
        <row r="274">
          <cell r="K274" t="str">
            <v>601.3.1.3.1.0305</v>
          </cell>
          <cell r="L274" t="str">
            <v>complete</v>
          </cell>
          <cell r="M274" t="str">
            <v>Certificate</v>
          </cell>
          <cell r="N274">
            <v>17100</v>
          </cell>
          <cell r="O274" t="str">
            <v>NO.</v>
          </cell>
          <cell r="P274">
            <v>2.4499999999999999E-4</v>
          </cell>
          <cell r="Q274">
            <v>17100</v>
          </cell>
        </row>
        <row r="275">
          <cell r="K275" t="str">
            <v>601.3.1.3.1.0401</v>
          </cell>
          <cell r="L275" t="str">
            <v>complete</v>
          </cell>
          <cell r="M275" t="str">
            <v>Material Handling</v>
          </cell>
          <cell r="N275">
            <v>17100</v>
          </cell>
          <cell r="O275" t="str">
            <v>NO.</v>
          </cell>
          <cell r="P275">
            <v>4.8999999999999998E-4</v>
          </cell>
          <cell r="Q275">
            <v>17100</v>
          </cell>
        </row>
        <row r="276">
          <cell r="K276" t="str">
            <v>601.3.1.3.1.0402</v>
          </cell>
          <cell r="L276" t="str">
            <v>complete</v>
          </cell>
          <cell r="M276" t="str">
            <v>Installation</v>
          </cell>
          <cell r="N276">
            <v>17100</v>
          </cell>
          <cell r="O276" t="str">
            <v>NO.</v>
          </cell>
          <cell r="P276">
            <v>2.9399999999999999E-3</v>
          </cell>
          <cell r="Q276">
            <v>17100</v>
          </cell>
        </row>
        <row r="277">
          <cell r="K277" t="str">
            <v>601.3.1.3.1.0403</v>
          </cell>
          <cell r="L277" t="str">
            <v>complete</v>
          </cell>
          <cell r="M277" t="str">
            <v>Fixing &amp; tightening</v>
          </cell>
          <cell r="N277">
            <v>17100</v>
          </cell>
          <cell r="O277" t="str">
            <v>NO.</v>
          </cell>
          <cell r="P277">
            <v>7.3499999999999998E-4</v>
          </cell>
          <cell r="Q277">
            <v>17100</v>
          </cell>
        </row>
        <row r="278">
          <cell r="K278" t="str">
            <v>601.3.1.3.1.0404</v>
          </cell>
          <cell r="L278" t="str">
            <v>complete</v>
          </cell>
          <cell r="M278" t="str">
            <v>Setting &amp; Alignment</v>
          </cell>
          <cell r="N278">
            <v>17100</v>
          </cell>
          <cell r="O278" t="str">
            <v>NO.</v>
          </cell>
          <cell r="P278">
            <v>4.8999999999999998E-4</v>
          </cell>
          <cell r="Q278">
            <v>17100</v>
          </cell>
        </row>
        <row r="279">
          <cell r="K279" t="str">
            <v>601.3.1.3.1.0405</v>
          </cell>
          <cell r="L279" t="str">
            <v>complete</v>
          </cell>
          <cell r="M279" t="str">
            <v>Certificate</v>
          </cell>
          <cell r="N279">
            <v>17100</v>
          </cell>
          <cell r="O279" t="str">
            <v>NO.</v>
          </cell>
          <cell r="P279">
            <v>2.4499999999999999E-4</v>
          </cell>
          <cell r="Q279">
            <v>17100</v>
          </cell>
        </row>
        <row r="280">
          <cell r="K280" t="str">
            <v>601.3.1.3.1.0501</v>
          </cell>
          <cell r="L280" t="str">
            <v>complete</v>
          </cell>
          <cell r="M280" t="str">
            <v>Material Handling</v>
          </cell>
          <cell r="N280">
            <v>17100</v>
          </cell>
          <cell r="O280" t="str">
            <v>NO.</v>
          </cell>
          <cell r="P280">
            <v>4.8999999999999998E-4</v>
          </cell>
          <cell r="Q280">
            <v>17100</v>
          </cell>
        </row>
        <row r="281">
          <cell r="K281" t="str">
            <v>601.3.1.3.1.0502</v>
          </cell>
          <cell r="L281" t="str">
            <v>complete</v>
          </cell>
          <cell r="M281" t="str">
            <v>Installation</v>
          </cell>
          <cell r="N281">
            <v>17100</v>
          </cell>
          <cell r="O281" t="str">
            <v>NO.</v>
          </cell>
          <cell r="P281">
            <v>2.9399999999999999E-3</v>
          </cell>
          <cell r="Q281">
            <v>17100</v>
          </cell>
        </row>
        <row r="282">
          <cell r="K282" t="str">
            <v>601.3.1.3.1.0503</v>
          </cell>
          <cell r="L282" t="str">
            <v>complete</v>
          </cell>
          <cell r="M282" t="str">
            <v>Fixing &amp; tightening</v>
          </cell>
          <cell r="N282">
            <v>17100</v>
          </cell>
          <cell r="O282" t="str">
            <v>NO.</v>
          </cell>
          <cell r="P282">
            <v>7.3499999999999998E-4</v>
          </cell>
          <cell r="Q282">
            <v>17100</v>
          </cell>
        </row>
        <row r="283">
          <cell r="K283" t="str">
            <v>601.3.1.3.1.0504</v>
          </cell>
          <cell r="L283" t="str">
            <v>complete</v>
          </cell>
          <cell r="M283" t="str">
            <v>Setting &amp; Alignment</v>
          </cell>
          <cell r="N283">
            <v>17100</v>
          </cell>
          <cell r="O283" t="str">
            <v>NO.</v>
          </cell>
          <cell r="P283">
            <v>4.8999999999999998E-4</v>
          </cell>
          <cell r="Q283">
            <v>17100</v>
          </cell>
        </row>
        <row r="284">
          <cell r="K284" t="str">
            <v>601.3.1.3.1.0505</v>
          </cell>
          <cell r="L284" t="str">
            <v>complete</v>
          </cell>
          <cell r="M284" t="str">
            <v>Certificate</v>
          </cell>
          <cell r="N284">
            <v>17100</v>
          </cell>
          <cell r="O284" t="str">
            <v>NO.</v>
          </cell>
          <cell r="P284">
            <v>2.4499999999999999E-4</v>
          </cell>
          <cell r="Q284">
            <v>17100</v>
          </cell>
        </row>
        <row r="285">
          <cell r="K285" t="str">
            <v>601.3.1.3.1.0601</v>
          </cell>
          <cell r="L285" t="str">
            <v>complete</v>
          </cell>
          <cell r="M285" t="str">
            <v>Material Handling</v>
          </cell>
          <cell r="N285">
            <v>35200</v>
          </cell>
          <cell r="O285" t="str">
            <v>NO.</v>
          </cell>
          <cell r="P285">
            <v>6.0000000000000006E-4</v>
          </cell>
          <cell r="Q285">
            <v>35200</v>
          </cell>
        </row>
        <row r="286">
          <cell r="K286" t="str">
            <v>601.3.1.3.1.0602</v>
          </cell>
          <cell r="L286" t="str">
            <v>complete</v>
          </cell>
          <cell r="M286" t="str">
            <v>Installation</v>
          </cell>
          <cell r="N286">
            <v>35200</v>
          </cell>
          <cell r="O286" t="str">
            <v>NO.</v>
          </cell>
          <cell r="P286">
            <v>3.5999999999999999E-3</v>
          </cell>
          <cell r="Q286">
            <v>35200</v>
          </cell>
        </row>
        <row r="287">
          <cell r="K287" t="str">
            <v>601.3.1.3.1.0603</v>
          </cell>
          <cell r="L287" t="str">
            <v>complete</v>
          </cell>
          <cell r="M287" t="str">
            <v>Fixing &amp; tightening</v>
          </cell>
          <cell r="N287">
            <v>35200</v>
          </cell>
          <cell r="O287" t="str">
            <v>NO.</v>
          </cell>
          <cell r="P287">
            <v>8.9999999999999998E-4</v>
          </cell>
          <cell r="Q287">
            <v>35200</v>
          </cell>
        </row>
        <row r="288">
          <cell r="K288" t="str">
            <v>601.3.1.3.1.0604</v>
          </cell>
          <cell r="L288" t="str">
            <v>complete</v>
          </cell>
          <cell r="M288" t="str">
            <v>Setting &amp; Alignment</v>
          </cell>
          <cell r="N288">
            <v>35200</v>
          </cell>
          <cell r="O288" t="str">
            <v>NO.</v>
          </cell>
          <cell r="P288">
            <v>6.0000000000000006E-4</v>
          </cell>
          <cell r="Q288">
            <v>35200</v>
          </cell>
        </row>
        <row r="289">
          <cell r="K289" t="str">
            <v>601.3.1.3.1.0605</v>
          </cell>
          <cell r="L289" t="str">
            <v>complete</v>
          </cell>
          <cell r="M289" t="str">
            <v>Certificate</v>
          </cell>
          <cell r="N289">
            <v>35200</v>
          </cell>
          <cell r="O289" t="str">
            <v>NO.</v>
          </cell>
          <cell r="P289">
            <v>3.0000000000000003E-4</v>
          </cell>
          <cell r="Q289">
            <v>35200</v>
          </cell>
        </row>
        <row r="290">
          <cell r="K290" t="str">
            <v>601.3.1.3.1.0701</v>
          </cell>
          <cell r="L290" t="str">
            <v>complete</v>
          </cell>
          <cell r="M290" t="str">
            <v>Material Handling</v>
          </cell>
          <cell r="N290">
            <v>50030</v>
          </cell>
          <cell r="O290" t="str">
            <v>NO.</v>
          </cell>
          <cell r="P290">
            <v>8.0000000000000004E-4</v>
          </cell>
          <cell r="Q290">
            <v>50030</v>
          </cell>
        </row>
        <row r="291">
          <cell r="K291" t="str">
            <v>601.3.1.3.1.0702</v>
          </cell>
          <cell r="L291" t="str">
            <v>complete</v>
          </cell>
          <cell r="M291" t="str">
            <v>Installation</v>
          </cell>
          <cell r="N291">
            <v>50030</v>
          </cell>
          <cell r="O291" t="str">
            <v>NO.</v>
          </cell>
          <cell r="P291">
            <v>4.8000000000000004E-3</v>
          </cell>
          <cell r="Q291">
            <v>50030</v>
          </cell>
        </row>
        <row r="292">
          <cell r="K292" t="str">
            <v>601.3.1.3.1.0703</v>
          </cell>
          <cell r="L292" t="str">
            <v>complete</v>
          </cell>
          <cell r="M292" t="str">
            <v>Fixing &amp; tightening</v>
          </cell>
          <cell r="N292">
            <v>50030</v>
          </cell>
          <cell r="O292" t="str">
            <v>NO.</v>
          </cell>
          <cell r="P292">
            <v>1.2000000000000001E-3</v>
          </cell>
          <cell r="Q292">
            <v>50030</v>
          </cell>
        </row>
        <row r="293">
          <cell r="K293" t="str">
            <v>601.3.1.3.1.0704</v>
          </cell>
          <cell r="L293" t="str">
            <v>complete</v>
          </cell>
          <cell r="M293" t="str">
            <v>Setting &amp; Alignment</v>
          </cell>
          <cell r="N293">
            <v>50030</v>
          </cell>
          <cell r="O293" t="str">
            <v>NO.</v>
          </cell>
          <cell r="P293">
            <v>8.0000000000000004E-4</v>
          </cell>
          <cell r="Q293">
            <v>50030</v>
          </cell>
        </row>
        <row r="294">
          <cell r="K294" t="str">
            <v>601.3.1.3.1.0705</v>
          </cell>
          <cell r="L294" t="str">
            <v>complete</v>
          </cell>
          <cell r="M294" t="str">
            <v>Certificate</v>
          </cell>
          <cell r="N294">
            <v>50030</v>
          </cell>
          <cell r="O294" t="str">
            <v>NO.</v>
          </cell>
          <cell r="P294">
            <v>4.0000000000000002E-4</v>
          </cell>
          <cell r="Q294">
            <v>50030</v>
          </cell>
        </row>
        <row r="295">
          <cell r="K295" t="str">
            <v>601.3.1.3.1.0801</v>
          </cell>
          <cell r="L295" t="str">
            <v>not started</v>
          </cell>
          <cell r="M295" t="str">
            <v>Material Handling</v>
          </cell>
          <cell r="N295"/>
          <cell r="O295" t="str">
            <v>NO.</v>
          </cell>
          <cell r="P295">
            <v>2.8000000000000003E-4</v>
          </cell>
          <cell r="Q295">
            <v>10700</v>
          </cell>
        </row>
        <row r="296">
          <cell r="K296" t="str">
            <v>601.3.1.3.1.0802</v>
          </cell>
          <cell r="L296" t="str">
            <v>not started</v>
          </cell>
          <cell r="M296" t="str">
            <v>Installation</v>
          </cell>
          <cell r="N296"/>
          <cell r="O296" t="str">
            <v>NO.</v>
          </cell>
          <cell r="P296">
            <v>1.6800000000000003E-3</v>
          </cell>
          <cell r="Q296">
            <v>10700</v>
          </cell>
        </row>
        <row r="297">
          <cell r="K297" t="str">
            <v>601.3.1.3.1.0803</v>
          </cell>
          <cell r="L297" t="str">
            <v>not started</v>
          </cell>
          <cell r="M297" t="str">
            <v>Fixing &amp; tightening</v>
          </cell>
          <cell r="N297"/>
          <cell r="O297" t="str">
            <v>NO.</v>
          </cell>
          <cell r="P297">
            <v>4.2000000000000007E-4</v>
          </cell>
          <cell r="Q297">
            <v>10700</v>
          </cell>
        </row>
        <row r="298">
          <cell r="K298" t="str">
            <v>601.3.1.3.1.0804</v>
          </cell>
          <cell r="L298" t="str">
            <v>not started</v>
          </cell>
          <cell r="M298" t="str">
            <v>Setting &amp; Alignment</v>
          </cell>
          <cell r="N298"/>
          <cell r="O298" t="str">
            <v>NO.</v>
          </cell>
          <cell r="P298">
            <v>2.8000000000000003E-4</v>
          </cell>
          <cell r="Q298">
            <v>10700</v>
          </cell>
        </row>
        <row r="299">
          <cell r="K299" t="str">
            <v>601.3.1.3.1.0805</v>
          </cell>
          <cell r="L299" t="str">
            <v>not started</v>
          </cell>
          <cell r="M299" t="str">
            <v>Certificate</v>
          </cell>
          <cell r="N299"/>
          <cell r="O299" t="str">
            <v>NO.</v>
          </cell>
          <cell r="P299">
            <v>1.4000000000000001E-4</v>
          </cell>
          <cell r="Q299">
            <v>10700</v>
          </cell>
        </row>
        <row r="300">
          <cell r="K300" t="str">
            <v>601.3.1.3.1.0901</v>
          </cell>
          <cell r="L300" t="str">
            <v>not started</v>
          </cell>
          <cell r="M300" t="str">
            <v>Material Handling</v>
          </cell>
          <cell r="N300"/>
          <cell r="O300" t="str">
            <v>NO.</v>
          </cell>
          <cell r="P300">
            <v>6.0000000000000006E-4</v>
          </cell>
          <cell r="Q300">
            <v>36000</v>
          </cell>
        </row>
        <row r="301">
          <cell r="K301" t="str">
            <v>601.3.1.3.1.0902</v>
          </cell>
          <cell r="L301" t="str">
            <v>not started</v>
          </cell>
          <cell r="M301" t="str">
            <v>Installation</v>
          </cell>
          <cell r="N301"/>
          <cell r="O301" t="str">
            <v>NO.</v>
          </cell>
          <cell r="P301">
            <v>3.5999999999999999E-3</v>
          </cell>
          <cell r="Q301">
            <v>36000</v>
          </cell>
        </row>
        <row r="302">
          <cell r="K302" t="str">
            <v>601.3.1.3.1.0903</v>
          </cell>
          <cell r="L302" t="str">
            <v>not started</v>
          </cell>
          <cell r="M302" t="str">
            <v>Fixing &amp; tightening</v>
          </cell>
          <cell r="N302"/>
          <cell r="O302" t="str">
            <v>NO.</v>
          </cell>
          <cell r="P302">
            <v>8.9999999999999998E-4</v>
          </cell>
          <cell r="Q302">
            <v>36000</v>
          </cell>
        </row>
        <row r="303">
          <cell r="K303" t="str">
            <v>601.3.1.3.1.0904</v>
          </cell>
          <cell r="L303" t="str">
            <v>not started</v>
          </cell>
          <cell r="M303" t="str">
            <v>Setting &amp; Alignment</v>
          </cell>
          <cell r="N303"/>
          <cell r="O303" t="str">
            <v>NO.</v>
          </cell>
          <cell r="P303">
            <v>6.0000000000000006E-4</v>
          </cell>
          <cell r="Q303">
            <v>36000</v>
          </cell>
        </row>
        <row r="304">
          <cell r="K304" t="str">
            <v>601.3.1.3.1.0905</v>
          </cell>
          <cell r="L304" t="str">
            <v>not started</v>
          </cell>
          <cell r="M304" t="str">
            <v>Certificate</v>
          </cell>
          <cell r="N304"/>
          <cell r="O304" t="str">
            <v>NO.</v>
          </cell>
          <cell r="P304">
            <v>3.0000000000000003E-4</v>
          </cell>
          <cell r="Q304">
            <v>36000</v>
          </cell>
        </row>
        <row r="305">
          <cell r="K305" t="str">
            <v>601.3.1.3.1.1001</v>
          </cell>
          <cell r="L305" t="str">
            <v>not started</v>
          </cell>
          <cell r="M305" t="str">
            <v>Material Handling</v>
          </cell>
          <cell r="N305"/>
          <cell r="O305" t="str">
            <v>NO.</v>
          </cell>
          <cell r="P305">
            <v>2.0000000000000001E-4</v>
          </cell>
          <cell r="Q305">
            <v>1900</v>
          </cell>
        </row>
        <row r="306">
          <cell r="K306" t="str">
            <v>601.3.1.3.1.1002</v>
          </cell>
          <cell r="L306" t="str">
            <v>not started</v>
          </cell>
          <cell r="M306" t="str">
            <v>Installation</v>
          </cell>
          <cell r="N306"/>
          <cell r="O306" t="str">
            <v>NO.</v>
          </cell>
          <cell r="P306">
            <v>1.2000000000000001E-3</v>
          </cell>
          <cell r="Q306">
            <v>1900</v>
          </cell>
        </row>
        <row r="307">
          <cell r="K307" t="str">
            <v>601.3.1.3.1.1003</v>
          </cell>
          <cell r="L307" t="str">
            <v>not started</v>
          </cell>
          <cell r="M307" t="str">
            <v>Fixing &amp; tightening</v>
          </cell>
          <cell r="N307"/>
          <cell r="O307" t="str">
            <v>NO.</v>
          </cell>
          <cell r="P307">
            <v>3.0000000000000003E-4</v>
          </cell>
          <cell r="Q307">
            <v>1900</v>
          </cell>
        </row>
        <row r="308">
          <cell r="K308" t="str">
            <v>601.3.1.3.1.1004</v>
          </cell>
          <cell r="L308" t="str">
            <v>not started</v>
          </cell>
          <cell r="M308" t="str">
            <v>Setting &amp; Alignment</v>
          </cell>
          <cell r="N308"/>
          <cell r="O308" t="str">
            <v>NO.</v>
          </cell>
          <cell r="P308">
            <v>2.0000000000000001E-4</v>
          </cell>
          <cell r="Q308">
            <v>1900</v>
          </cell>
        </row>
        <row r="309">
          <cell r="K309" t="str">
            <v>601.3.1.3.1.1005</v>
          </cell>
          <cell r="L309" t="str">
            <v>not started</v>
          </cell>
          <cell r="M309" t="str">
            <v>Certificate</v>
          </cell>
          <cell r="N309"/>
          <cell r="O309" t="str">
            <v>NO.</v>
          </cell>
          <cell r="P309">
            <v>1E-4</v>
          </cell>
          <cell r="Q309">
            <v>1900</v>
          </cell>
        </row>
        <row r="310">
          <cell r="K310" t="str">
            <v>601.3.1.3.1.1101</v>
          </cell>
          <cell r="L310" t="str">
            <v>not started</v>
          </cell>
          <cell r="M310" t="str">
            <v>Material Handling</v>
          </cell>
          <cell r="N310"/>
          <cell r="O310" t="str">
            <v>NO.</v>
          </cell>
          <cell r="P310">
            <v>2.5000000000000001E-4</v>
          </cell>
          <cell r="Q310">
            <v>6000</v>
          </cell>
        </row>
        <row r="311">
          <cell r="K311" t="str">
            <v>601.3.1.3.1.1102</v>
          </cell>
          <cell r="L311" t="str">
            <v>not started</v>
          </cell>
          <cell r="M311" t="str">
            <v>Installation</v>
          </cell>
          <cell r="N311"/>
          <cell r="O311" t="str">
            <v>NO.</v>
          </cell>
          <cell r="P311">
            <v>1.5E-3</v>
          </cell>
          <cell r="Q311">
            <v>6000</v>
          </cell>
        </row>
        <row r="312">
          <cell r="K312" t="str">
            <v>601.3.1.3.1.1103</v>
          </cell>
          <cell r="L312" t="str">
            <v>not started</v>
          </cell>
          <cell r="M312" t="str">
            <v>Fixing &amp; tightening</v>
          </cell>
          <cell r="N312"/>
          <cell r="O312" t="str">
            <v>NO.</v>
          </cell>
          <cell r="P312">
            <v>3.7500000000000001E-4</v>
          </cell>
          <cell r="Q312">
            <v>6000</v>
          </cell>
        </row>
        <row r="313">
          <cell r="K313" t="str">
            <v>601.3.1.3.1.1104</v>
          </cell>
          <cell r="L313" t="str">
            <v>not started</v>
          </cell>
          <cell r="M313" t="str">
            <v>Setting &amp; Alignment</v>
          </cell>
          <cell r="N313"/>
          <cell r="O313" t="str">
            <v>NO.</v>
          </cell>
          <cell r="P313">
            <v>2.5000000000000001E-4</v>
          </cell>
          <cell r="Q313">
            <v>6000</v>
          </cell>
        </row>
        <row r="314">
          <cell r="K314" t="str">
            <v>601.3.1.3.1.1105</v>
          </cell>
          <cell r="L314" t="str">
            <v>not started</v>
          </cell>
          <cell r="M314" t="str">
            <v>Certificate</v>
          </cell>
          <cell r="N314"/>
          <cell r="O314" t="str">
            <v>NO.</v>
          </cell>
          <cell r="P314">
            <v>1.25E-4</v>
          </cell>
          <cell r="Q314">
            <v>6000</v>
          </cell>
        </row>
        <row r="315">
          <cell r="K315" t="str">
            <v>601.3.1.3.1.1201</v>
          </cell>
          <cell r="L315" t="str">
            <v>not started</v>
          </cell>
          <cell r="M315" t="str">
            <v>Material Handling</v>
          </cell>
          <cell r="N315"/>
          <cell r="O315" t="str">
            <v>NO.</v>
          </cell>
          <cell r="P315">
            <v>4.0000000000000002E-4</v>
          </cell>
          <cell r="Q315">
            <v>14277</v>
          </cell>
        </row>
        <row r="316">
          <cell r="K316" t="str">
            <v>601.3.1.3.1.1202</v>
          </cell>
          <cell r="L316" t="str">
            <v>not started</v>
          </cell>
          <cell r="M316" t="str">
            <v>Installation</v>
          </cell>
          <cell r="N316"/>
          <cell r="O316" t="str">
            <v>NO.</v>
          </cell>
          <cell r="P316">
            <v>2.4000000000000002E-3</v>
          </cell>
          <cell r="Q316">
            <v>14277</v>
          </cell>
        </row>
        <row r="317">
          <cell r="K317" t="str">
            <v>601.3.1.3.1.1203</v>
          </cell>
          <cell r="L317" t="str">
            <v>not started</v>
          </cell>
          <cell r="M317" t="str">
            <v>Fixing &amp; tightening</v>
          </cell>
          <cell r="N317"/>
          <cell r="O317" t="str">
            <v>NO.</v>
          </cell>
          <cell r="P317">
            <v>6.0000000000000006E-4</v>
          </cell>
          <cell r="Q317">
            <v>14277</v>
          </cell>
        </row>
        <row r="318">
          <cell r="K318" t="str">
            <v>601.3.1.3.1.1204</v>
          </cell>
          <cell r="L318" t="str">
            <v>not started</v>
          </cell>
          <cell r="M318" t="str">
            <v>Setting &amp; Alignment</v>
          </cell>
          <cell r="N318"/>
          <cell r="O318" t="str">
            <v>NO.</v>
          </cell>
          <cell r="P318">
            <v>4.0000000000000002E-4</v>
          </cell>
          <cell r="Q318">
            <v>14277</v>
          </cell>
        </row>
        <row r="319">
          <cell r="K319" t="str">
            <v>601.3.1.3.1.1205</v>
          </cell>
          <cell r="L319" t="str">
            <v>not started</v>
          </cell>
          <cell r="M319" t="str">
            <v>Certificate</v>
          </cell>
          <cell r="N319"/>
          <cell r="O319" t="str">
            <v>NO.</v>
          </cell>
          <cell r="P319">
            <v>2.0000000000000001E-4</v>
          </cell>
          <cell r="Q319">
            <v>14277</v>
          </cell>
        </row>
        <row r="320">
          <cell r="K320" t="str">
            <v>601.3.1.4.1.0101</v>
          </cell>
          <cell r="L320" t="str">
            <v>complete</v>
          </cell>
          <cell r="M320" t="str">
            <v>Material Handling</v>
          </cell>
          <cell r="N320">
            <v>20576</v>
          </cell>
          <cell r="O320" t="str">
            <v>KG</v>
          </cell>
          <cell r="P320">
            <v>1E-3</v>
          </cell>
          <cell r="Q320">
            <v>20576</v>
          </cell>
        </row>
        <row r="321">
          <cell r="K321" t="str">
            <v>601.3.1.4.1.0102</v>
          </cell>
          <cell r="L321" t="str">
            <v>complete</v>
          </cell>
          <cell r="M321" t="str">
            <v>Preparatoin</v>
          </cell>
          <cell r="N321">
            <v>20576</v>
          </cell>
          <cell r="O321" t="str">
            <v>KG</v>
          </cell>
          <cell r="P321">
            <v>5.0000000000000001E-4</v>
          </cell>
          <cell r="Q321">
            <v>20576</v>
          </cell>
        </row>
        <row r="322">
          <cell r="K322" t="str">
            <v>601.3.1.4.1.0103</v>
          </cell>
          <cell r="L322" t="str">
            <v>complete</v>
          </cell>
          <cell r="M322" t="str">
            <v>Installation</v>
          </cell>
          <cell r="N322">
            <v>20576</v>
          </cell>
          <cell r="O322" t="str">
            <v>KG</v>
          </cell>
          <cell r="P322">
            <v>6.0000000000000001E-3</v>
          </cell>
          <cell r="Q322">
            <v>20576</v>
          </cell>
        </row>
        <row r="323">
          <cell r="K323" t="str">
            <v>601.3.1.4.1.0104</v>
          </cell>
          <cell r="L323" t="str">
            <v>complete</v>
          </cell>
          <cell r="M323" t="str">
            <v>Completion Work</v>
          </cell>
          <cell r="N323">
            <v>20576</v>
          </cell>
          <cell r="O323" t="str">
            <v>KG</v>
          </cell>
          <cell r="P323">
            <v>1.5E-3</v>
          </cell>
          <cell r="Q323">
            <v>20576</v>
          </cell>
        </row>
        <row r="324">
          <cell r="K324" t="str">
            <v>601.3.1.4.1.0105</v>
          </cell>
          <cell r="L324" t="str">
            <v>complete</v>
          </cell>
          <cell r="M324" t="str">
            <v>Punch Removing &amp; Cleaning</v>
          </cell>
          <cell r="N324">
            <v>20576</v>
          </cell>
          <cell r="O324" t="str">
            <v>KG</v>
          </cell>
          <cell r="P324">
            <v>5.0000000000000001E-4</v>
          </cell>
          <cell r="Q324">
            <v>20576</v>
          </cell>
        </row>
        <row r="325">
          <cell r="K325" t="str">
            <v>601.3.1.4.1.0106</v>
          </cell>
          <cell r="L325" t="str">
            <v>complete</v>
          </cell>
          <cell r="M325" t="str">
            <v>Certificate</v>
          </cell>
          <cell r="N325">
            <v>20576</v>
          </cell>
          <cell r="O325" t="str">
            <v>KG</v>
          </cell>
          <cell r="P325">
            <v>5.0000000000000001E-4</v>
          </cell>
          <cell r="Q325">
            <v>20576</v>
          </cell>
        </row>
        <row r="326">
          <cell r="K326" t="str">
            <v>601.3.1.4.1.0201</v>
          </cell>
          <cell r="L326" t="str">
            <v>complete</v>
          </cell>
          <cell r="M326" t="str">
            <v>Material Handling</v>
          </cell>
          <cell r="N326">
            <v>202745.25</v>
          </cell>
          <cell r="O326" t="str">
            <v>KG</v>
          </cell>
          <cell r="P326">
            <v>3.5149999999999999E-3</v>
          </cell>
          <cell r="Q326">
            <v>202745.25</v>
          </cell>
        </row>
        <row r="327">
          <cell r="K327" t="str">
            <v>601.3.1.4.1.0202</v>
          </cell>
          <cell r="L327" t="str">
            <v>complete</v>
          </cell>
          <cell r="M327" t="str">
            <v>Preparatoin</v>
          </cell>
          <cell r="N327">
            <v>202745.25</v>
          </cell>
          <cell r="O327" t="str">
            <v>KG</v>
          </cell>
          <cell r="P327">
            <v>1.7574999999999999E-3</v>
          </cell>
          <cell r="Q327">
            <v>202745.25</v>
          </cell>
        </row>
        <row r="328">
          <cell r="K328" t="str">
            <v>601.3.1.4.1.0203</v>
          </cell>
          <cell r="L328" t="str">
            <v>complete</v>
          </cell>
          <cell r="M328" t="str">
            <v>Installation</v>
          </cell>
          <cell r="N328">
            <v>202745.25</v>
          </cell>
          <cell r="O328" t="str">
            <v>KG</v>
          </cell>
          <cell r="P328">
            <v>2.1090000000000001E-2</v>
          </cell>
          <cell r="Q328">
            <v>202745.25</v>
          </cell>
        </row>
        <row r="329">
          <cell r="K329" t="str">
            <v>601.3.1.4.1.0204</v>
          </cell>
          <cell r="L329" t="str">
            <v>complete</v>
          </cell>
          <cell r="M329" t="str">
            <v>Completion Work</v>
          </cell>
          <cell r="N329">
            <v>202745.25</v>
          </cell>
          <cell r="O329" t="str">
            <v>KG</v>
          </cell>
          <cell r="P329">
            <v>5.2725000000000003E-3</v>
          </cell>
          <cell r="Q329">
            <v>202745.25</v>
          </cell>
        </row>
        <row r="330">
          <cell r="K330" t="str">
            <v>601.3.1.4.1.0205</v>
          </cell>
          <cell r="L330" t="str">
            <v>complete</v>
          </cell>
          <cell r="M330" t="str">
            <v>Punch Removing &amp; Cleaning</v>
          </cell>
          <cell r="N330">
            <v>202745.25</v>
          </cell>
          <cell r="O330" t="str">
            <v>KG</v>
          </cell>
          <cell r="P330">
            <v>1.7574999999999999E-3</v>
          </cell>
          <cell r="Q330">
            <v>202745.25</v>
          </cell>
        </row>
        <row r="331">
          <cell r="K331" t="str">
            <v>601.3.1.4.1.0206</v>
          </cell>
          <cell r="L331" t="str">
            <v>complete</v>
          </cell>
          <cell r="M331" t="str">
            <v>Certificate</v>
          </cell>
          <cell r="N331">
            <v>202745.25</v>
          </cell>
          <cell r="O331" t="str">
            <v>KG</v>
          </cell>
          <cell r="P331">
            <v>1.7574999999999999E-3</v>
          </cell>
          <cell r="Q331">
            <v>202745.25</v>
          </cell>
        </row>
        <row r="332">
          <cell r="K332" t="str">
            <v>601.3.1.4.1.0301</v>
          </cell>
          <cell r="L332" t="str">
            <v>complete</v>
          </cell>
          <cell r="M332" t="str">
            <v>Material Handling</v>
          </cell>
          <cell r="N332">
            <v>20385.38</v>
          </cell>
          <cell r="O332" t="str">
            <v>KG</v>
          </cell>
          <cell r="P332">
            <v>6.0000000000000006E-4</v>
          </cell>
          <cell r="Q332">
            <v>20385.38</v>
          </cell>
        </row>
        <row r="333">
          <cell r="K333" t="str">
            <v>601.3.1.4.1.0302</v>
          </cell>
          <cell r="L333" t="str">
            <v>complete</v>
          </cell>
          <cell r="M333" t="str">
            <v>Preparatoin</v>
          </cell>
          <cell r="N333">
            <v>20385.38</v>
          </cell>
          <cell r="O333" t="str">
            <v>KG</v>
          </cell>
          <cell r="P333">
            <v>3.0000000000000003E-4</v>
          </cell>
          <cell r="Q333">
            <v>20385.38</v>
          </cell>
        </row>
        <row r="334">
          <cell r="K334" t="str">
            <v>601.3.1.4.1.0303</v>
          </cell>
          <cell r="L334" t="str">
            <v>complete</v>
          </cell>
          <cell r="M334" t="str">
            <v>Installation</v>
          </cell>
          <cell r="N334">
            <v>20385.38</v>
          </cell>
          <cell r="O334" t="str">
            <v>KG</v>
          </cell>
          <cell r="P334">
            <v>3.5999999999999999E-3</v>
          </cell>
          <cell r="Q334">
            <v>20385.38</v>
          </cell>
        </row>
        <row r="335">
          <cell r="K335" t="str">
            <v>601.3.1.4.1.0304</v>
          </cell>
          <cell r="L335" t="str">
            <v>complete</v>
          </cell>
          <cell r="M335" t="str">
            <v>Completion Work</v>
          </cell>
          <cell r="N335">
            <v>20385.38</v>
          </cell>
          <cell r="O335" t="str">
            <v>KG</v>
          </cell>
          <cell r="P335">
            <v>8.9999999999999998E-4</v>
          </cell>
          <cell r="Q335">
            <v>20385.38</v>
          </cell>
        </row>
        <row r="336">
          <cell r="K336" t="str">
            <v>601.3.1.4.1.0305</v>
          </cell>
          <cell r="L336" t="str">
            <v>complete</v>
          </cell>
          <cell r="M336" t="str">
            <v>Punch Removing &amp; Cleaning</v>
          </cell>
          <cell r="N336">
            <v>20385.38</v>
          </cell>
          <cell r="O336" t="str">
            <v>KG</v>
          </cell>
          <cell r="P336">
            <v>3.0000000000000003E-4</v>
          </cell>
          <cell r="Q336">
            <v>20385.38</v>
          </cell>
        </row>
        <row r="337">
          <cell r="K337" t="str">
            <v>601.3.1.4.1.0306</v>
          </cell>
          <cell r="L337" t="str">
            <v>not started</v>
          </cell>
          <cell r="M337" t="str">
            <v>Certificate</v>
          </cell>
          <cell r="N337"/>
          <cell r="O337" t="str">
            <v>KG</v>
          </cell>
          <cell r="P337">
            <v>3.0000000000000003E-4</v>
          </cell>
          <cell r="Q337">
            <v>20385.38</v>
          </cell>
        </row>
        <row r="338">
          <cell r="K338" t="str">
            <v>601.3.1.4.1.0401</v>
          </cell>
          <cell r="L338" t="str">
            <v>complete</v>
          </cell>
          <cell r="M338" t="str">
            <v>Material Handling</v>
          </cell>
          <cell r="N338">
            <v>4958.25</v>
          </cell>
          <cell r="O338" t="str">
            <v>KG</v>
          </cell>
          <cell r="P338">
            <v>3.4999999999999994E-4</v>
          </cell>
          <cell r="Q338">
            <v>4958.25</v>
          </cell>
        </row>
        <row r="339">
          <cell r="K339" t="str">
            <v>601.3.1.4.1.0402</v>
          </cell>
          <cell r="L339" t="str">
            <v>complete</v>
          </cell>
          <cell r="M339" t="str">
            <v>Preparatoin</v>
          </cell>
          <cell r="N339">
            <v>4958.25</v>
          </cell>
          <cell r="O339" t="str">
            <v>KG</v>
          </cell>
          <cell r="P339">
            <v>1.7499999999999997E-4</v>
          </cell>
          <cell r="Q339">
            <v>4958.25</v>
          </cell>
        </row>
        <row r="340">
          <cell r="K340" t="str">
            <v>601.3.1.4.1.0403</v>
          </cell>
          <cell r="L340" t="str">
            <v>complete</v>
          </cell>
          <cell r="M340" t="str">
            <v>Installation</v>
          </cell>
          <cell r="N340">
            <v>4958.25</v>
          </cell>
          <cell r="O340" t="str">
            <v>KG</v>
          </cell>
          <cell r="P340">
            <v>2.0999999999999999E-3</v>
          </cell>
          <cell r="Q340">
            <v>4958.25</v>
          </cell>
        </row>
        <row r="341">
          <cell r="K341" t="str">
            <v>601.3.1.4.1.0404</v>
          </cell>
          <cell r="L341" t="str">
            <v>complete</v>
          </cell>
          <cell r="M341" t="str">
            <v>Completion Work</v>
          </cell>
          <cell r="N341">
            <v>4958.25</v>
          </cell>
          <cell r="O341" t="str">
            <v>KG</v>
          </cell>
          <cell r="P341">
            <v>5.2499999999999997E-4</v>
          </cell>
          <cell r="Q341">
            <v>4958.25</v>
          </cell>
        </row>
        <row r="342">
          <cell r="K342" t="str">
            <v>601.3.1.4.1.0405</v>
          </cell>
          <cell r="L342" t="str">
            <v>complete</v>
          </cell>
          <cell r="M342" t="str">
            <v>Punch Removing &amp; Cleaning</v>
          </cell>
          <cell r="N342">
            <v>4958.25</v>
          </cell>
          <cell r="O342" t="str">
            <v>KG</v>
          </cell>
          <cell r="P342">
            <v>1.7499999999999997E-4</v>
          </cell>
          <cell r="Q342">
            <v>4958.25</v>
          </cell>
        </row>
        <row r="343">
          <cell r="K343" t="str">
            <v>601.3.1.4.1.0406</v>
          </cell>
          <cell r="L343" t="str">
            <v>complete</v>
          </cell>
          <cell r="M343" t="str">
            <v>Certificate</v>
          </cell>
          <cell r="N343">
            <v>4958.25</v>
          </cell>
          <cell r="O343" t="str">
            <v>KG</v>
          </cell>
          <cell r="P343">
            <v>1.7499999999999997E-4</v>
          </cell>
          <cell r="Q343">
            <v>4958.25</v>
          </cell>
        </row>
        <row r="344">
          <cell r="K344" t="str">
            <v>601.3.1.4.1.0501</v>
          </cell>
          <cell r="L344" t="str">
            <v>complete</v>
          </cell>
          <cell r="M344" t="str">
            <v>Material Handling</v>
          </cell>
          <cell r="N344">
            <v>18896</v>
          </cell>
          <cell r="O344" t="str">
            <v>KG</v>
          </cell>
          <cell r="P344">
            <v>5.0000000000000001E-4</v>
          </cell>
          <cell r="Q344">
            <v>18896</v>
          </cell>
        </row>
        <row r="345">
          <cell r="K345" t="str">
            <v>601.3.1.4.1.0502</v>
          </cell>
          <cell r="L345" t="str">
            <v>complete</v>
          </cell>
          <cell r="M345" t="str">
            <v>Preparatoin</v>
          </cell>
          <cell r="N345">
            <v>18896</v>
          </cell>
          <cell r="O345" t="str">
            <v>KG</v>
          </cell>
          <cell r="P345">
            <v>2.5000000000000001E-4</v>
          </cell>
          <cell r="Q345">
            <v>18896</v>
          </cell>
        </row>
        <row r="346">
          <cell r="K346" t="str">
            <v>601.3.1.4.1.0503</v>
          </cell>
          <cell r="L346" t="str">
            <v>complete</v>
          </cell>
          <cell r="M346" t="str">
            <v>Installation</v>
          </cell>
          <cell r="N346">
            <v>18896</v>
          </cell>
          <cell r="O346" t="str">
            <v>KG</v>
          </cell>
          <cell r="P346">
            <v>3.0000000000000001E-3</v>
          </cell>
          <cell r="Q346">
            <v>18896</v>
          </cell>
        </row>
        <row r="347">
          <cell r="K347" t="str">
            <v>601.3.1.4.1.0504</v>
          </cell>
          <cell r="L347" t="str">
            <v>complete</v>
          </cell>
          <cell r="M347" t="str">
            <v>Completion Work</v>
          </cell>
          <cell r="N347">
            <v>18896</v>
          </cell>
          <cell r="O347" t="str">
            <v>KG</v>
          </cell>
          <cell r="P347">
            <v>7.5000000000000002E-4</v>
          </cell>
          <cell r="Q347">
            <v>18896</v>
          </cell>
        </row>
        <row r="348">
          <cell r="K348" t="str">
            <v>601.3.1.4.1.0505</v>
          </cell>
          <cell r="L348" t="str">
            <v>complete</v>
          </cell>
          <cell r="M348" t="str">
            <v>Punch Removing &amp; Cleaning</v>
          </cell>
          <cell r="N348">
            <v>18896</v>
          </cell>
          <cell r="O348" t="str">
            <v>KG</v>
          </cell>
          <cell r="P348">
            <v>2.5000000000000001E-4</v>
          </cell>
          <cell r="Q348">
            <v>18896</v>
          </cell>
        </row>
        <row r="349">
          <cell r="K349" t="str">
            <v>601.3.1.4.1.0506</v>
          </cell>
          <cell r="L349" t="str">
            <v>complete</v>
          </cell>
          <cell r="M349" t="str">
            <v>Certificate</v>
          </cell>
          <cell r="N349">
            <v>18896</v>
          </cell>
          <cell r="O349" t="str">
            <v>KG</v>
          </cell>
          <cell r="P349">
            <v>2.5000000000000001E-4</v>
          </cell>
          <cell r="Q349">
            <v>18896</v>
          </cell>
        </row>
        <row r="350">
          <cell r="K350" t="str">
            <v>601.3.1.4.1.0601</v>
          </cell>
          <cell r="L350" t="str">
            <v>complete</v>
          </cell>
          <cell r="M350" t="str">
            <v>Material Handling</v>
          </cell>
          <cell r="N350">
            <v>17435.95</v>
          </cell>
          <cell r="O350" t="str">
            <v>KG</v>
          </cell>
          <cell r="P350">
            <v>1.2199999999999999E-3</v>
          </cell>
          <cell r="Q350">
            <v>17435.95</v>
          </cell>
        </row>
        <row r="351">
          <cell r="K351" t="str">
            <v>601.3.1.4.1.0602</v>
          </cell>
          <cell r="L351" t="str">
            <v>complete</v>
          </cell>
          <cell r="M351" t="str">
            <v>Preparatoin</v>
          </cell>
          <cell r="N351">
            <v>17435.95</v>
          </cell>
          <cell r="O351" t="str">
            <v>KG</v>
          </cell>
          <cell r="P351">
            <v>6.0999999999999997E-4</v>
          </cell>
          <cell r="Q351">
            <v>17435.95</v>
          </cell>
        </row>
        <row r="352">
          <cell r="K352" t="str">
            <v>601.3.1.4.1.0603</v>
          </cell>
          <cell r="L352" t="str">
            <v>complete</v>
          </cell>
          <cell r="M352" t="str">
            <v>Installation</v>
          </cell>
          <cell r="N352">
            <v>17435.95</v>
          </cell>
          <cell r="O352" t="str">
            <v>KG</v>
          </cell>
          <cell r="P352">
            <v>7.3199999999999993E-3</v>
          </cell>
          <cell r="Q352">
            <v>17435.95</v>
          </cell>
        </row>
        <row r="353">
          <cell r="K353" t="str">
            <v>601.3.1.4.1.0604</v>
          </cell>
          <cell r="L353" t="str">
            <v>complete</v>
          </cell>
          <cell r="M353" t="str">
            <v>Completion Work</v>
          </cell>
          <cell r="N353">
            <v>17435.95</v>
          </cell>
          <cell r="O353" t="str">
            <v>KG</v>
          </cell>
          <cell r="P353">
            <v>1.8299999999999998E-3</v>
          </cell>
          <cell r="Q353">
            <v>17435.95</v>
          </cell>
        </row>
        <row r="354">
          <cell r="K354" t="str">
            <v>601.3.1.4.1.0605</v>
          </cell>
          <cell r="L354" t="str">
            <v>complete</v>
          </cell>
          <cell r="M354" t="str">
            <v>Punch Removing &amp; Cleaning</v>
          </cell>
          <cell r="N354">
            <v>17435.95</v>
          </cell>
          <cell r="O354" t="str">
            <v>KG</v>
          </cell>
          <cell r="P354">
            <v>6.0999999999999997E-4</v>
          </cell>
          <cell r="Q354">
            <v>17435.95</v>
          </cell>
        </row>
        <row r="355">
          <cell r="K355" t="str">
            <v>601.3.1.4.1.0606</v>
          </cell>
          <cell r="L355" t="str">
            <v>complete</v>
          </cell>
          <cell r="M355" t="str">
            <v>Certificate</v>
          </cell>
          <cell r="N355">
            <v>17435.95</v>
          </cell>
          <cell r="O355" t="str">
            <v>KG</v>
          </cell>
          <cell r="P355">
            <v>6.0999999999999997E-4</v>
          </cell>
          <cell r="Q355">
            <v>17435.95</v>
          </cell>
        </row>
        <row r="356">
          <cell r="K356" t="str">
            <v>601.3.1.4.1.0701</v>
          </cell>
          <cell r="L356" t="str">
            <v>complete</v>
          </cell>
          <cell r="M356" t="str">
            <v>Material Handling</v>
          </cell>
          <cell r="N356">
            <v>11450</v>
          </cell>
          <cell r="O356" t="str">
            <v>KG</v>
          </cell>
          <cell r="P356">
            <v>8.0000000000000004E-4</v>
          </cell>
          <cell r="Q356">
            <v>11450</v>
          </cell>
        </row>
        <row r="357">
          <cell r="K357" t="str">
            <v>601.3.1.4.1.0702</v>
          </cell>
          <cell r="L357" t="str">
            <v>complete</v>
          </cell>
          <cell r="M357" t="str">
            <v>Preparatoin</v>
          </cell>
          <cell r="N357">
            <v>11450</v>
          </cell>
          <cell r="O357" t="str">
            <v>KG</v>
          </cell>
          <cell r="P357">
            <v>4.0000000000000002E-4</v>
          </cell>
          <cell r="Q357">
            <v>11450</v>
          </cell>
        </row>
        <row r="358">
          <cell r="K358" t="str">
            <v>601.3.1.4.1.0703</v>
          </cell>
          <cell r="L358" t="str">
            <v>complete</v>
          </cell>
          <cell r="M358" t="str">
            <v>Installation</v>
          </cell>
          <cell r="N358">
            <v>11450</v>
          </cell>
          <cell r="O358" t="str">
            <v>KG</v>
          </cell>
          <cell r="P358">
            <v>4.8000000000000004E-3</v>
          </cell>
          <cell r="Q358">
            <v>11450</v>
          </cell>
        </row>
        <row r="359">
          <cell r="K359" t="str">
            <v>601.3.1.4.1.0704</v>
          </cell>
          <cell r="L359" t="str">
            <v>complete</v>
          </cell>
          <cell r="M359" t="str">
            <v>Completion Work</v>
          </cell>
          <cell r="N359">
            <v>11450</v>
          </cell>
          <cell r="O359" t="str">
            <v>KG</v>
          </cell>
          <cell r="P359">
            <v>1.2000000000000001E-3</v>
          </cell>
          <cell r="Q359">
            <v>11450</v>
          </cell>
        </row>
        <row r="360">
          <cell r="K360" t="str">
            <v>601.3.1.4.1.0705</v>
          </cell>
          <cell r="L360" t="str">
            <v>complete</v>
          </cell>
          <cell r="M360" t="str">
            <v>Punch Removing &amp; Cleaning</v>
          </cell>
          <cell r="N360">
            <v>11450</v>
          </cell>
          <cell r="O360" t="str">
            <v>KG</v>
          </cell>
          <cell r="P360">
            <v>4.0000000000000002E-4</v>
          </cell>
          <cell r="Q360">
            <v>11450</v>
          </cell>
        </row>
        <row r="361">
          <cell r="K361" t="str">
            <v>601.3.1.4.1.0706</v>
          </cell>
          <cell r="L361" t="str">
            <v>complete</v>
          </cell>
          <cell r="M361" t="str">
            <v>Certificate</v>
          </cell>
          <cell r="N361">
            <v>11450</v>
          </cell>
          <cell r="O361" t="str">
            <v>KG</v>
          </cell>
          <cell r="P361">
            <v>4.0000000000000002E-4</v>
          </cell>
          <cell r="Q361">
            <v>11450</v>
          </cell>
        </row>
        <row r="362">
          <cell r="K362" t="str">
            <v>601.3.1.4.1.0801</v>
          </cell>
          <cell r="L362" t="str">
            <v>complete</v>
          </cell>
          <cell r="M362" t="str">
            <v>Material Handling</v>
          </cell>
          <cell r="N362">
            <v>26899.33</v>
          </cell>
          <cell r="O362" t="str">
            <v>KG</v>
          </cell>
          <cell r="P362">
            <v>1.5E-3</v>
          </cell>
          <cell r="Q362">
            <v>26899.33</v>
          </cell>
        </row>
        <row r="363">
          <cell r="K363" t="str">
            <v>601.3.1.4.1.0802</v>
          </cell>
          <cell r="L363" t="str">
            <v>complete</v>
          </cell>
          <cell r="M363" t="str">
            <v>Preparatoin</v>
          </cell>
          <cell r="N363">
            <v>26899.33</v>
          </cell>
          <cell r="O363" t="str">
            <v>KG</v>
          </cell>
          <cell r="P363">
            <v>7.5000000000000002E-4</v>
          </cell>
          <cell r="Q363">
            <v>26899.33</v>
          </cell>
        </row>
        <row r="364">
          <cell r="K364" t="str">
            <v>601.3.1.4.1.0803</v>
          </cell>
          <cell r="L364" t="str">
            <v>complete</v>
          </cell>
          <cell r="M364" t="str">
            <v>Installation</v>
          </cell>
          <cell r="N364">
            <v>26899.33</v>
          </cell>
          <cell r="O364" t="str">
            <v>KG</v>
          </cell>
          <cell r="P364">
            <v>8.9999999999999993E-3</v>
          </cell>
          <cell r="Q364">
            <v>26899.33</v>
          </cell>
        </row>
        <row r="365">
          <cell r="K365" t="str">
            <v>601.3.1.4.1.0804</v>
          </cell>
          <cell r="L365" t="str">
            <v>complete</v>
          </cell>
          <cell r="M365" t="str">
            <v>Completion Work</v>
          </cell>
          <cell r="N365">
            <v>26899.33</v>
          </cell>
          <cell r="O365" t="str">
            <v>KG</v>
          </cell>
          <cell r="P365">
            <v>2.2499999999999998E-3</v>
          </cell>
          <cell r="Q365">
            <v>26899.33</v>
          </cell>
        </row>
        <row r="366">
          <cell r="K366" t="str">
            <v>601.3.1.4.1.0805</v>
          </cell>
          <cell r="L366" t="str">
            <v>complete</v>
          </cell>
          <cell r="M366" t="str">
            <v>Punch Removing &amp; Cleaning</v>
          </cell>
          <cell r="N366">
            <v>26899.33</v>
          </cell>
          <cell r="O366" t="str">
            <v>KG</v>
          </cell>
          <cell r="P366">
            <v>7.5000000000000002E-4</v>
          </cell>
          <cell r="Q366">
            <v>26899.33</v>
          </cell>
        </row>
        <row r="367">
          <cell r="K367" t="str">
            <v>601.3.1.4.1.0806</v>
          </cell>
          <cell r="L367" t="str">
            <v>complete</v>
          </cell>
          <cell r="M367" t="str">
            <v>Certificate</v>
          </cell>
          <cell r="N367">
            <v>26899.33</v>
          </cell>
          <cell r="O367" t="str">
            <v>KG</v>
          </cell>
          <cell r="P367">
            <v>7.5000000000000002E-4</v>
          </cell>
          <cell r="Q367">
            <v>26899.33</v>
          </cell>
        </row>
        <row r="368">
          <cell r="K368" t="str">
            <v>601.3.1.4.1.0901</v>
          </cell>
          <cell r="L368" t="str">
            <v>not started</v>
          </cell>
          <cell r="M368" t="str">
            <v>Material Handling</v>
          </cell>
          <cell r="N368"/>
          <cell r="O368" t="str">
            <v>KG</v>
          </cell>
          <cell r="P368">
            <v>1E-3</v>
          </cell>
          <cell r="Q368">
            <v>1220.1400000000001</v>
          </cell>
        </row>
        <row r="369">
          <cell r="K369" t="str">
            <v>601.3.1.4.1.0902</v>
          </cell>
          <cell r="L369" t="str">
            <v>not started</v>
          </cell>
          <cell r="M369" t="str">
            <v>Preparatoin</v>
          </cell>
          <cell r="N369"/>
          <cell r="O369" t="str">
            <v>KG</v>
          </cell>
          <cell r="P369">
            <v>5.0000000000000001E-4</v>
          </cell>
          <cell r="Q369">
            <v>1220.1400000000001</v>
          </cell>
        </row>
        <row r="370">
          <cell r="K370" t="str">
            <v>601.3.1.4.1.0903</v>
          </cell>
          <cell r="L370" t="str">
            <v>not started</v>
          </cell>
          <cell r="M370" t="str">
            <v>Installation</v>
          </cell>
          <cell r="N370"/>
          <cell r="O370" t="str">
            <v>KG</v>
          </cell>
          <cell r="P370">
            <v>6.0000000000000001E-3</v>
          </cell>
          <cell r="Q370">
            <v>1220.1400000000001</v>
          </cell>
        </row>
        <row r="371">
          <cell r="K371" t="str">
            <v>601.3.1.4.1.0904</v>
          </cell>
          <cell r="L371" t="str">
            <v>not started</v>
          </cell>
          <cell r="M371" t="str">
            <v>Completion Work</v>
          </cell>
          <cell r="N371"/>
          <cell r="O371" t="str">
            <v>KG</v>
          </cell>
          <cell r="P371">
            <v>1.5E-3</v>
          </cell>
          <cell r="Q371">
            <v>1220.1400000000001</v>
          </cell>
        </row>
        <row r="372">
          <cell r="K372" t="str">
            <v>601.3.1.4.1.0905</v>
          </cell>
          <cell r="L372" t="str">
            <v>not started</v>
          </cell>
          <cell r="M372" t="str">
            <v>Punch Removing &amp; Cleaning</v>
          </cell>
          <cell r="N372"/>
          <cell r="O372" t="str">
            <v>KG</v>
          </cell>
          <cell r="P372">
            <v>5.0000000000000001E-4</v>
          </cell>
          <cell r="Q372">
            <v>1220.1400000000001</v>
          </cell>
        </row>
        <row r="373">
          <cell r="K373" t="str">
            <v>601.3.1.4.1.0906</v>
          </cell>
          <cell r="L373" t="str">
            <v>not started</v>
          </cell>
          <cell r="M373" t="str">
            <v>Certificate</v>
          </cell>
          <cell r="N373"/>
          <cell r="O373" t="str">
            <v>KG</v>
          </cell>
          <cell r="P373">
            <v>5.0000000000000001E-4</v>
          </cell>
          <cell r="Q373">
            <v>1220.1400000000001</v>
          </cell>
        </row>
        <row r="374">
          <cell r="K374" t="str">
            <v>601.3.1.4.1.1001</v>
          </cell>
          <cell r="L374" t="str">
            <v>complete</v>
          </cell>
          <cell r="M374" t="str">
            <v>Material Handling</v>
          </cell>
          <cell r="N374">
            <v>4374</v>
          </cell>
          <cell r="O374" t="str">
            <v>KG</v>
          </cell>
          <cell r="P374">
            <v>8.3000000000000001E-4</v>
          </cell>
          <cell r="Q374">
            <v>4374</v>
          </cell>
        </row>
        <row r="375">
          <cell r="K375" t="str">
            <v>601.3.1.4.1.1002</v>
          </cell>
          <cell r="L375" t="str">
            <v>complete</v>
          </cell>
          <cell r="M375" t="str">
            <v>Preparatoin</v>
          </cell>
          <cell r="N375">
            <v>4374</v>
          </cell>
          <cell r="O375" t="str">
            <v>KG</v>
          </cell>
          <cell r="P375">
            <v>4.15E-4</v>
          </cell>
          <cell r="Q375">
            <v>4374</v>
          </cell>
        </row>
        <row r="376">
          <cell r="K376" t="str">
            <v>601.3.1.4.1.1003</v>
          </cell>
          <cell r="L376" t="str">
            <v>complete</v>
          </cell>
          <cell r="M376" t="str">
            <v>Installation</v>
          </cell>
          <cell r="N376">
            <v>4374</v>
          </cell>
          <cell r="O376" t="str">
            <v>KG</v>
          </cell>
          <cell r="P376">
            <v>4.9800000000000001E-3</v>
          </cell>
          <cell r="Q376">
            <v>4374</v>
          </cell>
        </row>
        <row r="377">
          <cell r="K377" t="str">
            <v>601.3.1.4.1.1004</v>
          </cell>
          <cell r="L377" t="str">
            <v>complete</v>
          </cell>
          <cell r="M377" t="str">
            <v>Completion Work</v>
          </cell>
          <cell r="N377">
            <v>4374</v>
          </cell>
          <cell r="O377" t="str">
            <v>KG</v>
          </cell>
          <cell r="P377">
            <v>1.245E-3</v>
          </cell>
          <cell r="Q377">
            <v>4374</v>
          </cell>
        </row>
        <row r="378">
          <cell r="K378" t="str">
            <v>601.3.1.4.1.1005</v>
          </cell>
          <cell r="L378" t="str">
            <v>complete</v>
          </cell>
          <cell r="M378" t="str">
            <v>Punch Removing &amp; Cleaning</v>
          </cell>
          <cell r="N378">
            <v>4374</v>
          </cell>
          <cell r="O378" t="str">
            <v>KG</v>
          </cell>
          <cell r="P378">
            <v>4.15E-4</v>
          </cell>
          <cell r="Q378">
            <v>4374</v>
          </cell>
        </row>
        <row r="379">
          <cell r="K379" t="str">
            <v>601.3.1.4.1.1006</v>
          </cell>
          <cell r="L379" t="str">
            <v>complete</v>
          </cell>
          <cell r="M379" t="str">
            <v>Certificate</v>
          </cell>
          <cell r="N379">
            <v>4374</v>
          </cell>
          <cell r="O379" t="str">
            <v>KG</v>
          </cell>
          <cell r="P379">
            <v>4.15E-4</v>
          </cell>
          <cell r="Q379">
            <v>4374</v>
          </cell>
        </row>
        <row r="380">
          <cell r="K380" t="str">
            <v>601.3.1.4.1.1101</v>
          </cell>
          <cell r="L380" t="str">
            <v>complete</v>
          </cell>
          <cell r="M380" t="str">
            <v>Material Handling</v>
          </cell>
          <cell r="N380">
            <v>5043.25</v>
          </cell>
          <cell r="O380" t="str">
            <v>KG</v>
          </cell>
          <cell r="P380">
            <v>5.0000000000000001E-4</v>
          </cell>
          <cell r="Q380">
            <v>5043.25</v>
          </cell>
        </row>
        <row r="381">
          <cell r="K381" t="str">
            <v>601.3.1.4.1.1102</v>
          </cell>
          <cell r="L381" t="str">
            <v>complete</v>
          </cell>
          <cell r="M381" t="str">
            <v>Preparatoin</v>
          </cell>
          <cell r="N381">
            <v>5043.25</v>
          </cell>
          <cell r="O381" t="str">
            <v>KG</v>
          </cell>
          <cell r="P381">
            <v>2.5000000000000001E-4</v>
          </cell>
          <cell r="Q381">
            <v>5043.25</v>
          </cell>
        </row>
        <row r="382">
          <cell r="K382" t="str">
            <v>601.3.1.4.1.1103</v>
          </cell>
          <cell r="L382" t="str">
            <v>complete</v>
          </cell>
          <cell r="M382" t="str">
            <v>Installation</v>
          </cell>
          <cell r="N382">
            <v>5043.25</v>
          </cell>
          <cell r="O382" t="str">
            <v>KG</v>
          </cell>
          <cell r="P382">
            <v>3.0000000000000001E-3</v>
          </cell>
          <cell r="Q382">
            <v>5043.25</v>
          </cell>
        </row>
        <row r="383">
          <cell r="K383" t="str">
            <v>601.3.1.4.1.1104</v>
          </cell>
          <cell r="L383" t="str">
            <v>complete</v>
          </cell>
          <cell r="M383" t="str">
            <v>Completion Work</v>
          </cell>
          <cell r="N383">
            <v>5043.25</v>
          </cell>
          <cell r="O383" t="str">
            <v>KG</v>
          </cell>
          <cell r="P383">
            <v>7.5000000000000002E-4</v>
          </cell>
          <cell r="Q383">
            <v>5043.25</v>
          </cell>
        </row>
        <row r="384">
          <cell r="K384" t="str">
            <v>601.3.1.4.1.1105</v>
          </cell>
          <cell r="L384" t="str">
            <v>complete</v>
          </cell>
          <cell r="M384" t="str">
            <v>Punch Removing &amp; Cleaning</v>
          </cell>
          <cell r="N384">
            <v>5043.25</v>
          </cell>
          <cell r="O384" t="str">
            <v>KG</v>
          </cell>
          <cell r="P384">
            <v>2.5000000000000001E-4</v>
          </cell>
          <cell r="Q384">
            <v>5043.25</v>
          </cell>
        </row>
        <row r="385">
          <cell r="K385" t="str">
            <v>601.3.1.4.1.1106</v>
          </cell>
          <cell r="L385" t="str">
            <v>complete</v>
          </cell>
          <cell r="M385" t="str">
            <v>Certificate</v>
          </cell>
          <cell r="N385">
            <v>5043.25</v>
          </cell>
          <cell r="O385" t="str">
            <v>KG</v>
          </cell>
          <cell r="P385">
            <v>2.5000000000000001E-4</v>
          </cell>
          <cell r="Q385">
            <v>5043.25</v>
          </cell>
        </row>
        <row r="386">
          <cell r="K386" t="str">
            <v>601.3.1.5.1.0101</v>
          </cell>
          <cell r="L386" t="str">
            <v>not started</v>
          </cell>
          <cell r="M386" t="str">
            <v>Completion Work</v>
          </cell>
          <cell r="N386"/>
          <cell r="O386" t="str">
            <v>-</v>
          </cell>
          <cell r="P386">
            <v>2.5000000000000001E-3</v>
          </cell>
          <cell r="Q386">
            <v>0.5</v>
          </cell>
        </row>
        <row r="387">
          <cell r="K387" t="str">
            <v>601.3.1.5.1.0201</v>
          </cell>
          <cell r="L387" t="str">
            <v>not started</v>
          </cell>
          <cell r="M387" t="str">
            <v>Completion Work</v>
          </cell>
          <cell r="N387"/>
          <cell r="O387" t="str">
            <v>-</v>
          </cell>
          <cell r="P387">
            <v>2.5000000000000001E-3</v>
          </cell>
          <cell r="Q387">
            <v>0.5</v>
          </cell>
        </row>
        <row r="388">
          <cell r="K388" t="str">
            <v>601.3.1.5.1.0301</v>
          </cell>
          <cell r="L388" t="str">
            <v>not started</v>
          </cell>
          <cell r="M388" t="str">
            <v>Completion Work</v>
          </cell>
          <cell r="N388"/>
          <cell r="O388" t="str">
            <v>-</v>
          </cell>
          <cell r="P388">
            <v>2E-3</v>
          </cell>
          <cell r="Q388">
            <v>18</v>
          </cell>
        </row>
        <row r="389">
          <cell r="K389" t="str">
            <v>601.3.1.5.1.0401</v>
          </cell>
          <cell r="L389" t="str">
            <v>not started</v>
          </cell>
          <cell r="M389" t="str">
            <v>Completion Work</v>
          </cell>
          <cell r="N389"/>
          <cell r="O389" t="str">
            <v>-</v>
          </cell>
          <cell r="P389">
            <v>2E-3</v>
          </cell>
          <cell r="Q389">
            <v>18</v>
          </cell>
        </row>
        <row r="390">
          <cell r="K390" t="str">
            <v>601.3.1.5.1.0501</v>
          </cell>
          <cell r="L390" t="str">
            <v>not started</v>
          </cell>
          <cell r="M390" t="str">
            <v>Completion Work</v>
          </cell>
          <cell r="N390"/>
          <cell r="O390" t="str">
            <v>-</v>
          </cell>
          <cell r="P390">
            <v>2.5000000000000001E-3</v>
          </cell>
          <cell r="Q390">
            <v>96</v>
          </cell>
        </row>
        <row r="391">
          <cell r="K391" t="str">
            <v>601.3.1.5.1.0601</v>
          </cell>
          <cell r="L391" t="str">
            <v>not started</v>
          </cell>
          <cell r="M391" t="str">
            <v>Completion Work</v>
          </cell>
          <cell r="N391"/>
          <cell r="O391" t="str">
            <v>-</v>
          </cell>
          <cell r="P391">
            <v>1E-3</v>
          </cell>
          <cell r="Q391">
            <v>1</v>
          </cell>
        </row>
        <row r="392">
          <cell r="K392" t="str">
            <v>601.3.2.1.1.0101</v>
          </cell>
          <cell r="L392" t="str">
            <v>not started</v>
          </cell>
          <cell r="M392" t="str">
            <v>Material Handling</v>
          </cell>
          <cell r="N392"/>
          <cell r="O392" t="str">
            <v>KG</v>
          </cell>
          <cell r="P392">
            <v>7.5000000000000002E-4</v>
          </cell>
          <cell r="Q392">
            <v>72000</v>
          </cell>
        </row>
        <row r="393">
          <cell r="K393" t="str">
            <v>601.3.2.1.1.0102</v>
          </cell>
          <cell r="L393" t="str">
            <v>not started</v>
          </cell>
          <cell r="M393" t="str">
            <v>Chipping&amp;Padding</v>
          </cell>
          <cell r="N393"/>
          <cell r="O393" t="str">
            <v>KG</v>
          </cell>
          <cell r="P393">
            <v>7.5000000000000002E-4</v>
          </cell>
          <cell r="Q393">
            <v>72000</v>
          </cell>
        </row>
        <row r="394">
          <cell r="K394" t="str">
            <v>601.3.2.1.1.0103</v>
          </cell>
          <cell r="L394" t="str">
            <v>not started</v>
          </cell>
          <cell r="M394" t="str">
            <v>Installation(Column/Beam/Bracing/Stair)</v>
          </cell>
          <cell r="N394"/>
          <cell r="O394" t="str">
            <v>KG</v>
          </cell>
          <cell r="P394">
            <v>7.4999999999999997E-3</v>
          </cell>
          <cell r="Q394">
            <v>72000</v>
          </cell>
        </row>
        <row r="395">
          <cell r="K395" t="str">
            <v>601.3.2.1.1.0104</v>
          </cell>
          <cell r="L395" t="str">
            <v>not started</v>
          </cell>
          <cell r="M395" t="str">
            <v>Bolting</v>
          </cell>
          <cell r="N395"/>
          <cell r="O395" t="str">
            <v>KG</v>
          </cell>
          <cell r="P395">
            <v>1.5E-3</v>
          </cell>
          <cell r="Q395">
            <v>72000</v>
          </cell>
        </row>
        <row r="396">
          <cell r="K396" t="str">
            <v>601.3.2.1.1.0105</v>
          </cell>
          <cell r="L396" t="str">
            <v>not started</v>
          </cell>
          <cell r="M396" t="str">
            <v>Aligenment</v>
          </cell>
          <cell r="N396"/>
          <cell r="O396" t="str">
            <v>KG</v>
          </cell>
          <cell r="P396">
            <v>2.2499999999999998E-3</v>
          </cell>
          <cell r="Q396">
            <v>72000</v>
          </cell>
        </row>
        <row r="397">
          <cell r="K397" t="str">
            <v>601.3.2.1.1.0106</v>
          </cell>
          <cell r="L397" t="str">
            <v>not started</v>
          </cell>
          <cell r="M397" t="str">
            <v>Grouting</v>
          </cell>
          <cell r="N397"/>
          <cell r="O397" t="str">
            <v>KG</v>
          </cell>
          <cell r="P397">
            <v>7.5000000000000002E-4</v>
          </cell>
          <cell r="Q397">
            <v>72000</v>
          </cell>
        </row>
        <row r="398">
          <cell r="K398" t="str">
            <v>601.3.2.1.1.0107</v>
          </cell>
          <cell r="L398" t="str">
            <v>not started</v>
          </cell>
          <cell r="M398" t="str">
            <v>Punch Removing</v>
          </cell>
          <cell r="N398"/>
          <cell r="O398" t="str">
            <v>KG</v>
          </cell>
          <cell r="P398">
            <v>7.5000000000000002E-4</v>
          </cell>
          <cell r="Q398">
            <v>72000</v>
          </cell>
        </row>
        <row r="399">
          <cell r="K399" t="str">
            <v>601.3.2.1.1.0108</v>
          </cell>
          <cell r="L399" t="str">
            <v>not started</v>
          </cell>
          <cell r="M399" t="str">
            <v>Finall Inspection</v>
          </cell>
          <cell r="N399"/>
          <cell r="O399" t="str">
            <v>KG</v>
          </cell>
          <cell r="P399">
            <v>7.5000000000000002E-4</v>
          </cell>
          <cell r="Q399">
            <v>72000</v>
          </cell>
        </row>
        <row r="400">
          <cell r="K400" t="str">
            <v>601.3.2.1.1.0201</v>
          </cell>
          <cell r="L400" t="str">
            <v>not started</v>
          </cell>
          <cell r="M400" t="str">
            <v>Material Handling</v>
          </cell>
          <cell r="N400"/>
          <cell r="O400" t="str">
            <v>KG</v>
          </cell>
          <cell r="P400">
            <v>1.25E-4</v>
          </cell>
          <cell r="Q400">
            <v>3000</v>
          </cell>
        </row>
        <row r="401">
          <cell r="K401" t="str">
            <v>601.3.2.1.1.0202</v>
          </cell>
          <cell r="L401" t="str">
            <v>not started</v>
          </cell>
          <cell r="M401" t="str">
            <v>Installation</v>
          </cell>
          <cell r="N401"/>
          <cell r="O401" t="str">
            <v>KG</v>
          </cell>
          <cell r="P401">
            <v>1.25E-3</v>
          </cell>
          <cell r="Q401">
            <v>3000</v>
          </cell>
        </row>
        <row r="402">
          <cell r="K402" t="str">
            <v>601.3.2.1.1.0203</v>
          </cell>
          <cell r="L402" t="str">
            <v>not started</v>
          </cell>
          <cell r="M402" t="str">
            <v>Leveling &amp; Plumbness</v>
          </cell>
          <cell r="N402"/>
          <cell r="O402" t="str">
            <v>KG</v>
          </cell>
          <cell r="P402">
            <v>3.7500000000000001E-4</v>
          </cell>
          <cell r="Q402">
            <v>3000</v>
          </cell>
        </row>
        <row r="403">
          <cell r="K403" t="str">
            <v>601.3.2.1.1.0204</v>
          </cell>
          <cell r="L403" t="str">
            <v>not started</v>
          </cell>
          <cell r="M403" t="str">
            <v>Full Bolt &amp; Tightening</v>
          </cell>
          <cell r="N403"/>
          <cell r="O403" t="str">
            <v>KG</v>
          </cell>
          <cell r="P403">
            <v>5.0000000000000001E-4</v>
          </cell>
          <cell r="Q403">
            <v>3000</v>
          </cell>
        </row>
        <row r="404">
          <cell r="K404" t="str">
            <v>601.3.2.1.1.0205</v>
          </cell>
          <cell r="L404" t="str">
            <v>not started</v>
          </cell>
          <cell r="M404" t="str">
            <v>Touch up</v>
          </cell>
          <cell r="N404"/>
          <cell r="O404" t="str">
            <v>KG</v>
          </cell>
          <cell r="P404">
            <v>1.25E-4</v>
          </cell>
          <cell r="Q404">
            <v>3000</v>
          </cell>
        </row>
        <row r="405">
          <cell r="K405" t="str">
            <v>601.3.2.1.1.0206</v>
          </cell>
          <cell r="L405" t="str">
            <v>not started</v>
          </cell>
          <cell r="M405" t="str">
            <v>Certificate</v>
          </cell>
          <cell r="N405"/>
          <cell r="O405" t="str">
            <v>KG</v>
          </cell>
          <cell r="P405">
            <v>1.25E-4</v>
          </cell>
          <cell r="Q405">
            <v>3000</v>
          </cell>
        </row>
        <row r="406">
          <cell r="K406" t="str">
            <v>601.3.2.1.1.0301</v>
          </cell>
          <cell r="L406" t="str">
            <v>not started</v>
          </cell>
          <cell r="M406" t="str">
            <v>Material Handling</v>
          </cell>
          <cell r="N406"/>
          <cell r="O406" t="str">
            <v>KG</v>
          </cell>
          <cell r="P406">
            <v>1.25E-4</v>
          </cell>
          <cell r="Q406">
            <v>5000</v>
          </cell>
        </row>
        <row r="407">
          <cell r="K407" t="str">
            <v>601.3.2.1.1.0302</v>
          </cell>
          <cell r="L407" t="str">
            <v>not started</v>
          </cell>
          <cell r="M407" t="str">
            <v>installation</v>
          </cell>
          <cell r="N407"/>
          <cell r="O407" t="str">
            <v>KG</v>
          </cell>
          <cell r="P407">
            <v>1.6249999999999999E-3</v>
          </cell>
          <cell r="Q407">
            <v>5000</v>
          </cell>
        </row>
        <row r="408">
          <cell r="K408" t="str">
            <v>601.3.2.1.1.0303</v>
          </cell>
          <cell r="L408" t="str">
            <v>not started</v>
          </cell>
          <cell r="M408" t="str">
            <v>Clamping &amp; Tightening</v>
          </cell>
          <cell r="N408"/>
          <cell r="O408" t="str">
            <v>KG</v>
          </cell>
          <cell r="P408">
            <v>5.0000000000000001E-4</v>
          </cell>
          <cell r="Q408">
            <v>5000</v>
          </cell>
        </row>
        <row r="409">
          <cell r="K409" t="str">
            <v>601.3.2.1.1.0304</v>
          </cell>
          <cell r="L409" t="str">
            <v>not started</v>
          </cell>
          <cell r="M409" t="str">
            <v>Touch up &amp; Cleaning</v>
          </cell>
          <cell r="N409"/>
          <cell r="O409" t="str">
            <v>KG</v>
          </cell>
          <cell r="P409">
            <v>1.25E-4</v>
          </cell>
          <cell r="Q409">
            <v>5000</v>
          </cell>
        </row>
        <row r="410">
          <cell r="K410" t="str">
            <v>601.3.2.1.1.0305</v>
          </cell>
          <cell r="L410" t="str">
            <v>not started</v>
          </cell>
          <cell r="M410" t="str">
            <v>Certificate</v>
          </cell>
          <cell r="N410"/>
          <cell r="O410" t="str">
            <v>KG</v>
          </cell>
          <cell r="P410">
            <v>1.25E-4</v>
          </cell>
          <cell r="Q410">
            <v>5000</v>
          </cell>
        </row>
        <row r="411">
          <cell r="K411" t="str">
            <v>601.3.3.1.1.0101</v>
          </cell>
          <cell r="L411" t="str">
            <v>not started</v>
          </cell>
          <cell r="M411" t="str">
            <v>Material Handling</v>
          </cell>
          <cell r="N411"/>
          <cell r="O411" t="str">
            <v>KG</v>
          </cell>
          <cell r="P411">
            <v>2.5000000000000001E-4</v>
          </cell>
          <cell r="Q411">
            <v>300</v>
          </cell>
        </row>
        <row r="412">
          <cell r="K412" t="str">
            <v>601.3.3.1.1.0102</v>
          </cell>
          <cell r="L412" t="str">
            <v>not started</v>
          </cell>
          <cell r="M412" t="str">
            <v>Erection</v>
          </cell>
          <cell r="N412"/>
          <cell r="O412" t="str">
            <v>KG</v>
          </cell>
          <cell r="P412">
            <v>2.5000000000000001E-3</v>
          </cell>
          <cell r="Q412">
            <v>300</v>
          </cell>
        </row>
        <row r="413">
          <cell r="K413" t="str">
            <v>601.3.3.1.1.0103</v>
          </cell>
          <cell r="L413" t="str">
            <v>not started</v>
          </cell>
          <cell r="M413" t="str">
            <v>Aligenment/Leveling</v>
          </cell>
          <cell r="N413"/>
          <cell r="O413" t="str">
            <v>KG</v>
          </cell>
          <cell r="P413">
            <v>1E-3</v>
          </cell>
          <cell r="Q413">
            <v>300</v>
          </cell>
        </row>
        <row r="414">
          <cell r="K414" t="str">
            <v>601.3.3.1.1.0104</v>
          </cell>
          <cell r="L414" t="str">
            <v>not started</v>
          </cell>
          <cell r="M414" t="str">
            <v>Full Bolting/Welding</v>
          </cell>
          <cell r="N414"/>
          <cell r="O414" t="str">
            <v>KG</v>
          </cell>
          <cell r="P414">
            <v>7.5000000000000002E-4</v>
          </cell>
          <cell r="Q414">
            <v>300</v>
          </cell>
        </row>
        <row r="415">
          <cell r="K415" t="str">
            <v>601.3.3.1.1.0106</v>
          </cell>
          <cell r="L415" t="str">
            <v>not started</v>
          </cell>
          <cell r="M415" t="str">
            <v>Punch Removing</v>
          </cell>
          <cell r="N415"/>
          <cell r="O415" t="str">
            <v>KG</v>
          </cell>
          <cell r="P415">
            <v>2.5000000000000001E-4</v>
          </cell>
          <cell r="Q415">
            <v>300</v>
          </cell>
        </row>
        <row r="416">
          <cell r="K416" t="str">
            <v>601.3.3.1.1.0107</v>
          </cell>
          <cell r="L416" t="str">
            <v>not started</v>
          </cell>
          <cell r="M416" t="str">
            <v>Certificate</v>
          </cell>
          <cell r="N416"/>
          <cell r="O416" t="str">
            <v>KG</v>
          </cell>
          <cell r="P416">
            <v>2.5000000000000001E-4</v>
          </cell>
          <cell r="Q416">
            <v>300</v>
          </cell>
        </row>
        <row r="417">
          <cell r="K417" t="str">
            <v>601.3.3.1.1.0201</v>
          </cell>
          <cell r="L417" t="str">
            <v>not started</v>
          </cell>
          <cell r="M417" t="str">
            <v>Material Handling</v>
          </cell>
          <cell r="N417"/>
          <cell r="O417" t="str">
            <v>KG</v>
          </cell>
          <cell r="P417">
            <v>5.0000000000000001E-4</v>
          </cell>
          <cell r="Q417">
            <v>600</v>
          </cell>
        </row>
        <row r="418">
          <cell r="K418" t="str">
            <v>601.3.3.1.1.0202</v>
          </cell>
          <cell r="L418" t="str">
            <v>not started</v>
          </cell>
          <cell r="M418" t="str">
            <v>Erection</v>
          </cell>
          <cell r="N418"/>
          <cell r="O418" t="str">
            <v>KG</v>
          </cell>
          <cell r="P418">
            <v>5.0000000000000001E-3</v>
          </cell>
          <cell r="Q418">
            <v>600</v>
          </cell>
        </row>
        <row r="419">
          <cell r="K419" t="str">
            <v>601.3.3.1.1.0203</v>
          </cell>
          <cell r="L419" t="str">
            <v>not started</v>
          </cell>
          <cell r="M419" t="str">
            <v>Aligenment/Leveling</v>
          </cell>
          <cell r="N419"/>
          <cell r="O419" t="str">
            <v>KG</v>
          </cell>
          <cell r="P419">
            <v>2E-3</v>
          </cell>
          <cell r="Q419">
            <v>600</v>
          </cell>
        </row>
        <row r="420">
          <cell r="K420" t="str">
            <v>601.3.3.1.1.0204</v>
          </cell>
          <cell r="L420" t="str">
            <v>not started</v>
          </cell>
          <cell r="M420" t="str">
            <v>Full Bolting/Welding</v>
          </cell>
          <cell r="N420"/>
          <cell r="O420" t="str">
            <v>KG</v>
          </cell>
          <cell r="P420">
            <v>1.5E-3</v>
          </cell>
          <cell r="Q420">
            <v>600</v>
          </cell>
        </row>
        <row r="421">
          <cell r="K421" t="str">
            <v>601.3.3.1.1.0206</v>
          </cell>
          <cell r="L421" t="str">
            <v>not started</v>
          </cell>
          <cell r="M421" t="str">
            <v>Punch Removing</v>
          </cell>
          <cell r="N421"/>
          <cell r="O421" t="str">
            <v>KG</v>
          </cell>
          <cell r="P421">
            <v>5.0000000000000001E-4</v>
          </cell>
          <cell r="Q421">
            <v>600</v>
          </cell>
        </row>
        <row r="422">
          <cell r="K422" t="str">
            <v>601.3.3.1.1.0207</v>
          </cell>
          <cell r="L422" t="str">
            <v>not started</v>
          </cell>
          <cell r="M422" t="str">
            <v>Certificate</v>
          </cell>
          <cell r="N422"/>
          <cell r="O422" t="str">
            <v>KG</v>
          </cell>
          <cell r="P422">
            <v>5.0000000000000001E-4</v>
          </cell>
          <cell r="Q422">
            <v>600</v>
          </cell>
        </row>
        <row r="423">
          <cell r="K423" t="str">
            <v>601.3.3.2.1.0101</v>
          </cell>
          <cell r="L423" t="str">
            <v>not started</v>
          </cell>
          <cell r="M423" t="str">
            <v>Material Handling</v>
          </cell>
          <cell r="N423"/>
          <cell r="O423" t="str">
            <v>KG</v>
          </cell>
          <cell r="P423">
            <v>2.5000000000000001E-4</v>
          </cell>
          <cell r="Q423">
            <v>300</v>
          </cell>
        </row>
        <row r="424">
          <cell r="K424" t="str">
            <v>601.3.3.2.1.0102</v>
          </cell>
          <cell r="L424" t="str">
            <v>not started</v>
          </cell>
          <cell r="M424" t="str">
            <v>Erection</v>
          </cell>
          <cell r="N424"/>
          <cell r="O424" t="str">
            <v>KG</v>
          </cell>
          <cell r="P424">
            <v>2.5000000000000001E-3</v>
          </cell>
          <cell r="Q424">
            <v>300</v>
          </cell>
        </row>
        <row r="425">
          <cell r="K425" t="str">
            <v>601.3.3.2.1.0103</v>
          </cell>
          <cell r="L425" t="str">
            <v>not started</v>
          </cell>
          <cell r="M425" t="str">
            <v>Aligenment/Leveling</v>
          </cell>
          <cell r="N425"/>
          <cell r="O425" t="str">
            <v>KG</v>
          </cell>
          <cell r="P425">
            <v>1E-3</v>
          </cell>
          <cell r="Q425">
            <v>300</v>
          </cell>
        </row>
        <row r="426">
          <cell r="K426" t="str">
            <v>601.3.3.2.1.0104</v>
          </cell>
          <cell r="L426" t="str">
            <v>not started</v>
          </cell>
          <cell r="M426" t="str">
            <v>Full Bolting/Welding</v>
          </cell>
          <cell r="N426"/>
          <cell r="O426" t="str">
            <v>KG</v>
          </cell>
          <cell r="P426">
            <v>7.5000000000000002E-4</v>
          </cell>
          <cell r="Q426">
            <v>300</v>
          </cell>
        </row>
        <row r="427">
          <cell r="K427" t="str">
            <v>601.3.3.2.1.0106</v>
          </cell>
          <cell r="L427" t="str">
            <v>not started</v>
          </cell>
          <cell r="M427" t="str">
            <v>Punch Removing</v>
          </cell>
          <cell r="N427"/>
          <cell r="O427" t="str">
            <v>KG</v>
          </cell>
          <cell r="P427">
            <v>2.5000000000000001E-4</v>
          </cell>
          <cell r="Q427">
            <v>300</v>
          </cell>
        </row>
        <row r="428">
          <cell r="K428" t="str">
            <v>601.3.3.2.1.0107</v>
          </cell>
          <cell r="L428" t="str">
            <v>not started</v>
          </cell>
          <cell r="M428" t="str">
            <v>Certificate</v>
          </cell>
          <cell r="N428"/>
          <cell r="O428" t="str">
            <v>KG</v>
          </cell>
          <cell r="P428">
            <v>2.5000000000000001E-4</v>
          </cell>
          <cell r="Q428">
            <v>300</v>
          </cell>
        </row>
        <row r="429">
          <cell r="K429" t="str">
            <v>601.3.3.2.1.0201</v>
          </cell>
          <cell r="L429" t="str">
            <v>not started</v>
          </cell>
          <cell r="M429" t="str">
            <v>Material Handling</v>
          </cell>
          <cell r="N429"/>
          <cell r="O429" t="str">
            <v>KG</v>
          </cell>
          <cell r="P429">
            <v>5.0000000000000001E-4</v>
          </cell>
          <cell r="Q429">
            <v>600</v>
          </cell>
        </row>
        <row r="430">
          <cell r="K430" t="str">
            <v>601.3.3.2.1.0202</v>
          </cell>
          <cell r="L430" t="str">
            <v>not started</v>
          </cell>
          <cell r="M430" t="str">
            <v>Erection</v>
          </cell>
          <cell r="N430"/>
          <cell r="O430" t="str">
            <v>KG</v>
          </cell>
          <cell r="P430">
            <v>5.0000000000000001E-3</v>
          </cell>
          <cell r="Q430">
            <v>600</v>
          </cell>
        </row>
        <row r="431">
          <cell r="K431" t="str">
            <v>601.3.3.2.1.0203</v>
          </cell>
          <cell r="L431" t="str">
            <v>not started</v>
          </cell>
          <cell r="M431" t="str">
            <v>Aligenment/Leveling</v>
          </cell>
          <cell r="N431"/>
          <cell r="O431" t="str">
            <v>KG</v>
          </cell>
          <cell r="P431">
            <v>2E-3</v>
          </cell>
          <cell r="Q431">
            <v>600</v>
          </cell>
        </row>
        <row r="432">
          <cell r="K432" t="str">
            <v>601.3.3.2.1.0204</v>
          </cell>
          <cell r="L432" t="str">
            <v>not started</v>
          </cell>
          <cell r="M432" t="str">
            <v>Full Bolting/Welding</v>
          </cell>
          <cell r="N432"/>
          <cell r="O432" t="str">
            <v>KG</v>
          </cell>
          <cell r="P432">
            <v>1.5E-3</v>
          </cell>
          <cell r="Q432">
            <v>600</v>
          </cell>
        </row>
        <row r="433">
          <cell r="K433" t="str">
            <v>601.3.3.2.1.0206</v>
          </cell>
          <cell r="L433" t="str">
            <v>not started</v>
          </cell>
          <cell r="M433" t="str">
            <v>Punch Removing</v>
          </cell>
          <cell r="N433"/>
          <cell r="O433" t="str">
            <v>KG</v>
          </cell>
          <cell r="P433">
            <v>5.0000000000000001E-4</v>
          </cell>
          <cell r="Q433">
            <v>600</v>
          </cell>
        </row>
        <row r="434">
          <cell r="K434" t="str">
            <v>601.3.3.2.1.0207</v>
          </cell>
          <cell r="L434" t="str">
            <v>not started</v>
          </cell>
          <cell r="M434" t="str">
            <v>Certificate</v>
          </cell>
          <cell r="N434"/>
          <cell r="O434" t="str">
            <v>KG</v>
          </cell>
          <cell r="P434">
            <v>5.0000000000000001E-4</v>
          </cell>
          <cell r="Q434">
            <v>600</v>
          </cell>
        </row>
        <row r="435">
          <cell r="K435" t="str">
            <v>601.3.4.1.1.0101</v>
          </cell>
          <cell r="L435" t="str">
            <v>not started</v>
          </cell>
          <cell r="M435" t="str">
            <v>Completion Work</v>
          </cell>
          <cell r="N435"/>
          <cell r="O435" t="str">
            <v>-</v>
          </cell>
          <cell r="P435">
            <v>2.4499999999999999E-3</v>
          </cell>
          <cell r="Q435">
            <v>1</v>
          </cell>
        </row>
        <row r="436">
          <cell r="K436" t="str">
            <v>601.3.4.1.1.0201</v>
          </cell>
          <cell r="L436" t="str">
            <v>not started</v>
          </cell>
          <cell r="M436" t="str">
            <v>Completion Work</v>
          </cell>
          <cell r="N436"/>
          <cell r="O436" t="str">
            <v>-</v>
          </cell>
          <cell r="P436">
            <v>1E-3</v>
          </cell>
          <cell r="Q436">
            <v>1</v>
          </cell>
        </row>
        <row r="437">
          <cell r="K437" t="str">
            <v>601.3.4.1.1.0301</v>
          </cell>
          <cell r="L437" t="str">
            <v>not started</v>
          </cell>
          <cell r="M437" t="str">
            <v>Completion Work</v>
          </cell>
          <cell r="N437"/>
          <cell r="O437" t="str">
            <v>-</v>
          </cell>
          <cell r="P437">
            <v>1.5E-3</v>
          </cell>
          <cell r="Q437">
            <v>1</v>
          </cell>
        </row>
        <row r="438">
          <cell r="K438" t="str">
            <v>601.3.4.1.1.0401</v>
          </cell>
          <cell r="L438" t="str">
            <v>not started</v>
          </cell>
          <cell r="M438" t="str">
            <v>Completion Work</v>
          </cell>
          <cell r="N438"/>
          <cell r="O438" t="str">
            <v>-</v>
          </cell>
          <cell r="P438">
            <v>1.5E-3</v>
          </cell>
          <cell r="Q438">
            <v>1</v>
          </cell>
        </row>
        <row r="439">
          <cell r="K439" t="str">
            <v>601.3.4.1.1.0501</v>
          </cell>
          <cell r="L439" t="str">
            <v>not started</v>
          </cell>
          <cell r="M439" t="str">
            <v>Completion Work</v>
          </cell>
          <cell r="N439"/>
          <cell r="O439" t="str">
            <v>-</v>
          </cell>
          <cell r="P439">
            <v>5.0000000000000001E-4</v>
          </cell>
          <cell r="Q439">
            <v>0.5</v>
          </cell>
        </row>
        <row r="440">
          <cell r="K440" t="str">
            <v>601.3.4.2.1.0101</v>
          </cell>
          <cell r="L440" t="str">
            <v>not started</v>
          </cell>
          <cell r="M440" t="str">
            <v>Completion Work</v>
          </cell>
          <cell r="N440"/>
          <cell r="O440" t="str">
            <v>-</v>
          </cell>
          <cell r="P440">
            <v>5.5000000000000003E-4</v>
          </cell>
          <cell r="Q440">
            <v>0.5</v>
          </cell>
        </row>
        <row r="441">
          <cell r="K441" t="str">
            <v>601.4.1.1.1.0101</v>
          </cell>
          <cell r="L441" t="str">
            <v>complete</v>
          </cell>
          <cell r="M441" t="str">
            <v>Material Handling</v>
          </cell>
          <cell r="N441">
            <v>9000</v>
          </cell>
          <cell r="O441" t="str">
            <v>KG</v>
          </cell>
          <cell r="P441">
            <v>1.7594999999999999E-4</v>
          </cell>
          <cell r="Q441">
            <v>9000</v>
          </cell>
        </row>
        <row r="442">
          <cell r="K442" t="str">
            <v>601.4.1.1.1.0102</v>
          </cell>
          <cell r="L442" t="str">
            <v>complete</v>
          </cell>
          <cell r="M442" t="str">
            <v>Installation</v>
          </cell>
          <cell r="N442">
            <v>9000</v>
          </cell>
          <cell r="O442" t="str">
            <v>KG</v>
          </cell>
          <cell r="P442">
            <v>1.7595E-3</v>
          </cell>
          <cell r="Q442">
            <v>9000</v>
          </cell>
        </row>
        <row r="443">
          <cell r="K443" t="str">
            <v>601.4.1.1.1.0103</v>
          </cell>
          <cell r="L443" t="str">
            <v>complete</v>
          </cell>
          <cell r="M443" t="str">
            <v>Leveling &amp; Plumbness</v>
          </cell>
          <cell r="N443">
            <v>9000</v>
          </cell>
          <cell r="O443" t="str">
            <v>KG</v>
          </cell>
          <cell r="P443">
            <v>5.2784999999999996E-4</v>
          </cell>
          <cell r="Q443">
            <v>9000</v>
          </cell>
        </row>
        <row r="444">
          <cell r="K444" t="str">
            <v>601.4.1.1.1.0104</v>
          </cell>
          <cell r="L444" t="str">
            <v>complete</v>
          </cell>
          <cell r="M444" t="str">
            <v>Full Bolt &amp; Tightening</v>
          </cell>
          <cell r="N444">
            <v>9000</v>
          </cell>
          <cell r="O444" t="str">
            <v>KG</v>
          </cell>
          <cell r="P444">
            <v>7.0379999999999998E-4</v>
          </cell>
          <cell r="Q444">
            <v>9000</v>
          </cell>
        </row>
        <row r="445">
          <cell r="K445" t="str">
            <v>601.4.1.1.1.0105</v>
          </cell>
          <cell r="L445" t="str">
            <v>complete</v>
          </cell>
          <cell r="M445" t="str">
            <v>Touch up</v>
          </cell>
          <cell r="N445">
            <v>9000</v>
          </cell>
          <cell r="O445" t="str">
            <v>KG</v>
          </cell>
          <cell r="P445">
            <v>1.7594999999999999E-4</v>
          </cell>
          <cell r="Q445">
            <v>9000</v>
          </cell>
        </row>
        <row r="446">
          <cell r="K446" t="str">
            <v>601.4.1.1.1.0106</v>
          </cell>
          <cell r="L446" t="str">
            <v>complete</v>
          </cell>
          <cell r="M446" t="str">
            <v>Certificate</v>
          </cell>
          <cell r="N446">
            <v>9000</v>
          </cell>
          <cell r="O446" t="str">
            <v>KG</v>
          </cell>
          <cell r="P446">
            <v>1.7594999999999999E-4</v>
          </cell>
          <cell r="Q446">
            <v>9000</v>
          </cell>
        </row>
        <row r="447">
          <cell r="K447" t="str">
            <v>601.4.1.1.1.0201</v>
          </cell>
          <cell r="L447" t="str">
            <v>complete</v>
          </cell>
          <cell r="M447" t="str">
            <v>Material Handling</v>
          </cell>
          <cell r="N447">
            <v>40000</v>
          </cell>
          <cell r="O447" t="str">
            <v>KG</v>
          </cell>
          <cell r="P447">
            <v>8.7107000000000005E-4</v>
          </cell>
          <cell r="Q447">
            <v>40000</v>
          </cell>
        </row>
        <row r="448">
          <cell r="K448" t="str">
            <v>601.4.1.1.1.0202</v>
          </cell>
          <cell r="L448" t="str">
            <v>complete</v>
          </cell>
          <cell r="M448" t="str">
            <v>Chipping&amp;Padding</v>
          </cell>
          <cell r="N448">
            <v>40000</v>
          </cell>
          <cell r="O448" t="str">
            <v>KG</v>
          </cell>
          <cell r="P448">
            <v>8.7107000000000005E-4</v>
          </cell>
          <cell r="Q448">
            <v>40000</v>
          </cell>
        </row>
        <row r="449">
          <cell r="K449" t="str">
            <v>601.4.1.1.1.0203</v>
          </cell>
          <cell r="L449" t="str">
            <v>complete</v>
          </cell>
          <cell r="M449" t="str">
            <v>Installation(Column/Beam/Bracing/Stair)</v>
          </cell>
          <cell r="N449">
            <v>40000</v>
          </cell>
          <cell r="O449" t="str">
            <v>KG</v>
          </cell>
          <cell r="P449">
            <v>8.7107E-3</v>
          </cell>
          <cell r="Q449">
            <v>40000</v>
          </cell>
        </row>
        <row r="450">
          <cell r="K450" t="str">
            <v>601.4.1.1.1.0204</v>
          </cell>
          <cell r="L450" t="str">
            <v>complete</v>
          </cell>
          <cell r="M450" t="str">
            <v>Bolting</v>
          </cell>
          <cell r="N450">
            <v>40000</v>
          </cell>
          <cell r="O450" t="str">
            <v>KG</v>
          </cell>
          <cell r="P450">
            <v>1.7421400000000001E-3</v>
          </cell>
          <cell r="Q450">
            <v>40000</v>
          </cell>
        </row>
        <row r="451">
          <cell r="K451" t="str">
            <v>601.4.1.1.1.0205</v>
          </cell>
          <cell r="L451" t="str">
            <v>complete</v>
          </cell>
          <cell r="M451" t="str">
            <v>Aligenment</v>
          </cell>
          <cell r="N451">
            <v>40000</v>
          </cell>
          <cell r="O451" t="str">
            <v>KG</v>
          </cell>
          <cell r="P451">
            <v>2.6132099999999999E-3</v>
          </cell>
          <cell r="Q451">
            <v>40000</v>
          </cell>
        </row>
        <row r="452">
          <cell r="K452" t="str">
            <v>601.4.1.1.1.0206</v>
          </cell>
          <cell r="L452" t="str">
            <v>complete</v>
          </cell>
          <cell r="M452" t="str">
            <v>Grouting</v>
          </cell>
          <cell r="N452">
            <v>40000</v>
          </cell>
          <cell r="O452" t="str">
            <v>KG</v>
          </cell>
          <cell r="P452">
            <v>8.7107000000000005E-4</v>
          </cell>
          <cell r="Q452">
            <v>40000</v>
          </cell>
        </row>
        <row r="453">
          <cell r="K453" t="str">
            <v>601.4.1.1.1.0207</v>
          </cell>
          <cell r="L453" t="str">
            <v>complete</v>
          </cell>
          <cell r="M453" t="str">
            <v>Punch Removing</v>
          </cell>
          <cell r="N453">
            <v>40000</v>
          </cell>
          <cell r="O453" t="str">
            <v>KG</v>
          </cell>
          <cell r="P453">
            <v>8.7107000000000005E-4</v>
          </cell>
          <cell r="Q453">
            <v>40000</v>
          </cell>
        </row>
        <row r="454">
          <cell r="K454" t="str">
            <v>601.4.1.1.1.0208</v>
          </cell>
          <cell r="L454" t="str">
            <v>complete</v>
          </cell>
          <cell r="M454" t="str">
            <v>Finall Inspection</v>
          </cell>
          <cell r="N454">
            <v>40000</v>
          </cell>
          <cell r="O454" t="str">
            <v>KG</v>
          </cell>
          <cell r="P454">
            <v>8.7107000000000005E-4</v>
          </cell>
          <cell r="Q454">
            <v>40000</v>
          </cell>
        </row>
        <row r="455">
          <cell r="K455" t="str">
            <v>601.4.1.1.1.0301</v>
          </cell>
          <cell r="L455" t="str">
            <v>complete</v>
          </cell>
          <cell r="M455" t="str">
            <v>Material Handling</v>
          </cell>
          <cell r="N455">
            <v>37000</v>
          </cell>
          <cell r="O455" t="str">
            <v>KG</v>
          </cell>
          <cell r="P455">
            <v>8.4771E-4</v>
          </cell>
          <cell r="Q455">
            <v>37000</v>
          </cell>
        </row>
        <row r="456">
          <cell r="K456" t="str">
            <v>601.4.1.1.1.0302</v>
          </cell>
          <cell r="L456" t="str">
            <v>complete</v>
          </cell>
          <cell r="M456" t="str">
            <v>Chipping&amp;Padding</v>
          </cell>
          <cell r="N456">
            <v>37000</v>
          </cell>
          <cell r="O456" t="str">
            <v>KG</v>
          </cell>
          <cell r="P456">
            <v>8.4771E-4</v>
          </cell>
          <cell r="Q456">
            <v>37000</v>
          </cell>
        </row>
        <row r="457">
          <cell r="K457" t="str">
            <v>601.4.1.1.1.0303</v>
          </cell>
          <cell r="L457" t="str">
            <v>complete</v>
          </cell>
          <cell r="M457" t="str">
            <v>Installation(Column/Beam/Bracing/Stair)</v>
          </cell>
          <cell r="N457">
            <v>37000</v>
          </cell>
          <cell r="O457" t="str">
            <v>KG</v>
          </cell>
          <cell r="P457">
            <v>8.4770999999999996E-3</v>
          </cell>
          <cell r="Q457">
            <v>37000</v>
          </cell>
        </row>
        <row r="458">
          <cell r="K458" t="str">
            <v>601.4.1.1.1.0304</v>
          </cell>
          <cell r="L458" t="str">
            <v>complete</v>
          </cell>
          <cell r="M458" t="str">
            <v>Bolting</v>
          </cell>
          <cell r="N458">
            <v>37000</v>
          </cell>
          <cell r="O458" t="str">
            <v>KG</v>
          </cell>
          <cell r="P458">
            <v>1.69542E-3</v>
          </cell>
          <cell r="Q458">
            <v>37000</v>
          </cell>
        </row>
        <row r="459">
          <cell r="K459" t="str">
            <v>601.4.1.1.1.0305</v>
          </cell>
          <cell r="L459" t="str">
            <v>complete</v>
          </cell>
          <cell r="M459" t="str">
            <v>Aligenment</v>
          </cell>
          <cell r="N459">
            <v>37000</v>
          </cell>
          <cell r="O459" t="str">
            <v>KG</v>
          </cell>
          <cell r="P459">
            <v>2.5431299999999998E-3</v>
          </cell>
          <cell r="Q459">
            <v>37000</v>
          </cell>
        </row>
        <row r="460">
          <cell r="K460" t="str">
            <v>601.4.1.1.1.0306</v>
          </cell>
          <cell r="L460" t="str">
            <v>complete</v>
          </cell>
          <cell r="M460" t="str">
            <v>Grouting</v>
          </cell>
          <cell r="N460">
            <v>37000</v>
          </cell>
          <cell r="O460" t="str">
            <v>KG</v>
          </cell>
          <cell r="P460">
            <v>8.4771E-4</v>
          </cell>
          <cell r="Q460">
            <v>37000</v>
          </cell>
        </row>
        <row r="461">
          <cell r="K461" t="str">
            <v>601.4.1.1.1.0307</v>
          </cell>
          <cell r="L461" t="str">
            <v>complete</v>
          </cell>
          <cell r="M461" t="str">
            <v>Punch Removing</v>
          </cell>
          <cell r="N461">
            <v>37000</v>
          </cell>
          <cell r="O461" t="str">
            <v>KG</v>
          </cell>
          <cell r="P461">
            <v>8.4771E-4</v>
          </cell>
          <cell r="Q461">
            <v>37000</v>
          </cell>
        </row>
        <row r="462">
          <cell r="K462" t="str">
            <v>601.4.1.1.1.0308</v>
          </cell>
          <cell r="L462" t="str">
            <v>complete</v>
          </cell>
          <cell r="M462" t="str">
            <v>Finall Inspection</v>
          </cell>
          <cell r="N462">
            <v>37000</v>
          </cell>
          <cell r="O462" t="str">
            <v>KG</v>
          </cell>
          <cell r="P462">
            <v>8.4771E-4</v>
          </cell>
          <cell r="Q462">
            <v>37000</v>
          </cell>
        </row>
        <row r="463">
          <cell r="K463" t="str">
            <v>601.4.1.1.1.0401</v>
          </cell>
          <cell r="L463" t="str">
            <v>inprogrss</v>
          </cell>
          <cell r="M463" t="str">
            <v>Material Handling</v>
          </cell>
          <cell r="N463">
            <v>9000</v>
          </cell>
          <cell r="O463" t="str">
            <v>KG</v>
          </cell>
          <cell r="P463">
            <v>2.0991499999999997E-4</v>
          </cell>
          <cell r="Q463">
            <v>10000</v>
          </cell>
        </row>
        <row r="464">
          <cell r="K464" t="str">
            <v>601.4.1.1.1.0402</v>
          </cell>
          <cell r="L464" t="str">
            <v>inprogrss</v>
          </cell>
          <cell r="M464" t="str">
            <v>Installation</v>
          </cell>
          <cell r="N464">
            <v>9000</v>
          </cell>
          <cell r="O464" t="str">
            <v>KG</v>
          </cell>
          <cell r="P464">
            <v>2.0991499999999997E-3</v>
          </cell>
          <cell r="Q464">
            <v>10000</v>
          </cell>
        </row>
        <row r="465">
          <cell r="K465" t="str">
            <v>601.4.1.1.1.0403</v>
          </cell>
          <cell r="L465" t="str">
            <v>inprogrss</v>
          </cell>
          <cell r="M465" t="str">
            <v>Leveling &amp; Plumbness</v>
          </cell>
          <cell r="N465">
            <v>9000</v>
          </cell>
          <cell r="O465" t="str">
            <v>KG</v>
          </cell>
          <cell r="P465">
            <v>6.2974499999999991E-4</v>
          </cell>
          <cell r="Q465">
            <v>10000</v>
          </cell>
        </row>
        <row r="466">
          <cell r="K466" t="str">
            <v>601.4.1.1.1.0404</v>
          </cell>
          <cell r="L466" t="str">
            <v>inprogrss</v>
          </cell>
          <cell r="M466" t="str">
            <v>Full Bolt &amp; Tightening</v>
          </cell>
          <cell r="N466">
            <v>8000</v>
          </cell>
          <cell r="O466" t="str">
            <v>KG</v>
          </cell>
          <cell r="P466">
            <v>8.3965999999999989E-4</v>
          </cell>
          <cell r="Q466">
            <v>10000</v>
          </cell>
        </row>
        <row r="467">
          <cell r="K467" t="str">
            <v>601.4.1.1.1.0405</v>
          </cell>
          <cell r="L467" t="str">
            <v>inprogrss</v>
          </cell>
          <cell r="M467" t="str">
            <v>Touch up</v>
          </cell>
          <cell r="N467">
            <v>7770</v>
          </cell>
          <cell r="O467" t="str">
            <v>KG</v>
          </cell>
          <cell r="P467">
            <v>2.0991499999999997E-4</v>
          </cell>
          <cell r="Q467">
            <v>10000</v>
          </cell>
        </row>
        <row r="468">
          <cell r="K468" t="str">
            <v>601.4.1.1.1.0406</v>
          </cell>
          <cell r="L468" t="str">
            <v>inprogrss</v>
          </cell>
          <cell r="M468" t="str">
            <v>Certificate</v>
          </cell>
          <cell r="N468">
            <v>7730</v>
          </cell>
          <cell r="O468" t="str">
            <v>KG</v>
          </cell>
          <cell r="P468">
            <v>2.0991499999999997E-4</v>
          </cell>
          <cell r="Q468">
            <v>10000</v>
          </cell>
        </row>
        <row r="469">
          <cell r="K469" t="str">
            <v>601.4.1.1.1.0501</v>
          </cell>
          <cell r="L469" t="str">
            <v>complete</v>
          </cell>
          <cell r="M469" t="str">
            <v>Material Handling</v>
          </cell>
          <cell r="N469">
            <v>7000</v>
          </cell>
          <cell r="O469" t="str">
            <v>KG</v>
          </cell>
          <cell r="P469">
            <v>1.8270499999999999E-4</v>
          </cell>
          <cell r="Q469">
            <v>7000</v>
          </cell>
        </row>
        <row r="470">
          <cell r="K470" t="str">
            <v>601.4.1.1.1.0502</v>
          </cell>
          <cell r="L470" t="str">
            <v>complete</v>
          </cell>
          <cell r="M470" t="str">
            <v>Installation</v>
          </cell>
          <cell r="N470">
            <v>7000</v>
          </cell>
          <cell r="O470" t="str">
            <v>KG</v>
          </cell>
          <cell r="P470">
            <v>1.82705E-3</v>
          </cell>
          <cell r="Q470">
            <v>7000</v>
          </cell>
        </row>
        <row r="471">
          <cell r="K471" t="str">
            <v>601.4.1.1.1.0503</v>
          </cell>
          <cell r="L471" t="str">
            <v>complete</v>
          </cell>
          <cell r="M471" t="str">
            <v>Leveling &amp; Plumbness</v>
          </cell>
          <cell r="N471">
            <v>7000</v>
          </cell>
          <cell r="O471" t="str">
            <v>KG</v>
          </cell>
          <cell r="P471">
            <v>5.4811499999999995E-4</v>
          </cell>
          <cell r="Q471">
            <v>7000</v>
          </cell>
        </row>
        <row r="472">
          <cell r="K472" t="str">
            <v>601.4.1.1.1.0504</v>
          </cell>
          <cell r="L472" t="str">
            <v>complete</v>
          </cell>
          <cell r="M472" t="str">
            <v>Full Bolt &amp; Tightening</v>
          </cell>
          <cell r="N472">
            <v>7000</v>
          </cell>
          <cell r="O472" t="str">
            <v>KG</v>
          </cell>
          <cell r="P472">
            <v>7.3081999999999997E-4</v>
          </cell>
          <cell r="Q472">
            <v>7000</v>
          </cell>
        </row>
        <row r="473">
          <cell r="K473" t="str">
            <v>601.4.1.1.1.0505</v>
          </cell>
          <cell r="L473" t="str">
            <v>complete</v>
          </cell>
          <cell r="M473" t="str">
            <v>Touch up</v>
          </cell>
          <cell r="N473">
            <v>7000</v>
          </cell>
          <cell r="O473" t="str">
            <v>KG</v>
          </cell>
          <cell r="P473">
            <v>1.8270499999999999E-4</v>
          </cell>
          <cell r="Q473">
            <v>7000</v>
          </cell>
        </row>
        <row r="474">
          <cell r="K474" t="str">
            <v>601.4.1.1.1.0506</v>
          </cell>
          <cell r="L474" t="str">
            <v>complete</v>
          </cell>
          <cell r="M474" t="str">
            <v>Certificate</v>
          </cell>
          <cell r="N474">
            <v>7000</v>
          </cell>
          <cell r="O474" t="str">
            <v>KG</v>
          </cell>
          <cell r="P474">
            <v>1.8270499999999999E-4</v>
          </cell>
          <cell r="Q474">
            <v>7000</v>
          </cell>
        </row>
        <row r="475">
          <cell r="K475" t="str">
            <v>601.4.1.1.1.0601</v>
          </cell>
          <cell r="L475" t="str">
            <v>complete</v>
          </cell>
          <cell r="M475" t="str">
            <v>Material Handling</v>
          </cell>
          <cell r="N475">
            <v>2000</v>
          </cell>
          <cell r="O475" t="str">
            <v>KG</v>
          </cell>
          <cell r="P475">
            <v>5.295E-5</v>
          </cell>
          <cell r="Q475">
            <v>2000</v>
          </cell>
        </row>
        <row r="476">
          <cell r="K476" t="str">
            <v>601.4.1.1.1.0602</v>
          </cell>
          <cell r="L476" t="str">
            <v>inprogrss</v>
          </cell>
          <cell r="M476" t="str">
            <v>Installation</v>
          </cell>
          <cell r="N476">
            <v>1990</v>
          </cell>
          <cell r="O476" t="str">
            <v>KG</v>
          </cell>
          <cell r="P476">
            <v>5.2950000000000002E-4</v>
          </cell>
          <cell r="Q476">
            <v>2000</v>
          </cell>
        </row>
        <row r="477">
          <cell r="K477" t="str">
            <v>601.4.1.1.1.0603</v>
          </cell>
          <cell r="L477" t="str">
            <v>inprogrss</v>
          </cell>
          <cell r="M477" t="str">
            <v>Leveling &amp; Plumbness</v>
          </cell>
          <cell r="N477"/>
          <cell r="O477" t="str">
            <v>KG</v>
          </cell>
          <cell r="P477">
            <v>1.5885000000000001E-4</v>
          </cell>
          <cell r="Q477">
            <v>2000</v>
          </cell>
        </row>
        <row r="478">
          <cell r="K478" t="str">
            <v>601.4.1.1.1.0604</v>
          </cell>
          <cell r="L478" t="str">
            <v>not started</v>
          </cell>
          <cell r="M478" t="str">
            <v>Full Bolt &amp; Tightening</v>
          </cell>
          <cell r="N478"/>
          <cell r="O478" t="str">
            <v>KG</v>
          </cell>
          <cell r="P478">
            <v>2.118E-4</v>
          </cell>
          <cell r="Q478">
            <v>2000</v>
          </cell>
        </row>
        <row r="479">
          <cell r="K479" t="str">
            <v>601.4.1.1.1.0605</v>
          </cell>
          <cell r="L479" t="str">
            <v>not started</v>
          </cell>
          <cell r="M479" t="str">
            <v>Touch up</v>
          </cell>
          <cell r="N479"/>
          <cell r="O479" t="str">
            <v>KG</v>
          </cell>
          <cell r="P479">
            <v>5.295E-5</v>
          </cell>
          <cell r="Q479">
            <v>2000</v>
          </cell>
        </row>
        <row r="480">
          <cell r="K480" t="str">
            <v>601.4.1.1.1.0606</v>
          </cell>
          <cell r="L480" t="str">
            <v>not started</v>
          </cell>
          <cell r="M480" t="str">
            <v>Certificate</v>
          </cell>
          <cell r="N480"/>
          <cell r="O480" t="str">
            <v>KG</v>
          </cell>
          <cell r="P480">
            <v>5.295E-5</v>
          </cell>
          <cell r="Q480">
            <v>2000</v>
          </cell>
        </row>
        <row r="481">
          <cell r="K481" t="str">
            <v>601.4.1.1.1.0701</v>
          </cell>
          <cell r="L481" t="str">
            <v>complete</v>
          </cell>
          <cell r="M481" t="str">
            <v>Material Handling</v>
          </cell>
          <cell r="N481">
            <v>5000</v>
          </cell>
          <cell r="O481" t="str">
            <v>KG</v>
          </cell>
          <cell r="P481">
            <v>1.0685500000000002E-4</v>
          </cell>
          <cell r="Q481">
            <v>5000</v>
          </cell>
        </row>
        <row r="482">
          <cell r="K482" t="str">
            <v>601.4.1.1.1.0702</v>
          </cell>
          <cell r="L482" t="str">
            <v>complete</v>
          </cell>
          <cell r="M482" t="str">
            <v>Installation</v>
          </cell>
          <cell r="N482">
            <v>5000</v>
          </cell>
          <cell r="O482" t="str">
            <v>KG</v>
          </cell>
          <cell r="P482">
            <v>1.0685500000000001E-3</v>
          </cell>
          <cell r="Q482">
            <v>5000</v>
          </cell>
        </row>
        <row r="483">
          <cell r="K483" t="str">
            <v>601.4.1.1.1.0703</v>
          </cell>
          <cell r="L483" t="str">
            <v>complete</v>
          </cell>
          <cell r="M483" t="str">
            <v>Leveling &amp; Plumbness</v>
          </cell>
          <cell r="N483">
            <v>5000</v>
          </cell>
          <cell r="O483" t="str">
            <v>KG</v>
          </cell>
          <cell r="P483">
            <v>3.2056500000000003E-4</v>
          </cell>
          <cell r="Q483">
            <v>5000</v>
          </cell>
        </row>
        <row r="484">
          <cell r="K484" t="str">
            <v>601.4.1.1.1.0704</v>
          </cell>
          <cell r="L484" t="str">
            <v>complete</v>
          </cell>
          <cell r="M484" t="str">
            <v>Full Bolt &amp; Tightening</v>
          </cell>
          <cell r="N484">
            <v>4015</v>
          </cell>
          <cell r="O484" t="str">
            <v>KG</v>
          </cell>
          <cell r="P484">
            <v>4.2742000000000008E-4</v>
          </cell>
          <cell r="Q484">
            <v>5000</v>
          </cell>
        </row>
        <row r="485">
          <cell r="K485" t="str">
            <v>601.4.1.1.1.0705</v>
          </cell>
          <cell r="L485" t="str">
            <v>inprogrss</v>
          </cell>
          <cell r="M485" t="str">
            <v>Touch up</v>
          </cell>
          <cell r="N485"/>
          <cell r="O485" t="str">
            <v>KG</v>
          </cell>
          <cell r="P485">
            <v>1.0685500000000002E-4</v>
          </cell>
          <cell r="Q485">
            <v>5000</v>
          </cell>
        </row>
        <row r="486">
          <cell r="K486" t="str">
            <v>601.4.1.1.1.0706</v>
          </cell>
          <cell r="L486" t="str">
            <v>inprogrss</v>
          </cell>
          <cell r="M486" t="str">
            <v>Certificate</v>
          </cell>
          <cell r="N486"/>
          <cell r="O486" t="str">
            <v>KG</v>
          </cell>
          <cell r="P486">
            <v>1.0685500000000002E-4</v>
          </cell>
          <cell r="Q486">
            <v>5000</v>
          </cell>
        </row>
        <row r="487">
          <cell r="K487" t="str">
            <v>601.4.1.1.2.0101</v>
          </cell>
          <cell r="L487" t="str">
            <v>complete</v>
          </cell>
          <cell r="M487" t="str">
            <v>Material Handling</v>
          </cell>
          <cell r="N487">
            <v>36000</v>
          </cell>
          <cell r="O487" t="str">
            <v>KG</v>
          </cell>
          <cell r="P487">
            <v>8.0844999999999995E-4</v>
          </cell>
          <cell r="Q487">
            <v>36000</v>
          </cell>
        </row>
        <row r="488">
          <cell r="K488" t="str">
            <v>601.4.1.1.2.0102</v>
          </cell>
          <cell r="L488" t="str">
            <v>complete</v>
          </cell>
          <cell r="M488" t="str">
            <v>Installation</v>
          </cell>
          <cell r="N488">
            <v>36000</v>
          </cell>
          <cell r="O488" t="str">
            <v>KG</v>
          </cell>
          <cell r="P488">
            <v>8.0844999999999997E-3</v>
          </cell>
          <cell r="Q488">
            <v>36000</v>
          </cell>
        </row>
        <row r="489">
          <cell r="K489" t="str">
            <v>601.4.1.1.2.0103</v>
          </cell>
          <cell r="L489" t="str">
            <v>complete</v>
          </cell>
          <cell r="M489" t="str">
            <v>Leveling &amp; Plumbness</v>
          </cell>
          <cell r="N489">
            <v>36000</v>
          </cell>
          <cell r="O489" t="str">
            <v>KG</v>
          </cell>
          <cell r="P489">
            <v>2.4253499999999997E-3</v>
          </cell>
          <cell r="Q489">
            <v>36000</v>
          </cell>
        </row>
        <row r="490">
          <cell r="K490" t="str">
            <v>601.4.1.1.2.0104</v>
          </cell>
          <cell r="L490" t="str">
            <v>complete</v>
          </cell>
          <cell r="M490" t="str">
            <v>Full Bolt &amp; Tightening</v>
          </cell>
          <cell r="N490">
            <v>36000</v>
          </cell>
          <cell r="O490" t="str">
            <v>KG</v>
          </cell>
          <cell r="P490">
            <v>3.2337999999999998E-3</v>
          </cell>
          <cell r="Q490">
            <v>36000</v>
          </cell>
        </row>
        <row r="491">
          <cell r="K491" t="str">
            <v>601.4.1.1.2.0105</v>
          </cell>
          <cell r="L491" t="str">
            <v>complete</v>
          </cell>
          <cell r="M491" t="str">
            <v>Touch up</v>
          </cell>
          <cell r="N491">
            <v>36000</v>
          </cell>
          <cell r="O491" t="str">
            <v>KG</v>
          </cell>
          <cell r="P491">
            <v>8.0844999999999995E-4</v>
          </cell>
          <cell r="Q491">
            <v>36000</v>
          </cell>
        </row>
        <row r="492">
          <cell r="K492" t="str">
            <v>601.4.1.1.2.0106</v>
          </cell>
          <cell r="L492" t="str">
            <v>complete</v>
          </cell>
          <cell r="M492" t="str">
            <v>Certificate</v>
          </cell>
          <cell r="N492">
            <v>36000</v>
          </cell>
          <cell r="O492" t="str">
            <v>KG</v>
          </cell>
          <cell r="P492">
            <v>8.0844999999999995E-4</v>
          </cell>
          <cell r="Q492">
            <v>36000</v>
          </cell>
        </row>
        <row r="493">
          <cell r="K493" t="str">
            <v>601.4.1.1.2.0201</v>
          </cell>
          <cell r="L493" t="str">
            <v>complete</v>
          </cell>
          <cell r="M493" t="str">
            <v>Material Handling</v>
          </cell>
          <cell r="N493">
            <v>8000</v>
          </cell>
          <cell r="O493" t="str">
            <v>KG</v>
          </cell>
          <cell r="P493">
            <v>1.9604999999999999E-4</v>
          </cell>
          <cell r="Q493">
            <v>8000</v>
          </cell>
        </row>
        <row r="494">
          <cell r="K494" t="str">
            <v>601.4.1.1.2.0202</v>
          </cell>
          <cell r="L494" t="str">
            <v>complete</v>
          </cell>
          <cell r="M494" t="str">
            <v>Installation</v>
          </cell>
          <cell r="N494">
            <v>8000</v>
          </cell>
          <cell r="O494" t="str">
            <v>KG</v>
          </cell>
          <cell r="P494">
            <v>1.9605E-3</v>
          </cell>
          <cell r="Q494">
            <v>8000</v>
          </cell>
        </row>
        <row r="495">
          <cell r="K495" t="str">
            <v>601.4.1.1.2.0203</v>
          </cell>
          <cell r="L495" t="str">
            <v>complete</v>
          </cell>
          <cell r="M495" t="str">
            <v>Leveling &amp; Plumbness</v>
          </cell>
          <cell r="N495">
            <v>8000</v>
          </cell>
          <cell r="O495" t="str">
            <v>KG</v>
          </cell>
          <cell r="P495">
            <v>5.8814999999999996E-4</v>
          </cell>
          <cell r="Q495">
            <v>8000</v>
          </cell>
        </row>
        <row r="496">
          <cell r="K496" t="str">
            <v>601.4.1.1.2.0204</v>
          </cell>
          <cell r="L496" t="str">
            <v>complete</v>
          </cell>
          <cell r="M496" t="str">
            <v>Full Bolt &amp; Tightening</v>
          </cell>
          <cell r="N496">
            <v>8000</v>
          </cell>
          <cell r="O496" t="str">
            <v>KG</v>
          </cell>
          <cell r="P496">
            <v>7.8419999999999998E-4</v>
          </cell>
          <cell r="Q496">
            <v>8000</v>
          </cell>
        </row>
        <row r="497">
          <cell r="K497" t="str">
            <v>601.4.1.1.2.0205</v>
          </cell>
          <cell r="L497" t="str">
            <v>complete</v>
          </cell>
          <cell r="M497" t="str">
            <v>Touch up</v>
          </cell>
          <cell r="N497">
            <v>8000</v>
          </cell>
          <cell r="O497" t="str">
            <v>KG</v>
          </cell>
          <cell r="P497">
            <v>1.9604999999999999E-4</v>
          </cell>
          <cell r="Q497">
            <v>8000</v>
          </cell>
        </row>
        <row r="498">
          <cell r="K498" t="str">
            <v>601.4.1.1.2.0206</v>
          </cell>
          <cell r="L498" t="str">
            <v>complete</v>
          </cell>
          <cell r="M498" t="str">
            <v>Certificate</v>
          </cell>
          <cell r="N498">
            <v>8000</v>
          </cell>
          <cell r="O498" t="str">
            <v>KG</v>
          </cell>
          <cell r="P498">
            <v>1.9604999999999999E-4</v>
          </cell>
          <cell r="Q498">
            <v>8000</v>
          </cell>
        </row>
        <row r="499">
          <cell r="K499" t="str">
            <v>601.4.1.1.2.0301</v>
          </cell>
          <cell r="L499" t="str">
            <v>complete</v>
          </cell>
          <cell r="M499" t="str">
            <v>Material Handling</v>
          </cell>
          <cell r="N499">
            <v>8000</v>
          </cell>
          <cell r="O499" t="str">
            <v>KG</v>
          </cell>
          <cell r="P499">
            <v>1.9604999999999999E-4</v>
          </cell>
          <cell r="Q499">
            <v>8000</v>
          </cell>
        </row>
        <row r="500">
          <cell r="K500" t="str">
            <v>601.4.1.1.2.0302</v>
          </cell>
          <cell r="L500" t="str">
            <v>complete</v>
          </cell>
          <cell r="M500" t="str">
            <v>Installation</v>
          </cell>
          <cell r="N500">
            <v>8000</v>
          </cell>
          <cell r="O500" t="str">
            <v>KG</v>
          </cell>
          <cell r="P500">
            <v>1.9605E-3</v>
          </cell>
          <cell r="Q500">
            <v>8000</v>
          </cell>
        </row>
        <row r="501">
          <cell r="K501" t="str">
            <v>601.4.1.1.2.0303</v>
          </cell>
          <cell r="L501" t="str">
            <v>complete</v>
          </cell>
          <cell r="M501" t="str">
            <v>Leveling &amp; Plumbness</v>
          </cell>
          <cell r="N501">
            <v>8000</v>
          </cell>
          <cell r="O501" t="str">
            <v>KG</v>
          </cell>
          <cell r="P501">
            <v>5.8814999999999996E-4</v>
          </cell>
          <cell r="Q501">
            <v>8000</v>
          </cell>
        </row>
        <row r="502">
          <cell r="K502" t="str">
            <v>601.4.1.1.2.0304</v>
          </cell>
          <cell r="L502" t="str">
            <v>complete</v>
          </cell>
          <cell r="M502" t="str">
            <v>Full Bolt &amp; Tightening</v>
          </cell>
          <cell r="N502">
            <v>8000</v>
          </cell>
          <cell r="O502" t="str">
            <v>KG</v>
          </cell>
          <cell r="P502">
            <v>7.8419999999999998E-4</v>
          </cell>
          <cell r="Q502">
            <v>8000</v>
          </cell>
        </row>
        <row r="503">
          <cell r="K503" t="str">
            <v>601.4.1.1.2.0305</v>
          </cell>
          <cell r="L503" t="str">
            <v>complete</v>
          </cell>
          <cell r="M503" t="str">
            <v>Touch up</v>
          </cell>
          <cell r="N503">
            <v>8000</v>
          </cell>
          <cell r="O503" t="str">
            <v>KG</v>
          </cell>
          <cell r="P503">
            <v>1.9604999999999999E-4</v>
          </cell>
          <cell r="Q503">
            <v>8000</v>
          </cell>
        </row>
        <row r="504">
          <cell r="K504" t="str">
            <v>601.4.1.1.2.0306</v>
          </cell>
          <cell r="L504" t="str">
            <v>complete</v>
          </cell>
          <cell r="M504" t="str">
            <v>Certificate</v>
          </cell>
          <cell r="N504">
            <v>8000</v>
          </cell>
          <cell r="O504" t="str">
            <v>KG</v>
          </cell>
          <cell r="P504">
            <v>1.9604999999999999E-4</v>
          </cell>
          <cell r="Q504">
            <v>8000</v>
          </cell>
        </row>
        <row r="505">
          <cell r="K505" t="str">
            <v>601.4.1.1.2.0401</v>
          </cell>
          <cell r="L505" t="str">
            <v>complete</v>
          </cell>
          <cell r="M505" t="str">
            <v>Material Handling</v>
          </cell>
          <cell r="N505">
            <v>8000</v>
          </cell>
          <cell r="O505" t="str">
            <v>KG</v>
          </cell>
          <cell r="P505">
            <v>1.9604999999999999E-4</v>
          </cell>
          <cell r="Q505">
            <v>8000</v>
          </cell>
        </row>
        <row r="506">
          <cell r="K506" t="str">
            <v>601.4.1.1.2.0402</v>
          </cell>
          <cell r="L506" t="str">
            <v>complete</v>
          </cell>
          <cell r="M506" t="str">
            <v>Installation</v>
          </cell>
          <cell r="N506">
            <v>8000</v>
          </cell>
          <cell r="O506" t="str">
            <v>KG</v>
          </cell>
          <cell r="P506">
            <v>1.9605E-3</v>
          </cell>
          <cell r="Q506">
            <v>8000</v>
          </cell>
        </row>
        <row r="507">
          <cell r="K507" t="str">
            <v>601.4.1.1.2.0403</v>
          </cell>
          <cell r="L507" t="str">
            <v>complete</v>
          </cell>
          <cell r="M507" t="str">
            <v>Leveling &amp; Plumbness</v>
          </cell>
          <cell r="N507">
            <v>8000</v>
          </cell>
          <cell r="O507" t="str">
            <v>KG</v>
          </cell>
          <cell r="P507">
            <v>5.8814999999999996E-4</v>
          </cell>
          <cell r="Q507">
            <v>8000</v>
          </cell>
        </row>
        <row r="508">
          <cell r="K508" t="str">
            <v>601.4.1.1.2.0404</v>
          </cell>
          <cell r="L508" t="str">
            <v>complete</v>
          </cell>
          <cell r="M508" t="str">
            <v>Full Bolt &amp; Tightening</v>
          </cell>
          <cell r="N508">
            <v>8000</v>
          </cell>
          <cell r="O508" t="str">
            <v>KG</v>
          </cell>
          <cell r="P508">
            <v>7.8419999999999998E-4</v>
          </cell>
          <cell r="Q508">
            <v>8000</v>
          </cell>
        </row>
        <row r="509">
          <cell r="K509" t="str">
            <v>601.4.1.1.2.0405</v>
          </cell>
          <cell r="L509" t="str">
            <v>complete</v>
          </cell>
          <cell r="M509" t="str">
            <v>Touch up</v>
          </cell>
          <cell r="N509">
            <v>8000</v>
          </cell>
          <cell r="O509" t="str">
            <v>KG</v>
          </cell>
          <cell r="P509">
            <v>1.9604999999999999E-4</v>
          </cell>
          <cell r="Q509">
            <v>8000</v>
          </cell>
        </row>
        <row r="510">
          <cell r="K510" t="str">
            <v>601.4.1.1.2.0406</v>
          </cell>
          <cell r="L510" t="str">
            <v>complete</v>
          </cell>
          <cell r="M510" t="str">
            <v>Certificate</v>
          </cell>
          <cell r="N510">
            <v>8000</v>
          </cell>
          <cell r="O510" t="str">
            <v>KG</v>
          </cell>
          <cell r="P510">
            <v>1.9604999999999999E-4</v>
          </cell>
          <cell r="Q510">
            <v>8000</v>
          </cell>
        </row>
        <row r="511">
          <cell r="K511" t="str">
            <v>601.4.1.1.2.0501</v>
          </cell>
          <cell r="L511" t="str">
            <v>complete</v>
          </cell>
          <cell r="M511" t="str">
            <v>Material Handling</v>
          </cell>
          <cell r="N511">
            <v>8000</v>
          </cell>
          <cell r="O511" t="str">
            <v>KG</v>
          </cell>
          <cell r="P511">
            <v>1.9604999999999999E-4</v>
          </cell>
          <cell r="Q511">
            <v>8000</v>
          </cell>
        </row>
        <row r="512">
          <cell r="K512" t="str">
            <v>601.4.1.1.2.0502</v>
          </cell>
          <cell r="L512" t="str">
            <v>complete</v>
          </cell>
          <cell r="M512" t="str">
            <v>Installation</v>
          </cell>
          <cell r="N512">
            <v>8000</v>
          </cell>
          <cell r="O512" t="str">
            <v>KG</v>
          </cell>
          <cell r="P512">
            <v>1.9605E-3</v>
          </cell>
          <cell r="Q512">
            <v>8000</v>
          </cell>
        </row>
        <row r="513">
          <cell r="K513" t="str">
            <v>601.4.1.1.2.0503</v>
          </cell>
          <cell r="L513" t="str">
            <v>complete</v>
          </cell>
          <cell r="M513" t="str">
            <v>Leveling &amp; Plumbness</v>
          </cell>
          <cell r="N513">
            <v>8000</v>
          </cell>
          <cell r="O513" t="str">
            <v>KG</v>
          </cell>
          <cell r="P513">
            <v>5.8814999999999996E-4</v>
          </cell>
          <cell r="Q513">
            <v>8000</v>
          </cell>
        </row>
        <row r="514">
          <cell r="K514" t="str">
            <v>601.4.1.1.2.0504</v>
          </cell>
          <cell r="L514" t="str">
            <v>complete</v>
          </cell>
          <cell r="M514" t="str">
            <v>Full Bolt &amp; Tightening</v>
          </cell>
          <cell r="N514">
            <v>8000</v>
          </cell>
          <cell r="O514" t="str">
            <v>KG</v>
          </cell>
          <cell r="P514">
            <v>7.8419999999999998E-4</v>
          </cell>
          <cell r="Q514">
            <v>8000</v>
          </cell>
        </row>
        <row r="515">
          <cell r="K515" t="str">
            <v>601.4.1.1.2.0505</v>
          </cell>
          <cell r="L515" t="str">
            <v>complete</v>
          </cell>
          <cell r="M515" t="str">
            <v>Touch up</v>
          </cell>
          <cell r="N515">
            <v>8000</v>
          </cell>
          <cell r="O515" t="str">
            <v>KG</v>
          </cell>
          <cell r="P515">
            <v>1.9604999999999999E-4</v>
          </cell>
          <cell r="Q515">
            <v>8000</v>
          </cell>
        </row>
        <row r="516">
          <cell r="K516" t="str">
            <v>601.4.1.1.2.0506</v>
          </cell>
          <cell r="L516" t="str">
            <v>complete</v>
          </cell>
          <cell r="M516" t="str">
            <v>Certificate</v>
          </cell>
          <cell r="N516">
            <v>8000</v>
          </cell>
          <cell r="O516" t="str">
            <v>KG</v>
          </cell>
          <cell r="P516">
            <v>1.9604999999999999E-4</v>
          </cell>
          <cell r="Q516">
            <v>8000</v>
          </cell>
        </row>
        <row r="517">
          <cell r="K517" t="str">
            <v>601.4.1.1.2.0601</v>
          </cell>
          <cell r="L517" t="str">
            <v>complete</v>
          </cell>
          <cell r="M517" t="str">
            <v>Material Handling</v>
          </cell>
          <cell r="N517">
            <v>7750</v>
          </cell>
          <cell r="O517" t="str">
            <v>KG</v>
          </cell>
          <cell r="P517">
            <v>2.3080000000000003E-4</v>
          </cell>
          <cell r="Q517">
            <v>7750</v>
          </cell>
        </row>
        <row r="518">
          <cell r="K518" t="str">
            <v>601.4.1.1.2.0602</v>
          </cell>
          <cell r="L518" t="str">
            <v>complete</v>
          </cell>
          <cell r="M518" t="str">
            <v>Installation</v>
          </cell>
          <cell r="N518">
            <v>7750</v>
          </cell>
          <cell r="O518" t="str">
            <v>KG</v>
          </cell>
          <cell r="P518">
            <v>2.3080000000000002E-3</v>
          </cell>
          <cell r="Q518">
            <v>7750</v>
          </cell>
        </row>
        <row r="519">
          <cell r="K519" t="str">
            <v>601.4.1.1.2.0603</v>
          </cell>
          <cell r="L519" t="str">
            <v>complete</v>
          </cell>
          <cell r="M519" t="str">
            <v>Leveling &amp; Plumbness</v>
          </cell>
          <cell r="N519">
            <v>7750</v>
          </cell>
          <cell r="O519" t="str">
            <v>KG</v>
          </cell>
          <cell r="P519">
            <v>6.9240000000000002E-4</v>
          </cell>
          <cell r="Q519">
            <v>7750</v>
          </cell>
        </row>
        <row r="520">
          <cell r="K520" t="str">
            <v>601.4.1.1.2.0604</v>
          </cell>
          <cell r="L520" t="str">
            <v>inprogrss</v>
          </cell>
          <cell r="M520" t="str">
            <v>Full Bolt &amp; Tightening</v>
          </cell>
          <cell r="N520">
            <v>4465</v>
          </cell>
          <cell r="O520" t="str">
            <v>KG</v>
          </cell>
          <cell r="P520">
            <v>9.2320000000000011E-4</v>
          </cell>
          <cell r="Q520">
            <v>7750</v>
          </cell>
        </row>
        <row r="521">
          <cell r="K521" t="str">
            <v>601.4.1.1.2.0605</v>
          </cell>
          <cell r="L521" t="str">
            <v>not started</v>
          </cell>
          <cell r="M521" t="str">
            <v>Touch up</v>
          </cell>
          <cell r="N521"/>
          <cell r="O521" t="str">
            <v>KG</v>
          </cell>
          <cell r="P521">
            <v>2.3080000000000003E-4</v>
          </cell>
          <cell r="Q521">
            <v>7750</v>
          </cell>
        </row>
        <row r="522">
          <cell r="K522" t="str">
            <v>601.4.1.1.2.0606</v>
          </cell>
          <cell r="L522" t="str">
            <v>not started</v>
          </cell>
          <cell r="M522" t="str">
            <v>Certificate</v>
          </cell>
          <cell r="N522"/>
          <cell r="O522" t="str">
            <v>KG</v>
          </cell>
          <cell r="P522">
            <v>2.3080000000000003E-4</v>
          </cell>
          <cell r="Q522">
            <v>7750</v>
          </cell>
        </row>
        <row r="523">
          <cell r="K523" t="str">
            <v>601.4.1.1.2.0701</v>
          </cell>
          <cell r="L523" t="str">
            <v>complete</v>
          </cell>
          <cell r="M523" t="str">
            <v>Material Handling</v>
          </cell>
          <cell r="N523">
            <v>2504</v>
          </cell>
          <cell r="O523" t="str">
            <v>KG</v>
          </cell>
          <cell r="P523">
            <v>3.0249999999999997E-5</v>
          </cell>
          <cell r="Q523">
            <v>2504</v>
          </cell>
        </row>
        <row r="524">
          <cell r="K524" t="str">
            <v>601.4.1.1.2.0702</v>
          </cell>
          <cell r="L524" t="str">
            <v>complete</v>
          </cell>
          <cell r="M524" t="str">
            <v>Installation</v>
          </cell>
          <cell r="N524">
            <v>2504</v>
          </cell>
          <cell r="O524" t="str">
            <v>KG</v>
          </cell>
          <cell r="P524">
            <v>3.0249999999999998E-4</v>
          </cell>
          <cell r="Q524">
            <v>2504</v>
          </cell>
        </row>
        <row r="525">
          <cell r="K525" t="str">
            <v>601.4.1.1.2.0703</v>
          </cell>
          <cell r="L525" t="str">
            <v>complete</v>
          </cell>
          <cell r="M525" t="str">
            <v>Leveling &amp; Plumbness</v>
          </cell>
          <cell r="N525">
            <v>2504</v>
          </cell>
          <cell r="O525" t="str">
            <v>KG</v>
          </cell>
          <cell r="P525">
            <v>9.0749999999999997E-5</v>
          </cell>
          <cell r="Q525">
            <v>2504</v>
          </cell>
        </row>
        <row r="526">
          <cell r="K526" t="str">
            <v>601.4.1.1.2.0704</v>
          </cell>
          <cell r="L526" t="str">
            <v>complete</v>
          </cell>
          <cell r="M526" t="str">
            <v>Full Bolt &amp; Tightening</v>
          </cell>
          <cell r="N526">
            <v>2504</v>
          </cell>
          <cell r="O526" t="str">
            <v>KG</v>
          </cell>
          <cell r="P526">
            <v>1.2099999999999999E-4</v>
          </cell>
          <cell r="Q526">
            <v>2504</v>
          </cell>
        </row>
        <row r="527">
          <cell r="K527" t="str">
            <v>601.4.1.1.2.0705</v>
          </cell>
          <cell r="L527" t="str">
            <v>complete</v>
          </cell>
          <cell r="M527" t="str">
            <v>Touch up</v>
          </cell>
          <cell r="N527">
            <v>2504</v>
          </cell>
          <cell r="O527" t="str">
            <v>KG</v>
          </cell>
          <cell r="P527">
            <v>3.0249999999999997E-5</v>
          </cell>
          <cell r="Q527">
            <v>2504</v>
          </cell>
        </row>
        <row r="528">
          <cell r="K528" t="str">
            <v>601.4.1.1.2.0706</v>
          </cell>
          <cell r="L528" t="str">
            <v>complete</v>
          </cell>
          <cell r="M528" t="str">
            <v>Certificate</v>
          </cell>
          <cell r="N528">
            <v>2504</v>
          </cell>
          <cell r="O528" t="str">
            <v>KG</v>
          </cell>
          <cell r="P528">
            <v>3.0249999999999997E-5</v>
          </cell>
          <cell r="Q528">
            <v>2504</v>
          </cell>
        </row>
        <row r="529">
          <cell r="K529" t="str">
            <v>601.4.1.1.2.0801</v>
          </cell>
          <cell r="L529" t="str">
            <v>complete</v>
          </cell>
          <cell r="M529" t="str">
            <v>Material Handling</v>
          </cell>
          <cell r="N529">
            <v>24167</v>
          </cell>
          <cell r="O529" t="str">
            <v>KG</v>
          </cell>
          <cell r="P529">
            <v>2.085E-4</v>
          </cell>
          <cell r="Q529">
            <v>24167</v>
          </cell>
        </row>
        <row r="530">
          <cell r="K530" t="str">
            <v>601.4.1.1.2.0802</v>
          </cell>
          <cell r="L530" t="str">
            <v>complete</v>
          </cell>
          <cell r="M530" t="str">
            <v>installation</v>
          </cell>
          <cell r="N530">
            <v>24167</v>
          </cell>
          <cell r="O530" t="str">
            <v>KG</v>
          </cell>
          <cell r="P530">
            <v>2.7105000000000002E-3</v>
          </cell>
          <cell r="Q530">
            <v>24167</v>
          </cell>
        </row>
        <row r="531">
          <cell r="K531" t="str">
            <v>601.4.1.1.2.0803</v>
          </cell>
          <cell r="L531" t="str">
            <v>complete</v>
          </cell>
          <cell r="M531" t="str">
            <v>Clamping &amp; Tightening</v>
          </cell>
          <cell r="N531">
            <v>24167</v>
          </cell>
          <cell r="O531" t="str">
            <v>KG</v>
          </cell>
          <cell r="P531">
            <v>8.34E-4</v>
          </cell>
          <cell r="Q531">
            <v>24167</v>
          </cell>
        </row>
        <row r="532">
          <cell r="K532" t="str">
            <v>601.4.1.1.2.0804</v>
          </cell>
          <cell r="L532" t="str">
            <v>complete</v>
          </cell>
          <cell r="M532" t="str">
            <v>Touch up &amp; Cleaning</v>
          </cell>
          <cell r="N532">
            <v>24167</v>
          </cell>
          <cell r="O532" t="str">
            <v>KG</v>
          </cell>
          <cell r="P532">
            <v>2.085E-4</v>
          </cell>
          <cell r="Q532">
            <v>24167</v>
          </cell>
        </row>
        <row r="533">
          <cell r="K533" t="str">
            <v>601.4.1.1.2.0805</v>
          </cell>
          <cell r="L533" t="str">
            <v>complete</v>
          </cell>
          <cell r="M533" t="str">
            <v>Certificate</v>
          </cell>
          <cell r="N533">
            <v>24167</v>
          </cell>
          <cell r="O533" t="str">
            <v>KG</v>
          </cell>
          <cell r="P533">
            <v>2.085E-4</v>
          </cell>
          <cell r="Q533">
            <v>24167</v>
          </cell>
        </row>
        <row r="534">
          <cell r="K534" t="str">
            <v>601.4.1.1.3.0101</v>
          </cell>
          <cell r="L534" t="str">
            <v>complete</v>
          </cell>
          <cell r="M534" t="str">
            <v>Material Handling</v>
          </cell>
          <cell r="N534">
            <v>4000</v>
          </cell>
          <cell r="O534" t="str">
            <v>KG</v>
          </cell>
          <cell r="P534">
            <v>9.0574999999999993E-5</v>
          </cell>
          <cell r="Q534">
            <v>4000</v>
          </cell>
        </row>
        <row r="535">
          <cell r="K535" t="str">
            <v>601.4.1.1.3.0102</v>
          </cell>
          <cell r="L535" t="str">
            <v>complete</v>
          </cell>
          <cell r="M535" t="str">
            <v>Installation</v>
          </cell>
          <cell r="N535">
            <v>4000</v>
          </cell>
          <cell r="O535" t="str">
            <v>KG</v>
          </cell>
          <cell r="P535">
            <v>9.0574999999999998E-4</v>
          </cell>
          <cell r="Q535">
            <v>4000</v>
          </cell>
        </row>
        <row r="536">
          <cell r="K536" t="str">
            <v>601.4.1.1.3.0103</v>
          </cell>
          <cell r="L536" t="str">
            <v>complete</v>
          </cell>
          <cell r="M536" t="str">
            <v>Leveling &amp; Plumbness</v>
          </cell>
          <cell r="N536">
            <v>4000</v>
          </cell>
          <cell r="O536" t="str">
            <v>KG</v>
          </cell>
          <cell r="P536">
            <v>2.71725E-4</v>
          </cell>
          <cell r="Q536">
            <v>4000</v>
          </cell>
        </row>
        <row r="537">
          <cell r="K537" t="str">
            <v>601.4.1.1.3.0104</v>
          </cell>
          <cell r="L537" t="str">
            <v>complete</v>
          </cell>
          <cell r="M537" t="str">
            <v>Full Bolt &amp; Tightening</v>
          </cell>
          <cell r="N537">
            <v>4000</v>
          </cell>
          <cell r="O537" t="str">
            <v>KG</v>
          </cell>
          <cell r="P537">
            <v>3.6229999999999997E-4</v>
          </cell>
          <cell r="Q537">
            <v>4000</v>
          </cell>
        </row>
        <row r="538">
          <cell r="K538" t="str">
            <v>601.4.1.1.3.0105</v>
          </cell>
          <cell r="L538" t="str">
            <v>complete</v>
          </cell>
          <cell r="M538" t="str">
            <v>Touch up</v>
          </cell>
          <cell r="N538">
            <v>4000</v>
          </cell>
          <cell r="O538" t="str">
            <v>KG</v>
          </cell>
          <cell r="P538">
            <v>9.0574999999999993E-5</v>
          </cell>
          <cell r="Q538">
            <v>4000</v>
          </cell>
        </row>
        <row r="539">
          <cell r="K539" t="str">
            <v>601.4.1.1.3.0106</v>
          </cell>
          <cell r="L539" t="str">
            <v>complete</v>
          </cell>
          <cell r="M539" t="str">
            <v>Certificate</v>
          </cell>
          <cell r="N539">
            <v>4000</v>
          </cell>
          <cell r="O539" t="str">
            <v>KG</v>
          </cell>
          <cell r="P539">
            <v>9.0574999999999993E-5</v>
          </cell>
          <cell r="Q539">
            <v>4000</v>
          </cell>
        </row>
        <row r="540">
          <cell r="K540" t="str">
            <v>601.4.1.1.3.0201</v>
          </cell>
          <cell r="L540" t="str">
            <v>complete</v>
          </cell>
          <cell r="M540" t="str">
            <v>Material Handling</v>
          </cell>
          <cell r="N540">
            <v>24000</v>
          </cell>
          <cell r="O540" t="str">
            <v>KG</v>
          </cell>
          <cell r="P540">
            <v>5.1973500000000001E-4</v>
          </cell>
          <cell r="Q540">
            <v>24000</v>
          </cell>
        </row>
        <row r="541">
          <cell r="K541" t="str">
            <v>601.4.1.1.3.0202</v>
          </cell>
          <cell r="L541" t="str">
            <v>complete</v>
          </cell>
          <cell r="M541" t="str">
            <v>Installation</v>
          </cell>
          <cell r="N541">
            <v>24000</v>
          </cell>
          <cell r="O541" t="str">
            <v>KG</v>
          </cell>
          <cell r="P541">
            <v>5.1973499999999999E-3</v>
          </cell>
          <cell r="Q541">
            <v>24000</v>
          </cell>
        </row>
        <row r="542">
          <cell r="K542" t="str">
            <v>601.4.1.1.3.0203</v>
          </cell>
          <cell r="L542" t="str">
            <v>complete</v>
          </cell>
          <cell r="M542" t="str">
            <v>Leveling &amp; Plumbness</v>
          </cell>
          <cell r="N542">
            <v>24000</v>
          </cell>
          <cell r="O542" t="str">
            <v>KG</v>
          </cell>
          <cell r="P542">
            <v>1.5592049999999999E-3</v>
          </cell>
          <cell r="Q542">
            <v>24000</v>
          </cell>
        </row>
        <row r="543">
          <cell r="K543" t="str">
            <v>601.4.1.1.3.0204</v>
          </cell>
          <cell r="L543" t="str">
            <v>complete</v>
          </cell>
          <cell r="M543" t="str">
            <v>Full Bolt &amp; Tightening</v>
          </cell>
          <cell r="N543">
            <v>24000</v>
          </cell>
          <cell r="O543" t="str">
            <v>KG</v>
          </cell>
          <cell r="P543">
            <v>2.07894E-3</v>
          </cell>
          <cell r="Q543">
            <v>24000</v>
          </cell>
        </row>
        <row r="544">
          <cell r="K544" t="str">
            <v>601.4.1.1.3.0205</v>
          </cell>
          <cell r="L544" t="str">
            <v>complete</v>
          </cell>
          <cell r="M544" t="str">
            <v>Touch up</v>
          </cell>
          <cell r="N544">
            <v>24000</v>
          </cell>
          <cell r="O544" t="str">
            <v>KG</v>
          </cell>
          <cell r="P544">
            <v>5.1973500000000001E-4</v>
          </cell>
          <cell r="Q544">
            <v>24000</v>
          </cell>
        </row>
        <row r="545">
          <cell r="K545" t="str">
            <v>601.4.1.1.3.0206</v>
          </cell>
          <cell r="L545" t="str">
            <v>complete</v>
          </cell>
          <cell r="M545" t="str">
            <v>Certificate</v>
          </cell>
          <cell r="N545">
            <v>24000</v>
          </cell>
          <cell r="O545" t="str">
            <v>KG</v>
          </cell>
          <cell r="P545">
            <v>5.1973500000000001E-4</v>
          </cell>
          <cell r="Q545">
            <v>24000</v>
          </cell>
        </row>
        <row r="546">
          <cell r="K546" t="str">
            <v>601.4.1.1.3.0301</v>
          </cell>
          <cell r="L546" t="str">
            <v>complete</v>
          </cell>
          <cell r="M546" t="str">
            <v>Material Handling</v>
          </cell>
          <cell r="N546">
            <v>16000</v>
          </cell>
          <cell r="O546" t="str">
            <v>KG</v>
          </cell>
          <cell r="P546">
            <v>3.6752499999999995E-4</v>
          </cell>
          <cell r="Q546">
            <v>16000</v>
          </cell>
        </row>
        <row r="547">
          <cell r="K547" t="str">
            <v>601.4.1.1.3.0302</v>
          </cell>
          <cell r="L547" t="str">
            <v>complete</v>
          </cell>
          <cell r="M547" t="str">
            <v>Installation</v>
          </cell>
          <cell r="N547">
            <v>16000</v>
          </cell>
          <cell r="O547" t="str">
            <v>KG</v>
          </cell>
          <cell r="P547">
            <v>3.6752499999999997E-3</v>
          </cell>
          <cell r="Q547">
            <v>16000</v>
          </cell>
        </row>
        <row r="548">
          <cell r="K548" t="str">
            <v>601.4.1.1.3.0303</v>
          </cell>
          <cell r="L548" t="str">
            <v>complete</v>
          </cell>
          <cell r="M548" t="str">
            <v>Leveling &amp; Plumbness</v>
          </cell>
          <cell r="N548">
            <v>16000</v>
          </cell>
          <cell r="O548" t="str">
            <v>KG</v>
          </cell>
          <cell r="P548">
            <v>1.102575E-3</v>
          </cell>
          <cell r="Q548">
            <v>16000</v>
          </cell>
        </row>
        <row r="549">
          <cell r="K549" t="str">
            <v>601.4.1.1.3.0304</v>
          </cell>
          <cell r="L549" t="str">
            <v>complete</v>
          </cell>
          <cell r="M549" t="str">
            <v>Full Bolt &amp; Tightening</v>
          </cell>
          <cell r="N549">
            <v>16000</v>
          </cell>
          <cell r="O549" t="str">
            <v>KG</v>
          </cell>
          <cell r="P549">
            <v>1.4700999999999998E-3</v>
          </cell>
          <cell r="Q549">
            <v>16000</v>
          </cell>
        </row>
        <row r="550">
          <cell r="K550" t="str">
            <v>601.4.1.1.3.0305</v>
          </cell>
          <cell r="L550" t="str">
            <v>complete</v>
          </cell>
          <cell r="M550" t="str">
            <v>Touch up</v>
          </cell>
          <cell r="N550">
            <v>16000</v>
          </cell>
          <cell r="O550" t="str">
            <v>KG</v>
          </cell>
          <cell r="P550">
            <v>3.6752499999999995E-4</v>
          </cell>
          <cell r="Q550">
            <v>16000</v>
          </cell>
        </row>
        <row r="551">
          <cell r="K551" t="str">
            <v>601.4.1.1.3.0306</v>
          </cell>
          <cell r="L551" t="str">
            <v>complete</v>
          </cell>
          <cell r="M551" t="str">
            <v>Certificate</v>
          </cell>
          <cell r="N551">
            <v>16000</v>
          </cell>
          <cell r="O551" t="str">
            <v>KG</v>
          </cell>
          <cell r="P551">
            <v>3.6752499999999995E-4</v>
          </cell>
          <cell r="Q551">
            <v>16000</v>
          </cell>
        </row>
        <row r="552">
          <cell r="K552" t="str">
            <v>601.4.1.1.3.0401</v>
          </cell>
          <cell r="L552" t="str">
            <v>not started</v>
          </cell>
          <cell r="M552" t="str">
            <v>Material Handling</v>
          </cell>
          <cell r="N552"/>
          <cell r="O552" t="str">
            <v>KG</v>
          </cell>
          <cell r="P552">
            <v>1.7629500000000001E-4</v>
          </cell>
          <cell r="Q552">
            <v>8000</v>
          </cell>
        </row>
        <row r="553">
          <cell r="K553" t="str">
            <v>601.4.1.1.3.0402</v>
          </cell>
          <cell r="L553" t="str">
            <v>not started</v>
          </cell>
          <cell r="M553" t="str">
            <v>Installation</v>
          </cell>
          <cell r="N553"/>
          <cell r="O553" t="str">
            <v>KG</v>
          </cell>
          <cell r="P553">
            <v>1.7629500000000001E-3</v>
          </cell>
          <cell r="Q553">
            <v>8000</v>
          </cell>
        </row>
        <row r="554">
          <cell r="K554" t="str">
            <v>601.4.1.1.3.0403</v>
          </cell>
          <cell r="L554" t="str">
            <v>not started</v>
          </cell>
          <cell r="M554" t="str">
            <v>Leveling &amp; Plumbness</v>
          </cell>
          <cell r="N554"/>
          <cell r="O554" t="str">
            <v>KG</v>
          </cell>
          <cell r="P554">
            <v>5.2888499999999999E-4</v>
          </cell>
          <cell r="Q554">
            <v>8000</v>
          </cell>
        </row>
        <row r="555">
          <cell r="K555" t="str">
            <v>601.4.1.1.3.0404</v>
          </cell>
          <cell r="L555" t="str">
            <v>not started</v>
          </cell>
          <cell r="M555" t="str">
            <v>Full Bolt &amp; Tightening</v>
          </cell>
          <cell r="N555"/>
          <cell r="O555" t="str">
            <v>KG</v>
          </cell>
          <cell r="P555">
            <v>7.0518000000000002E-4</v>
          </cell>
          <cell r="Q555">
            <v>8000</v>
          </cell>
        </row>
        <row r="556">
          <cell r="K556" t="str">
            <v>601.4.1.1.3.0405</v>
          </cell>
          <cell r="L556" t="str">
            <v>not started</v>
          </cell>
          <cell r="M556" t="str">
            <v>Touch up</v>
          </cell>
          <cell r="N556"/>
          <cell r="O556" t="str">
            <v>KG</v>
          </cell>
          <cell r="P556">
            <v>1.7629500000000001E-4</v>
          </cell>
          <cell r="Q556">
            <v>8000</v>
          </cell>
        </row>
        <row r="557">
          <cell r="K557" t="str">
            <v>601.4.1.1.3.0406</v>
          </cell>
          <cell r="L557" t="str">
            <v>not started</v>
          </cell>
          <cell r="M557" t="str">
            <v>Certificate</v>
          </cell>
          <cell r="N557"/>
          <cell r="O557" t="str">
            <v>KG</v>
          </cell>
          <cell r="P557">
            <v>1.7629500000000001E-4</v>
          </cell>
          <cell r="Q557">
            <v>8000</v>
          </cell>
        </row>
        <row r="558">
          <cell r="K558" t="str">
            <v>601.4.1.1.3.0501</v>
          </cell>
          <cell r="L558" t="str">
            <v>not started</v>
          </cell>
          <cell r="M558" t="str">
            <v>Material Handling</v>
          </cell>
          <cell r="N558"/>
          <cell r="O558" t="str">
            <v>KG</v>
          </cell>
          <cell r="P558">
            <v>1.0693499999999999E-4</v>
          </cell>
          <cell r="Q558">
            <v>5000</v>
          </cell>
        </row>
        <row r="559">
          <cell r="K559" t="str">
            <v>601.4.1.1.3.0502</v>
          </cell>
          <cell r="L559" t="str">
            <v>not started</v>
          </cell>
          <cell r="M559" t="str">
            <v>Installation</v>
          </cell>
          <cell r="N559"/>
          <cell r="O559" t="str">
            <v>KG</v>
          </cell>
          <cell r="P559">
            <v>1.0693499999999999E-3</v>
          </cell>
          <cell r="Q559">
            <v>5000</v>
          </cell>
        </row>
        <row r="560">
          <cell r="K560" t="str">
            <v>601.4.1.1.3.0503</v>
          </cell>
          <cell r="L560" t="str">
            <v>not started</v>
          </cell>
          <cell r="M560" t="str">
            <v>Leveling &amp; Plumbness</v>
          </cell>
          <cell r="N560"/>
          <cell r="O560" t="str">
            <v>KG</v>
          </cell>
          <cell r="P560">
            <v>3.2080499999999996E-4</v>
          </cell>
          <cell r="Q560">
            <v>5000</v>
          </cell>
        </row>
        <row r="561">
          <cell r="K561" t="str">
            <v>601.4.1.1.3.0504</v>
          </cell>
          <cell r="L561" t="str">
            <v>not started</v>
          </cell>
          <cell r="M561" t="str">
            <v>Full Bolt &amp; Tightening</v>
          </cell>
          <cell r="N561"/>
          <cell r="O561" t="str">
            <v>KG</v>
          </cell>
          <cell r="P561">
            <v>4.2773999999999997E-4</v>
          </cell>
          <cell r="Q561">
            <v>5000</v>
          </cell>
        </row>
        <row r="562">
          <cell r="K562" t="str">
            <v>601.4.1.1.3.0505</v>
          </cell>
          <cell r="L562" t="str">
            <v>not started</v>
          </cell>
          <cell r="M562" t="str">
            <v>Touch up</v>
          </cell>
          <cell r="N562"/>
          <cell r="O562" t="str">
            <v>KG</v>
          </cell>
          <cell r="P562">
            <v>1.0693499999999999E-4</v>
          </cell>
          <cell r="Q562">
            <v>5000</v>
          </cell>
        </row>
        <row r="563">
          <cell r="K563" t="str">
            <v>601.4.1.1.3.0506</v>
          </cell>
          <cell r="L563" t="str">
            <v>not started</v>
          </cell>
          <cell r="M563" t="str">
            <v>Certificate</v>
          </cell>
          <cell r="N563"/>
          <cell r="O563" t="str">
            <v>KG</v>
          </cell>
          <cell r="P563">
            <v>1.0693499999999999E-4</v>
          </cell>
          <cell r="Q563">
            <v>5000</v>
          </cell>
        </row>
        <row r="564">
          <cell r="K564" t="str">
            <v>601.4.1.1.4.0101</v>
          </cell>
          <cell r="L564" t="str">
            <v>not started</v>
          </cell>
          <cell r="M564" t="str">
            <v>Material Handling</v>
          </cell>
          <cell r="N564"/>
          <cell r="O564" t="str">
            <v>KG</v>
          </cell>
          <cell r="P564">
            <v>3.099E-5</v>
          </cell>
          <cell r="Q564">
            <v>1600</v>
          </cell>
        </row>
        <row r="565">
          <cell r="K565" t="str">
            <v>601.4.1.1.4.0102</v>
          </cell>
          <cell r="L565" t="str">
            <v>not started</v>
          </cell>
          <cell r="M565" t="str">
            <v>Installation</v>
          </cell>
          <cell r="N565"/>
          <cell r="O565" t="str">
            <v>KG</v>
          </cell>
          <cell r="P565">
            <v>3.099E-4</v>
          </cell>
          <cell r="Q565">
            <v>1600</v>
          </cell>
        </row>
        <row r="566">
          <cell r="K566" t="str">
            <v>601.4.1.1.4.0103</v>
          </cell>
          <cell r="L566" t="str">
            <v>not started</v>
          </cell>
          <cell r="M566" t="str">
            <v>Leveling &amp; Plumbness</v>
          </cell>
          <cell r="N566"/>
          <cell r="O566" t="str">
            <v>KG</v>
          </cell>
          <cell r="P566">
            <v>9.2969999999999999E-5</v>
          </cell>
          <cell r="Q566">
            <v>1600</v>
          </cell>
        </row>
        <row r="567">
          <cell r="K567" t="str">
            <v>601.4.1.1.4.0104</v>
          </cell>
          <cell r="L567" t="str">
            <v>not started</v>
          </cell>
          <cell r="M567" t="str">
            <v>Full Bolt &amp; Tightening</v>
          </cell>
          <cell r="N567"/>
          <cell r="O567" t="str">
            <v>KG</v>
          </cell>
          <cell r="P567">
            <v>1.2396E-4</v>
          </cell>
          <cell r="Q567">
            <v>1600</v>
          </cell>
        </row>
        <row r="568">
          <cell r="K568" t="str">
            <v>601.4.1.1.4.0105</v>
          </cell>
          <cell r="L568" t="str">
            <v>not started</v>
          </cell>
          <cell r="M568" t="str">
            <v>Touch up</v>
          </cell>
          <cell r="N568"/>
          <cell r="O568" t="str">
            <v>KG</v>
          </cell>
          <cell r="P568">
            <v>3.099E-5</v>
          </cell>
          <cell r="Q568">
            <v>1600</v>
          </cell>
        </row>
        <row r="569">
          <cell r="K569" t="str">
            <v>601.4.1.1.4.0106</v>
          </cell>
          <cell r="L569" t="str">
            <v>not started</v>
          </cell>
          <cell r="M569" t="str">
            <v>Certificate</v>
          </cell>
          <cell r="N569"/>
          <cell r="O569" t="str">
            <v>KG</v>
          </cell>
          <cell r="P569">
            <v>3.099E-5</v>
          </cell>
          <cell r="Q569">
            <v>1600</v>
          </cell>
        </row>
        <row r="570">
          <cell r="K570" t="str">
            <v>601.4.1.1.4.0201</v>
          </cell>
          <cell r="L570" t="str">
            <v>not started</v>
          </cell>
          <cell r="M570" t="str">
            <v>Material Handling</v>
          </cell>
          <cell r="N570"/>
          <cell r="O570" t="str">
            <v>KG</v>
          </cell>
          <cell r="P570">
            <v>1.7144999999999999E-5</v>
          </cell>
          <cell r="Q570">
            <v>910</v>
          </cell>
        </row>
        <row r="571">
          <cell r="K571" t="str">
            <v>601.4.1.1.4.0202</v>
          </cell>
          <cell r="L571" t="str">
            <v>not started</v>
          </cell>
          <cell r="M571" t="str">
            <v>Installation</v>
          </cell>
          <cell r="N571"/>
          <cell r="O571" t="str">
            <v>KG</v>
          </cell>
          <cell r="P571">
            <v>1.7144999999999999E-4</v>
          </cell>
          <cell r="Q571">
            <v>910</v>
          </cell>
        </row>
        <row r="572">
          <cell r="K572" t="str">
            <v>601.4.1.1.4.0203</v>
          </cell>
          <cell r="L572" t="str">
            <v>not started</v>
          </cell>
          <cell r="M572" t="str">
            <v>Leveling &amp; Plumbness</v>
          </cell>
          <cell r="N572"/>
          <cell r="O572" t="str">
            <v>KG</v>
          </cell>
          <cell r="P572">
            <v>5.1434999999999998E-5</v>
          </cell>
          <cell r="Q572">
            <v>910</v>
          </cell>
        </row>
        <row r="573">
          <cell r="K573" t="str">
            <v>601.4.1.1.4.0204</v>
          </cell>
          <cell r="L573" t="str">
            <v>not started</v>
          </cell>
          <cell r="M573" t="str">
            <v>Full Bolt &amp; Tightening</v>
          </cell>
          <cell r="N573"/>
          <cell r="O573" t="str">
            <v>KG</v>
          </cell>
          <cell r="P573">
            <v>6.8579999999999997E-5</v>
          </cell>
          <cell r="Q573">
            <v>910</v>
          </cell>
        </row>
        <row r="574">
          <cell r="K574" t="str">
            <v>601.4.1.1.4.0205</v>
          </cell>
          <cell r="L574" t="str">
            <v>not started</v>
          </cell>
          <cell r="M574" t="str">
            <v>Touch up</v>
          </cell>
          <cell r="N574"/>
          <cell r="O574" t="str">
            <v>KG</v>
          </cell>
          <cell r="P574">
            <v>1.7144999999999999E-5</v>
          </cell>
          <cell r="Q574">
            <v>910</v>
          </cell>
        </row>
        <row r="575">
          <cell r="K575" t="str">
            <v>601.4.1.1.4.0206</v>
          </cell>
          <cell r="L575" t="str">
            <v>not started</v>
          </cell>
          <cell r="M575" t="str">
            <v>Certificate</v>
          </cell>
          <cell r="N575"/>
          <cell r="O575" t="str">
            <v>KG</v>
          </cell>
          <cell r="P575">
            <v>1.7144999999999999E-5</v>
          </cell>
          <cell r="Q575">
            <v>910</v>
          </cell>
        </row>
        <row r="576">
          <cell r="K576" t="str">
            <v>601.4.1.1.5.0101</v>
          </cell>
          <cell r="L576" t="str">
            <v>complete</v>
          </cell>
          <cell r="M576" t="str">
            <v>Material Handling</v>
          </cell>
          <cell r="N576">
            <v>42000</v>
          </cell>
          <cell r="O576" t="str">
            <v>KG</v>
          </cell>
          <cell r="P576">
            <v>9.0154500000000012E-4</v>
          </cell>
          <cell r="Q576">
            <v>42000</v>
          </cell>
        </row>
        <row r="577">
          <cell r="K577" t="str">
            <v>601.4.1.1.5.0102</v>
          </cell>
          <cell r="L577" t="str">
            <v>complete</v>
          </cell>
          <cell r="M577" t="str">
            <v>Installation</v>
          </cell>
          <cell r="N577">
            <v>42000</v>
          </cell>
          <cell r="O577" t="str">
            <v>KG</v>
          </cell>
          <cell r="P577">
            <v>9.0154500000000012E-3</v>
          </cell>
          <cell r="Q577">
            <v>42000</v>
          </cell>
        </row>
        <row r="578">
          <cell r="K578" t="str">
            <v>601.4.1.1.5.0103</v>
          </cell>
          <cell r="L578" t="str">
            <v>complete</v>
          </cell>
          <cell r="M578" t="str">
            <v>Leveling &amp; Plumbness</v>
          </cell>
          <cell r="N578">
            <v>42000</v>
          </cell>
          <cell r="O578" t="str">
            <v>KG</v>
          </cell>
          <cell r="P578">
            <v>2.7046350000000004E-3</v>
          </cell>
          <cell r="Q578">
            <v>42000</v>
          </cell>
        </row>
        <row r="579">
          <cell r="K579" t="str">
            <v>601.4.1.1.5.0104</v>
          </cell>
          <cell r="L579" t="str">
            <v>complete</v>
          </cell>
          <cell r="M579" t="str">
            <v>Full Bolt &amp; Tightening</v>
          </cell>
          <cell r="N579">
            <v>42000</v>
          </cell>
          <cell r="O579" t="str">
            <v>KG</v>
          </cell>
          <cell r="P579">
            <v>3.6061800000000005E-3</v>
          </cell>
          <cell r="Q579">
            <v>42000</v>
          </cell>
        </row>
        <row r="580">
          <cell r="K580" t="str">
            <v>601.4.1.1.5.0105</v>
          </cell>
          <cell r="L580" t="str">
            <v>complete</v>
          </cell>
          <cell r="M580" t="str">
            <v>Touch up</v>
          </cell>
          <cell r="N580">
            <v>42000</v>
          </cell>
          <cell r="O580" t="str">
            <v>KG</v>
          </cell>
          <cell r="P580">
            <v>9.0154500000000012E-4</v>
          </cell>
          <cell r="Q580">
            <v>42000</v>
          </cell>
        </row>
        <row r="581">
          <cell r="K581" t="str">
            <v>601.4.1.1.5.0106</v>
          </cell>
          <cell r="L581" t="str">
            <v>complete</v>
          </cell>
          <cell r="M581" t="str">
            <v>Certificate</v>
          </cell>
          <cell r="N581">
            <v>42000</v>
          </cell>
          <cell r="O581" t="str">
            <v>KG</v>
          </cell>
          <cell r="P581">
            <v>9.0154500000000012E-4</v>
          </cell>
          <cell r="Q581">
            <v>42000</v>
          </cell>
        </row>
        <row r="582">
          <cell r="K582" t="str">
            <v>601.4.1.1.5.0201</v>
          </cell>
          <cell r="L582" t="str">
            <v>complete</v>
          </cell>
          <cell r="M582" t="str">
            <v>Material Handling</v>
          </cell>
          <cell r="N582">
            <v>42000</v>
          </cell>
          <cell r="O582" t="str">
            <v>KG</v>
          </cell>
          <cell r="P582">
            <v>9.0154500000000012E-4</v>
          </cell>
          <cell r="Q582">
            <v>42000</v>
          </cell>
        </row>
        <row r="583">
          <cell r="K583" t="str">
            <v>601.4.1.1.5.0202</v>
          </cell>
          <cell r="L583" t="str">
            <v>complete</v>
          </cell>
          <cell r="M583" t="str">
            <v>Installation</v>
          </cell>
          <cell r="N583">
            <v>42000</v>
          </cell>
          <cell r="O583" t="str">
            <v>KG</v>
          </cell>
          <cell r="P583">
            <v>9.0154500000000012E-3</v>
          </cell>
          <cell r="Q583">
            <v>42000</v>
          </cell>
        </row>
        <row r="584">
          <cell r="K584" t="str">
            <v>601.4.1.1.5.0203</v>
          </cell>
          <cell r="L584" t="str">
            <v>inprogrss</v>
          </cell>
          <cell r="M584" t="str">
            <v>Leveling &amp; Plumbness</v>
          </cell>
          <cell r="N584">
            <v>33500</v>
          </cell>
          <cell r="O584" t="str">
            <v>KG</v>
          </cell>
          <cell r="P584">
            <v>2.7046350000000004E-3</v>
          </cell>
          <cell r="Q584">
            <v>42000</v>
          </cell>
        </row>
        <row r="585">
          <cell r="K585" t="str">
            <v>601.4.1.1.5.0204</v>
          </cell>
          <cell r="L585" t="str">
            <v>inprogrss</v>
          </cell>
          <cell r="M585" t="str">
            <v>Full Bolt &amp; Tightening</v>
          </cell>
          <cell r="N585">
            <v>33200</v>
          </cell>
          <cell r="O585" t="str">
            <v>KG</v>
          </cell>
          <cell r="P585">
            <v>3.6061800000000005E-3</v>
          </cell>
          <cell r="Q585">
            <v>42000</v>
          </cell>
        </row>
        <row r="586">
          <cell r="K586" t="str">
            <v>601.4.1.1.5.0205</v>
          </cell>
          <cell r="L586" t="str">
            <v>inprogrss</v>
          </cell>
          <cell r="M586" t="str">
            <v>Touch up</v>
          </cell>
          <cell r="N586">
            <v>33000</v>
          </cell>
          <cell r="O586" t="str">
            <v>KG</v>
          </cell>
          <cell r="P586">
            <v>9.0154500000000012E-4</v>
          </cell>
          <cell r="Q586">
            <v>42000</v>
          </cell>
        </row>
        <row r="587">
          <cell r="K587" t="str">
            <v>601.4.1.1.5.0206</v>
          </cell>
          <cell r="L587" t="str">
            <v>not started</v>
          </cell>
          <cell r="M587" t="str">
            <v>Certificate</v>
          </cell>
          <cell r="N587"/>
          <cell r="O587" t="str">
            <v>KG</v>
          </cell>
          <cell r="P587">
            <v>9.0154500000000012E-4</v>
          </cell>
          <cell r="Q587">
            <v>42000</v>
          </cell>
        </row>
        <row r="588">
          <cell r="K588" t="str">
            <v>601.4.1.1.5.0301</v>
          </cell>
          <cell r="L588" t="str">
            <v>complete</v>
          </cell>
          <cell r="M588" t="str">
            <v>Material Handling</v>
          </cell>
          <cell r="N588">
            <v>42000</v>
          </cell>
          <cell r="O588" t="str">
            <v>KG</v>
          </cell>
          <cell r="P588">
            <v>9.0154500000000012E-4</v>
          </cell>
          <cell r="Q588">
            <v>42000</v>
          </cell>
        </row>
        <row r="589">
          <cell r="K589" t="str">
            <v>601.4.1.1.5.0302</v>
          </cell>
          <cell r="L589" t="str">
            <v>complete</v>
          </cell>
          <cell r="M589" t="str">
            <v>Installation</v>
          </cell>
          <cell r="N589">
            <v>42000</v>
          </cell>
          <cell r="O589" t="str">
            <v>KG</v>
          </cell>
          <cell r="P589">
            <v>9.0154500000000012E-3</v>
          </cell>
          <cell r="Q589">
            <v>42000</v>
          </cell>
        </row>
        <row r="590">
          <cell r="K590" t="str">
            <v>601.4.1.1.5.0303</v>
          </cell>
          <cell r="L590" t="str">
            <v>inprogrss</v>
          </cell>
          <cell r="M590" t="str">
            <v>Leveling &amp; Plumbness</v>
          </cell>
          <cell r="N590">
            <v>39900</v>
          </cell>
          <cell r="O590" t="str">
            <v>KG</v>
          </cell>
          <cell r="P590">
            <v>2.7046350000000004E-3</v>
          </cell>
          <cell r="Q590">
            <v>42000</v>
          </cell>
        </row>
        <row r="591">
          <cell r="K591" t="str">
            <v>601.4.1.1.5.0304</v>
          </cell>
          <cell r="L591" t="str">
            <v>inprogrss</v>
          </cell>
          <cell r="M591" t="str">
            <v>Full Bolt &amp; Tightening</v>
          </cell>
          <cell r="N591">
            <v>34820</v>
          </cell>
          <cell r="O591" t="str">
            <v>KG</v>
          </cell>
          <cell r="P591">
            <v>3.6061800000000005E-3</v>
          </cell>
          <cell r="Q591">
            <v>42000</v>
          </cell>
        </row>
        <row r="592">
          <cell r="K592" t="str">
            <v>601.4.1.1.5.0305</v>
          </cell>
          <cell r="L592" t="str">
            <v>inprogrss</v>
          </cell>
          <cell r="M592" t="str">
            <v>Touch up</v>
          </cell>
          <cell r="N592"/>
          <cell r="O592" t="str">
            <v>KG</v>
          </cell>
          <cell r="P592">
            <v>9.0154500000000012E-4</v>
          </cell>
          <cell r="Q592">
            <v>42000</v>
          </cell>
        </row>
        <row r="593">
          <cell r="K593" t="str">
            <v>601.4.1.1.5.0306</v>
          </cell>
          <cell r="L593" t="str">
            <v>not started</v>
          </cell>
          <cell r="M593" t="str">
            <v>Certificate</v>
          </cell>
          <cell r="N593"/>
          <cell r="O593" t="str">
            <v>KG</v>
          </cell>
          <cell r="P593">
            <v>9.0154500000000012E-4</v>
          </cell>
          <cell r="Q593">
            <v>42000</v>
          </cell>
        </row>
        <row r="594">
          <cell r="K594" t="str">
            <v>601.4.1.1.5.0401</v>
          </cell>
          <cell r="L594" t="str">
            <v>complete</v>
          </cell>
          <cell r="M594" t="str">
            <v>Material Handling</v>
          </cell>
          <cell r="N594">
            <v>5500</v>
          </cell>
          <cell r="O594" t="str">
            <v>KG</v>
          </cell>
          <cell r="P594">
            <v>1.0784E-4</v>
          </cell>
          <cell r="Q594">
            <v>5500</v>
          </cell>
        </row>
        <row r="595">
          <cell r="K595" t="str">
            <v>601.4.1.1.5.0402</v>
          </cell>
          <cell r="L595" t="str">
            <v>complete</v>
          </cell>
          <cell r="M595" t="str">
            <v>Installation</v>
          </cell>
          <cell r="N595">
            <v>5500</v>
          </cell>
          <cell r="O595" t="str">
            <v>KG</v>
          </cell>
          <cell r="P595">
            <v>1.0784E-3</v>
          </cell>
          <cell r="Q595">
            <v>5500</v>
          </cell>
        </row>
        <row r="596">
          <cell r="K596" t="str">
            <v>601.4.1.1.5.0403</v>
          </cell>
          <cell r="L596" t="str">
            <v>inprogrss</v>
          </cell>
          <cell r="M596" t="str">
            <v>Leveling &amp; Plumbness</v>
          </cell>
          <cell r="N596">
            <v>3300</v>
          </cell>
          <cell r="O596" t="str">
            <v>KG</v>
          </cell>
          <cell r="P596">
            <v>3.2351999999999999E-4</v>
          </cell>
          <cell r="Q596">
            <v>5500</v>
          </cell>
        </row>
        <row r="597">
          <cell r="K597" t="str">
            <v>601.4.1.1.5.0404</v>
          </cell>
          <cell r="L597" t="str">
            <v>inprogrss</v>
          </cell>
          <cell r="M597" t="str">
            <v>Full Bolt &amp; Tightening</v>
          </cell>
          <cell r="N597">
            <v>2225</v>
          </cell>
          <cell r="O597" t="str">
            <v>KG</v>
          </cell>
          <cell r="P597">
            <v>4.3135999999999999E-4</v>
          </cell>
          <cell r="Q597">
            <v>5500</v>
          </cell>
        </row>
        <row r="598">
          <cell r="K598" t="str">
            <v>601.4.1.1.5.0405</v>
          </cell>
          <cell r="L598" t="str">
            <v>inprogrss</v>
          </cell>
          <cell r="M598" t="str">
            <v>Touch up</v>
          </cell>
          <cell r="N598"/>
          <cell r="O598" t="str">
            <v>KG</v>
          </cell>
          <cell r="P598">
            <v>1.0784E-4</v>
          </cell>
          <cell r="Q598">
            <v>5500</v>
          </cell>
        </row>
        <row r="599">
          <cell r="K599" t="str">
            <v>601.4.1.1.5.0406</v>
          </cell>
          <cell r="L599" t="str">
            <v>not started</v>
          </cell>
          <cell r="M599" t="str">
            <v>Certificate</v>
          </cell>
          <cell r="N599"/>
          <cell r="O599" t="str">
            <v>KG</v>
          </cell>
          <cell r="P599">
            <v>1.0784E-4</v>
          </cell>
          <cell r="Q599">
            <v>5500</v>
          </cell>
        </row>
        <row r="600">
          <cell r="K600" t="str">
            <v>601.4.1.1.5.0501</v>
          </cell>
          <cell r="L600" t="str">
            <v>complete</v>
          </cell>
          <cell r="M600" t="str">
            <v>Material Handling</v>
          </cell>
          <cell r="N600">
            <v>2496</v>
          </cell>
          <cell r="O600" t="str">
            <v>KG</v>
          </cell>
          <cell r="P600">
            <v>3.0185E-5</v>
          </cell>
          <cell r="Q600">
            <v>2496</v>
          </cell>
        </row>
        <row r="601">
          <cell r="K601" t="str">
            <v>601.4.1.1.5.0502</v>
          </cell>
          <cell r="L601" t="str">
            <v>complete</v>
          </cell>
          <cell r="M601" t="str">
            <v>Installation</v>
          </cell>
          <cell r="N601">
            <v>2496</v>
          </cell>
          <cell r="O601" t="str">
            <v>KG</v>
          </cell>
          <cell r="P601">
            <v>3.0184999999999999E-4</v>
          </cell>
          <cell r="Q601">
            <v>2496</v>
          </cell>
        </row>
        <row r="602">
          <cell r="K602" t="str">
            <v>601.4.1.1.5.0503</v>
          </cell>
          <cell r="L602" t="str">
            <v>complete</v>
          </cell>
          <cell r="M602" t="str">
            <v>Leveling &amp; Plumbness</v>
          </cell>
          <cell r="N602">
            <v>2496</v>
          </cell>
          <cell r="O602" t="str">
            <v>KG</v>
          </cell>
          <cell r="P602">
            <v>9.0555000000000003E-5</v>
          </cell>
          <cell r="Q602">
            <v>2496</v>
          </cell>
        </row>
        <row r="603">
          <cell r="K603" t="str">
            <v>601.4.1.1.5.0504</v>
          </cell>
          <cell r="L603" t="str">
            <v>inprogrss</v>
          </cell>
          <cell r="M603" t="str">
            <v>Full Bolt &amp; Tightening</v>
          </cell>
          <cell r="N603">
            <v>2287</v>
          </cell>
          <cell r="O603" t="str">
            <v>KG</v>
          </cell>
          <cell r="P603">
            <v>1.2074E-4</v>
          </cell>
          <cell r="Q603">
            <v>2496</v>
          </cell>
        </row>
        <row r="604">
          <cell r="K604" t="str">
            <v>601.4.1.1.5.0505</v>
          </cell>
          <cell r="L604" t="str">
            <v>inprogrss</v>
          </cell>
          <cell r="M604" t="str">
            <v>Touch up</v>
          </cell>
          <cell r="N604"/>
          <cell r="O604" t="str">
            <v>KG</v>
          </cell>
          <cell r="P604">
            <v>3.0185E-5</v>
          </cell>
          <cell r="Q604">
            <v>2496</v>
          </cell>
        </row>
        <row r="605">
          <cell r="K605" t="str">
            <v>601.4.1.1.5.0506</v>
          </cell>
          <cell r="L605" t="str">
            <v>not started</v>
          </cell>
          <cell r="M605" t="str">
            <v>Certificate</v>
          </cell>
          <cell r="N605"/>
          <cell r="O605" t="str">
            <v>KG</v>
          </cell>
          <cell r="P605">
            <v>3.0185E-5</v>
          </cell>
          <cell r="Q605">
            <v>2496</v>
          </cell>
        </row>
        <row r="606">
          <cell r="K606" t="str">
            <v>601.4.1.1.5.0601</v>
          </cell>
          <cell r="L606" t="str">
            <v>inprogrss</v>
          </cell>
          <cell r="M606" t="str">
            <v>Material Handling</v>
          </cell>
          <cell r="N606">
            <v>22302.45</v>
          </cell>
          <cell r="O606" t="str">
            <v>KG</v>
          </cell>
          <cell r="P606">
            <v>2.1378500000000003E-4</v>
          </cell>
          <cell r="Q606">
            <v>24780.5</v>
          </cell>
        </row>
        <row r="607">
          <cell r="K607" t="str">
            <v>601.4.1.1.5.0602</v>
          </cell>
          <cell r="L607" t="str">
            <v>inprogrss</v>
          </cell>
          <cell r="M607" t="str">
            <v>installation</v>
          </cell>
          <cell r="N607">
            <v>22302.45</v>
          </cell>
          <cell r="O607" t="str">
            <v>KG</v>
          </cell>
          <cell r="P607">
            <v>2.7792050000000003E-3</v>
          </cell>
          <cell r="Q607">
            <v>24780.5</v>
          </cell>
        </row>
        <row r="608">
          <cell r="K608" t="str">
            <v>601.4.1.1.5.0603</v>
          </cell>
          <cell r="L608" t="str">
            <v>inprogrss</v>
          </cell>
          <cell r="M608" t="str">
            <v>Clamping &amp; Tightening</v>
          </cell>
          <cell r="N608">
            <v>20330</v>
          </cell>
          <cell r="O608" t="str">
            <v>KG</v>
          </cell>
          <cell r="P608">
            <v>8.5514000000000011E-4</v>
          </cell>
          <cell r="Q608">
            <v>24780.5</v>
          </cell>
        </row>
        <row r="609">
          <cell r="K609" t="str">
            <v>601.4.1.1.5.0604</v>
          </cell>
          <cell r="L609" t="str">
            <v>not started</v>
          </cell>
          <cell r="M609" t="str">
            <v>Touch up &amp; Cleaning</v>
          </cell>
          <cell r="N609"/>
          <cell r="O609" t="str">
            <v>KG</v>
          </cell>
          <cell r="P609">
            <v>2.1378500000000003E-4</v>
          </cell>
          <cell r="Q609">
            <v>24780.5</v>
          </cell>
        </row>
        <row r="610">
          <cell r="K610" t="str">
            <v>601.4.1.1.5.0605</v>
          </cell>
          <cell r="L610" t="str">
            <v>not started</v>
          </cell>
          <cell r="M610" t="str">
            <v>Certificate</v>
          </cell>
          <cell r="N610"/>
          <cell r="O610" t="str">
            <v>KG</v>
          </cell>
          <cell r="P610">
            <v>2.1378500000000003E-4</v>
          </cell>
          <cell r="Q610">
            <v>24780.5</v>
          </cell>
        </row>
        <row r="611">
          <cell r="K611" t="str">
            <v>601.4.1.1.6.0101</v>
          </cell>
          <cell r="L611" t="str">
            <v>not started</v>
          </cell>
          <cell r="M611" t="str">
            <v>Installation</v>
          </cell>
          <cell r="N611"/>
          <cell r="O611" t="str">
            <v>KG</v>
          </cell>
          <cell r="P611">
            <v>5.0000000000000001E-3</v>
          </cell>
          <cell r="Q611">
            <v>1500</v>
          </cell>
        </row>
        <row r="612">
          <cell r="K612" t="str">
            <v>601.4.1.1.6.0102</v>
          </cell>
          <cell r="L612" t="str">
            <v>not started</v>
          </cell>
          <cell r="M612" t="str">
            <v>Tightening</v>
          </cell>
          <cell r="N612"/>
          <cell r="O612" t="str">
            <v>KG</v>
          </cell>
          <cell r="P612">
            <v>2.5000000000000001E-3</v>
          </cell>
          <cell r="Q612">
            <v>1500</v>
          </cell>
        </row>
        <row r="613">
          <cell r="K613" t="str">
            <v>601.4.1.1.6.0103</v>
          </cell>
          <cell r="L613" t="str">
            <v>not started</v>
          </cell>
          <cell r="M613" t="str">
            <v>Certificate</v>
          </cell>
          <cell r="N613"/>
          <cell r="O613" t="str">
            <v>KG</v>
          </cell>
          <cell r="P613">
            <v>2.5000000000000001E-3</v>
          </cell>
          <cell r="Q613">
            <v>1500</v>
          </cell>
        </row>
        <row r="614">
          <cell r="K614" t="str">
            <v>601.4.1.1.6.0201</v>
          </cell>
          <cell r="L614" t="str">
            <v>not started</v>
          </cell>
          <cell r="M614" t="str">
            <v>Installation</v>
          </cell>
          <cell r="N614"/>
          <cell r="O614" t="str">
            <v>KG</v>
          </cell>
          <cell r="P614">
            <v>5.0000000000000001E-3</v>
          </cell>
          <cell r="Q614">
            <v>660</v>
          </cell>
        </row>
        <row r="615">
          <cell r="K615" t="str">
            <v>601.4.1.1.6.0202</v>
          </cell>
          <cell r="L615" t="str">
            <v>not started</v>
          </cell>
          <cell r="M615" t="str">
            <v>Tightening</v>
          </cell>
          <cell r="N615"/>
          <cell r="O615" t="str">
            <v>KG</v>
          </cell>
          <cell r="P615">
            <v>2.5000000000000001E-3</v>
          </cell>
          <cell r="Q615">
            <v>660</v>
          </cell>
        </row>
        <row r="616">
          <cell r="K616" t="str">
            <v>601.4.1.1.6.0203</v>
          </cell>
          <cell r="L616" t="str">
            <v>not started</v>
          </cell>
          <cell r="M616" t="str">
            <v>Certificate</v>
          </cell>
          <cell r="N616"/>
          <cell r="O616" t="str">
            <v>KG</v>
          </cell>
          <cell r="P616">
            <v>2.5000000000000001E-3</v>
          </cell>
          <cell r="Q616">
            <v>660</v>
          </cell>
        </row>
        <row r="617">
          <cell r="K617" t="str">
            <v>601.4.1.2.1.0101</v>
          </cell>
          <cell r="L617" t="str">
            <v>complete</v>
          </cell>
          <cell r="M617" t="str">
            <v>Material Handling</v>
          </cell>
          <cell r="N617">
            <v>40200</v>
          </cell>
          <cell r="O617" t="str">
            <v>KG</v>
          </cell>
          <cell r="P617">
            <v>1E-3</v>
          </cell>
          <cell r="Q617">
            <v>40200</v>
          </cell>
        </row>
        <row r="618">
          <cell r="K618" t="str">
            <v>601.4.1.2.1.0102</v>
          </cell>
          <cell r="L618" t="str">
            <v>inprogrss</v>
          </cell>
          <cell r="M618" t="str">
            <v>Erection</v>
          </cell>
          <cell r="N618">
            <v>40200</v>
          </cell>
          <cell r="O618" t="str">
            <v>KG</v>
          </cell>
          <cell r="P618">
            <v>0.01</v>
          </cell>
          <cell r="Q618">
            <v>40200</v>
          </cell>
        </row>
        <row r="619">
          <cell r="K619" t="str">
            <v>601.4.1.2.1.0103</v>
          </cell>
          <cell r="L619" t="str">
            <v>not started</v>
          </cell>
          <cell r="M619" t="str">
            <v>Aligenment/Leveling</v>
          </cell>
          <cell r="N619"/>
          <cell r="O619" t="str">
            <v>KG</v>
          </cell>
          <cell r="P619">
            <v>4.0000000000000001E-3</v>
          </cell>
          <cell r="Q619">
            <v>40200</v>
          </cell>
        </row>
        <row r="620">
          <cell r="K620" t="str">
            <v>601.4.1.2.1.0104</v>
          </cell>
          <cell r="L620" t="str">
            <v>not started</v>
          </cell>
          <cell r="M620" t="str">
            <v>Full Bolting/Welding</v>
          </cell>
          <cell r="N620"/>
          <cell r="O620" t="str">
            <v>KG</v>
          </cell>
          <cell r="P620">
            <v>3.0000000000000001E-3</v>
          </cell>
          <cell r="Q620">
            <v>40200</v>
          </cell>
        </row>
        <row r="621">
          <cell r="K621" t="str">
            <v>601.4.1.2.1.0106</v>
          </cell>
          <cell r="L621" t="str">
            <v>not started</v>
          </cell>
          <cell r="M621" t="str">
            <v>Punch Removing</v>
          </cell>
          <cell r="N621"/>
          <cell r="O621" t="str">
            <v>KG</v>
          </cell>
          <cell r="P621">
            <v>1E-3</v>
          </cell>
          <cell r="Q621">
            <v>40200</v>
          </cell>
        </row>
        <row r="622">
          <cell r="K622" t="str">
            <v>601.4.1.2.1.0107</v>
          </cell>
          <cell r="L622" t="str">
            <v>not started</v>
          </cell>
          <cell r="M622" t="str">
            <v>Certificate</v>
          </cell>
          <cell r="N622"/>
          <cell r="O622" t="str">
            <v>KG</v>
          </cell>
          <cell r="P622">
            <v>1E-3</v>
          </cell>
          <cell r="Q622">
            <v>40200</v>
          </cell>
        </row>
        <row r="623">
          <cell r="K623" t="str">
            <v>601.4.1.2.2.0101</v>
          </cell>
          <cell r="L623" t="str">
            <v>not started</v>
          </cell>
          <cell r="M623" t="str">
            <v>Material Handling</v>
          </cell>
          <cell r="N623"/>
          <cell r="O623" t="str">
            <v>NO.</v>
          </cell>
          <cell r="P623">
            <v>2.0000000000000001E-4</v>
          </cell>
          <cell r="Q623">
            <v>22680</v>
          </cell>
        </row>
        <row r="624">
          <cell r="K624" t="str">
            <v>601.4.1.2.2.0102</v>
          </cell>
          <cell r="L624" t="str">
            <v>not started</v>
          </cell>
          <cell r="M624" t="str">
            <v>Installation</v>
          </cell>
          <cell r="N624"/>
          <cell r="O624" t="str">
            <v>NO.</v>
          </cell>
          <cell r="P624">
            <v>1.2000000000000001E-3</v>
          </cell>
          <cell r="Q624">
            <v>22680</v>
          </cell>
        </row>
        <row r="625">
          <cell r="K625" t="str">
            <v>601.4.1.2.2.0103</v>
          </cell>
          <cell r="L625" t="str">
            <v>not started</v>
          </cell>
          <cell r="M625" t="str">
            <v>Fixing &amp; tightening</v>
          </cell>
          <cell r="N625"/>
          <cell r="O625" t="str">
            <v>NO.</v>
          </cell>
          <cell r="P625">
            <v>3.0000000000000003E-4</v>
          </cell>
          <cell r="Q625">
            <v>22680</v>
          </cell>
        </row>
        <row r="626">
          <cell r="K626" t="str">
            <v>601.4.1.2.2.0104</v>
          </cell>
          <cell r="L626" t="str">
            <v>not started</v>
          </cell>
          <cell r="M626" t="str">
            <v>Setting &amp; Alignment</v>
          </cell>
          <cell r="N626"/>
          <cell r="O626" t="str">
            <v>NO.</v>
          </cell>
          <cell r="P626">
            <v>2.0000000000000001E-4</v>
          </cell>
          <cell r="Q626">
            <v>22680</v>
          </cell>
        </row>
        <row r="627">
          <cell r="K627" t="str">
            <v>601.4.1.2.2.0105</v>
          </cell>
          <cell r="L627" t="str">
            <v>not started</v>
          </cell>
          <cell r="M627" t="str">
            <v>Certificate</v>
          </cell>
          <cell r="N627"/>
          <cell r="O627" t="str">
            <v>NO.</v>
          </cell>
          <cell r="P627">
            <v>1E-4</v>
          </cell>
          <cell r="Q627">
            <v>22680</v>
          </cell>
        </row>
        <row r="628">
          <cell r="K628" t="str">
            <v>601.4.1.2.2.0201</v>
          </cell>
          <cell r="L628" t="str">
            <v>not started</v>
          </cell>
          <cell r="M628" t="str">
            <v>Material Handling</v>
          </cell>
          <cell r="N628"/>
          <cell r="O628" t="str">
            <v>NO.</v>
          </cell>
          <cell r="P628">
            <v>2.0999999999999998E-4</v>
          </cell>
          <cell r="Q628">
            <v>36260</v>
          </cell>
        </row>
        <row r="629">
          <cell r="K629" t="str">
            <v>601.4.1.2.2.0202</v>
          </cell>
          <cell r="L629" t="str">
            <v>not started</v>
          </cell>
          <cell r="M629" t="str">
            <v>Installation</v>
          </cell>
          <cell r="N629"/>
          <cell r="O629" t="str">
            <v>NO.</v>
          </cell>
          <cell r="P629">
            <v>1.2599999999999998E-3</v>
          </cell>
          <cell r="Q629">
            <v>36260</v>
          </cell>
        </row>
        <row r="630">
          <cell r="K630" t="str">
            <v>601.4.1.2.2.0203</v>
          </cell>
          <cell r="L630" t="str">
            <v>not started</v>
          </cell>
          <cell r="M630" t="str">
            <v>Fixing &amp; tightening</v>
          </cell>
          <cell r="N630"/>
          <cell r="O630" t="str">
            <v>NO.</v>
          </cell>
          <cell r="P630">
            <v>3.1499999999999996E-4</v>
          </cell>
          <cell r="Q630">
            <v>36260</v>
          </cell>
        </row>
        <row r="631">
          <cell r="K631" t="str">
            <v>601.4.1.2.2.0204</v>
          </cell>
          <cell r="L631" t="str">
            <v>not started</v>
          </cell>
          <cell r="M631" t="str">
            <v>Setting &amp; Alignment</v>
          </cell>
          <cell r="N631"/>
          <cell r="O631" t="str">
            <v>NO.</v>
          </cell>
          <cell r="P631">
            <v>2.0999999999999998E-4</v>
          </cell>
          <cell r="Q631">
            <v>36260</v>
          </cell>
        </row>
        <row r="632">
          <cell r="K632" t="str">
            <v>601.4.1.2.2.0205</v>
          </cell>
          <cell r="L632" t="str">
            <v>not started</v>
          </cell>
          <cell r="M632" t="str">
            <v>Certificate</v>
          </cell>
          <cell r="N632"/>
          <cell r="O632" t="str">
            <v>NO.</v>
          </cell>
          <cell r="P632">
            <v>1.0499999999999999E-4</v>
          </cell>
          <cell r="Q632">
            <v>36260</v>
          </cell>
        </row>
        <row r="633">
          <cell r="K633" t="str">
            <v>601.4.1.2.2.0301</v>
          </cell>
          <cell r="L633" t="str">
            <v>not started</v>
          </cell>
          <cell r="M633" t="str">
            <v>Material Handling</v>
          </cell>
          <cell r="N633"/>
          <cell r="O633" t="str">
            <v>NO.</v>
          </cell>
          <cell r="P633">
            <v>1E-4</v>
          </cell>
          <cell r="Q633">
            <v>9550</v>
          </cell>
        </row>
        <row r="634">
          <cell r="K634" t="str">
            <v>601.4.1.2.2.0302</v>
          </cell>
          <cell r="L634" t="str">
            <v>not started</v>
          </cell>
          <cell r="M634" t="str">
            <v>Installation</v>
          </cell>
          <cell r="N634"/>
          <cell r="O634" t="str">
            <v>NO.</v>
          </cell>
          <cell r="P634">
            <v>6.0000000000000006E-4</v>
          </cell>
          <cell r="Q634">
            <v>9550</v>
          </cell>
        </row>
        <row r="635">
          <cell r="K635" t="str">
            <v>601.4.1.2.2.0303</v>
          </cell>
          <cell r="L635" t="str">
            <v>not started</v>
          </cell>
          <cell r="M635" t="str">
            <v>Fixing &amp; tightening</v>
          </cell>
          <cell r="N635"/>
          <cell r="O635" t="str">
            <v>NO.</v>
          </cell>
          <cell r="P635">
            <v>1.5000000000000001E-4</v>
          </cell>
          <cell r="Q635">
            <v>9550</v>
          </cell>
        </row>
        <row r="636">
          <cell r="K636" t="str">
            <v>601.4.1.2.2.0304</v>
          </cell>
          <cell r="L636" t="str">
            <v>not started</v>
          </cell>
          <cell r="M636" t="str">
            <v>Setting &amp; Alignment</v>
          </cell>
          <cell r="N636"/>
          <cell r="O636" t="str">
            <v>NO.</v>
          </cell>
          <cell r="P636">
            <v>1E-4</v>
          </cell>
          <cell r="Q636">
            <v>9550</v>
          </cell>
        </row>
        <row r="637">
          <cell r="K637" t="str">
            <v>601.4.1.2.2.0305</v>
          </cell>
          <cell r="L637" t="str">
            <v>not started</v>
          </cell>
          <cell r="M637" t="str">
            <v>Certificate</v>
          </cell>
          <cell r="N637"/>
          <cell r="O637" t="str">
            <v>NO.</v>
          </cell>
          <cell r="P637">
            <v>5.0000000000000002E-5</v>
          </cell>
          <cell r="Q637">
            <v>9550</v>
          </cell>
        </row>
        <row r="638">
          <cell r="K638" t="str">
            <v>601.4.1.2.2.0401</v>
          </cell>
          <cell r="L638" t="str">
            <v>not started</v>
          </cell>
          <cell r="M638" t="str">
            <v>Material Handling</v>
          </cell>
          <cell r="N638"/>
          <cell r="O638" t="str">
            <v>NO.</v>
          </cell>
          <cell r="P638">
            <v>8.9999999999999992E-5</v>
          </cell>
          <cell r="Q638">
            <v>7000</v>
          </cell>
        </row>
        <row r="639">
          <cell r="K639" t="str">
            <v>601.4.1.2.2.0402</v>
          </cell>
          <cell r="L639" t="str">
            <v>not started</v>
          </cell>
          <cell r="M639" t="str">
            <v>Installation</v>
          </cell>
          <cell r="N639"/>
          <cell r="O639" t="str">
            <v>NO.</v>
          </cell>
          <cell r="P639">
            <v>5.4000000000000001E-4</v>
          </cell>
          <cell r="Q639">
            <v>7000</v>
          </cell>
        </row>
        <row r="640">
          <cell r="K640" t="str">
            <v>601.4.1.2.2.0403</v>
          </cell>
          <cell r="L640" t="str">
            <v>not started</v>
          </cell>
          <cell r="M640" t="str">
            <v>Fixing &amp; tightening</v>
          </cell>
          <cell r="N640"/>
          <cell r="O640" t="str">
            <v>NO.</v>
          </cell>
          <cell r="P640">
            <v>1.35E-4</v>
          </cell>
          <cell r="Q640">
            <v>7000</v>
          </cell>
        </row>
        <row r="641">
          <cell r="K641" t="str">
            <v>601.4.1.2.2.0404</v>
          </cell>
          <cell r="L641" t="str">
            <v>not started</v>
          </cell>
          <cell r="M641" t="str">
            <v>Setting &amp; Alignment</v>
          </cell>
          <cell r="N641"/>
          <cell r="O641" t="str">
            <v>NO.</v>
          </cell>
          <cell r="P641">
            <v>8.9999999999999992E-5</v>
          </cell>
          <cell r="Q641">
            <v>7000</v>
          </cell>
        </row>
        <row r="642">
          <cell r="K642" t="str">
            <v>601.4.1.2.2.0405</v>
          </cell>
          <cell r="L642" t="str">
            <v>not started</v>
          </cell>
          <cell r="M642" t="str">
            <v>Certificate</v>
          </cell>
          <cell r="N642"/>
          <cell r="O642" t="str">
            <v>NO.</v>
          </cell>
          <cell r="P642">
            <v>4.4999999999999996E-5</v>
          </cell>
          <cell r="Q642">
            <v>7000</v>
          </cell>
        </row>
        <row r="643">
          <cell r="K643" t="str">
            <v>601.4.1.2.2.0501</v>
          </cell>
          <cell r="L643" t="str">
            <v>not started</v>
          </cell>
          <cell r="M643" t="str">
            <v>Material Handling</v>
          </cell>
          <cell r="N643"/>
          <cell r="O643" t="str">
            <v>NO.</v>
          </cell>
          <cell r="P643">
            <v>2.5000000000000001E-4</v>
          </cell>
          <cell r="Q643">
            <v>26550</v>
          </cell>
        </row>
        <row r="644">
          <cell r="K644" t="str">
            <v>601.4.1.2.2.0502</v>
          </cell>
          <cell r="L644" t="str">
            <v>not started</v>
          </cell>
          <cell r="M644" t="str">
            <v>Installation</v>
          </cell>
          <cell r="N644"/>
          <cell r="O644" t="str">
            <v>NO.</v>
          </cell>
          <cell r="P644">
            <v>1.5E-3</v>
          </cell>
          <cell r="Q644">
            <v>26550</v>
          </cell>
        </row>
        <row r="645">
          <cell r="K645" t="str">
            <v>601.4.1.2.2.0503</v>
          </cell>
          <cell r="L645" t="str">
            <v>not started</v>
          </cell>
          <cell r="M645" t="str">
            <v>Fixing &amp; tightening</v>
          </cell>
          <cell r="N645"/>
          <cell r="O645" t="str">
            <v>NO.</v>
          </cell>
          <cell r="P645">
            <v>3.7500000000000001E-4</v>
          </cell>
          <cell r="Q645">
            <v>26550</v>
          </cell>
        </row>
        <row r="646">
          <cell r="K646" t="str">
            <v>601.4.1.2.2.0504</v>
          </cell>
          <cell r="L646" t="str">
            <v>not started</v>
          </cell>
          <cell r="M646" t="str">
            <v>Setting &amp; Alignment</v>
          </cell>
          <cell r="N646"/>
          <cell r="O646" t="str">
            <v>NO.</v>
          </cell>
          <cell r="P646">
            <v>2.5000000000000001E-4</v>
          </cell>
          <cell r="Q646">
            <v>26550</v>
          </cell>
        </row>
        <row r="647">
          <cell r="K647" t="str">
            <v>601.4.1.2.2.0505</v>
          </cell>
          <cell r="L647" t="str">
            <v>not started</v>
          </cell>
          <cell r="M647" t="str">
            <v>Certificate</v>
          </cell>
          <cell r="N647"/>
          <cell r="O647" t="str">
            <v>NO.</v>
          </cell>
          <cell r="P647">
            <v>1.25E-4</v>
          </cell>
          <cell r="Q647">
            <v>26550</v>
          </cell>
        </row>
        <row r="648">
          <cell r="K648" t="str">
            <v>601.4.1.2.2.0601</v>
          </cell>
          <cell r="L648" t="str">
            <v>not started</v>
          </cell>
          <cell r="M648" t="str">
            <v>Material Handling</v>
          </cell>
          <cell r="N648"/>
          <cell r="O648" t="str">
            <v>NO.</v>
          </cell>
          <cell r="P648">
            <v>2.0000000000000001E-4</v>
          </cell>
          <cell r="Q648">
            <v>20120</v>
          </cell>
        </row>
        <row r="649">
          <cell r="K649" t="str">
            <v>601.4.1.2.2.0602</v>
          </cell>
          <cell r="L649" t="str">
            <v>not started</v>
          </cell>
          <cell r="M649" t="str">
            <v>Installation</v>
          </cell>
          <cell r="N649"/>
          <cell r="O649" t="str">
            <v>NO.</v>
          </cell>
          <cell r="P649">
            <v>1.2000000000000001E-3</v>
          </cell>
          <cell r="Q649">
            <v>20120</v>
          </cell>
        </row>
        <row r="650">
          <cell r="K650" t="str">
            <v>601.4.1.2.2.0603</v>
          </cell>
          <cell r="L650" t="str">
            <v>not started</v>
          </cell>
          <cell r="M650" t="str">
            <v>Fixing &amp; tightening</v>
          </cell>
          <cell r="N650"/>
          <cell r="O650" t="str">
            <v>NO.</v>
          </cell>
          <cell r="P650">
            <v>3.0000000000000003E-4</v>
          </cell>
          <cell r="Q650">
            <v>20120</v>
          </cell>
        </row>
        <row r="651">
          <cell r="K651" t="str">
            <v>601.4.1.2.2.0604</v>
          </cell>
          <cell r="L651" t="str">
            <v>not started</v>
          </cell>
          <cell r="M651" t="str">
            <v>Setting &amp; Alignment</v>
          </cell>
          <cell r="N651"/>
          <cell r="O651" t="str">
            <v>NO.</v>
          </cell>
          <cell r="P651">
            <v>2.0000000000000001E-4</v>
          </cell>
          <cell r="Q651">
            <v>20120</v>
          </cell>
        </row>
        <row r="652">
          <cell r="K652" t="str">
            <v>601.4.1.2.2.0605</v>
          </cell>
          <cell r="L652" t="str">
            <v>not started</v>
          </cell>
          <cell r="M652" t="str">
            <v>Certificate</v>
          </cell>
          <cell r="N652"/>
          <cell r="O652" t="str">
            <v>NO.</v>
          </cell>
          <cell r="P652">
            <v>1E-4</v>
          </cell>
          <cell r="Q652">
            <v>20120</v>
          </cell>
        </row>
        <row r="653">
          <cell r="K653" t="str">
            <v>601.4.1.2.2.0701</v>
          </cell>
          <cell r="L653" t="str">
            <v>not started</v>
          </cell>
          <cell r="M653" t="str">
            <v>Material Handling</v>
          </cell>
          <cell r="N653"/>
          <cell r="O653" t="str">
            <v>NO.</v>
          </cell>
          <cell r="P653">
            <v>8.9999999999999992E-5</v>
          </cell>
          <cell r="Q653">
            <v>2100</v>
          </cell>
        </row>
        <row r="654">
          <cell r="K654" t="str">
            <v>601.4.1.2.2.0702</v>
          </cell>
          <cell r="L654" t="str">
            <v>not started</v>
          </cell>
          <cell r="M654" t="str">
            <v>Installation</v>
          </cell>
          <cell r="N654"/>
          <cell r="O654" t="str">
            <v>NO.</v>
          </cell>
          <cell r="P654">
            <v>5.4000000000000001E-4</v>
          </cell>
          <cell r="Q654">
            <v>2100</v>
          </cell>
        </row>
        <row r="655">
          <cell r="K655" t="str">
            <v>601.4.1.2.2.0703</v>
          </cell>
          <cell r="L655" t="str">
            <v>not started</v>
          </cell>
          <cell r="M655" t="str">
            <v>Fixing &amp; tightening</v>
          </cell>
          <cell r="N655"/>
          <cell r="O655" t="str">
            <v>NO.</v>
          </cell>
          <cell r="P655">
            <v>1.35E-4</v>
          </cell>
          <cell r="Q655">
            <v>2100</v>
          </cell>
        </row>
        <row r="656">
          <cell r="K656" t="str">
            <v>601.4.1.2.2.0704</v>
          </cell>
          <cell r="L656" t="str">
            <v>not started</v>
          </cell>
          <cell r="M656" t="str">
            <v>Setting &amp; Alignment</v>
          </cell>
          <cell r="N656"/>
          <cell r="O656" t="str">
            <v>NO.</v>
          </cell>
          <cell r="P656">
            <v>8.9999999999999992E-5</v>
          </cell>
          <cell r="Q656">
            <v>2100</v>
          </cell>
        </row>
        <row r="657">
          <cell r="K657" t="str">
            <v>601.4.1.2.2.0705</v>
          </cell>
          <cell r="L657" t="str">
            <v>not started</v>
          </cell>
          <cell r="M657" t="str">
            <v>Certificate</v>
          </cell>
          <cell r="N657"/>
          <cell r="O657" t="str">
            <v>NO.</v>
          </cell>
          <cell r="P657">
            <v>4.4999999999999996E-5</v>
          </cell>
          <cell r="Q657">
            <v>2100</v>
          </cell>
        </row>
        <row r="658">
          <cell r="K658" t="str">
            <v>601.4.1.2.2.0801</v>
          </cell>
          <cell r="L658" t="str">
            <v>not started</v>
          </cell>
          <cell r="M658" t="str">
            <v>Material Handling</v>
          </cell>
          <cell r="N658"/>
          <cell r="O658" t="str">
            <v>NO.</v>
          </cell>
          <cell r="P658">
            <v>8.9999999999999992E-5</v>
          </cell>
          <cell r="Q658">
            <v>2000</v>
          </cell>
        </row>
        <row r="659">
          <cell r="K659" t="str">
            <v>601.4.1.2.2.0802</v>
          </cell>
          <cell r="L659" t="str">
            <v>not started</v>
          </cell>
          <cell r="M659" t="str">
            <v>Installation</v>
          </cell>
          <cell r="N659"/>
          <cell r="O659" t="str">
            <v>NO.</v>
          </cell>
          <cell r="P659">
            <v>5.4000000000000001E-4</v>
          </cell>
          <cell r="Q659">
            <v>2000</v>
          </cell>
        </row>
        <row r="660">
          <cell r="K660" t="str">
            <v>601.4.1.2.2.0803</v>
          </cell>
          <cell r="L660" t="str">
            <v>not started</v>
          </cell>
          <cell r="M660" t="str">
            <v>Fixing &amp; tightening</v>
          </cell>
          <cell r="N660"/>
          <cell r="O660" t="str">
            <v>NO.</v>
          </cell>
          <cell r="P660">
            <v>1.35E-4</v>
          </cell>
          <cell r="Q660">
            <v>2000</v>
          </cell>
        </row>
        <row r="661">
          <cell r="K661" t="str">
            <v>601.4.1.2.2.0804</v>
          </cell>
          <cell r="L661" t="str">
            <v>not started</v>
          </cell>
          <cell r="M661" t="str">
            <v>Setting &amp; Alignment</v>
          </cell>
          <cell r="N661"/>
          <cell r="O661" t="str">
            <v>NO.</v>
          </cell>
          <cell r="P661">
            <v>8.9999999999999992E-5</v>
          </cell>
          <cell r="Q661">
            <v>2000</v>
          </cell>
        </row>
        <row r="662">
          <cell r="K662" t="str">
            <v>601.4.1.2.2.0805</v>
          </cell>
          <cell r="L662" t="str">
            <v>not started</v>
          </cell>
          <cell r="M662" t="str">
            <v>Certificate</v>
          </cell>
          <cell r="N662"/>
          <cell r="O662" t="str">
            <v>NO.</v>
          </cell>
          <cell r="P662">
            <v>4.4999999999999996E-5</v>
          </cell>
          <cell r="Q662">
            <v>2000</v>
          </cell>
        </row>
        <row r="663">
          <cell r="K663" t="str">
            <v>601.4.1.2.2.0901</v>
          </cell>
          <cell r="L663" t="str">
            <v>not started</v>
          </cell>
          <cell r="M663" t="str">
            <v>Material Handling</v>
          </cell>
          <cell r="N663"/>
          <cell r="O663" t="str">
            <v>NO.</v>
          </cell>
          <cell r="P663">
            <v>5.9999999999999995E-5</v>
          </cell>
          <cell r="Q663">
            <v>1000</v>
          </cell>
        </row>
        <row r="664">
          <cell r="K664" t="str">
            <v>601.4.1.2.2.0902</v>
          </cell>
          <cell r="L664" t="str">
            <v>not started</v>
          </cell>
          <cell r="M664" t="str">
            <v>Installation</v>
          </cell>
          <cell r="N664"/>
          <cell r="O664" t="str">
            <v>NO.</v>
          </cell>
          <cell r="P664">
            <v>3.5999999999999997E-4</v>
          </cell>
          <cell r="Q664">
            <v>1000</v>
          </cell>
        </row>
        <row r="665">
          <cell r="K665" t="str">
            <v>601.4.1.2.2.0903</v>
          </cell>
          <cell r="L665" t="str">
            <v>not started</v>
          </cell>
          <cell r="M665" t="str">
            <v>Fixing &amp; tightening</v>
          </cell>
          <cell r="N665"/>
          <cell r="O665" t="str">
            <v>NO.</v>
          </cell>
          <cell r="P665">
            <v>8.9999999999999992E-5</v>
          </cell>
          <cell r="Q665">
            <v>1000</v>
          </cell>
        </row>
        <row r="666">
          <cell r="K666" t="str">
            <v>601.4.1.2.2.0904</v>
          </cell>
          <cell r="L666" t="str">
            <v>not started</v>
          </cell>
          <cell r="M666" t="str">
            <v>Setting &amp; Alignment</v>
          </cell>
          <cell r="N666"/>
          <cell r="O666" t="str">
            <v>NO.</v>
          </cell>
          <cell r="P666">
            <v>5.9999999999999995E-5</v>
          </cell>
          <cell r="Q666">
            <v>1000</v>
          </cell>
        </row>
        <row r="667">
          <cell r="K667" t="str">
            <v>601.4.1.2.2.0905</v>
          </cell>
          <cell r="L667" t="str">
            <v>not started</v>
          </cell>
          <cell r="M667" t="str">
            <v>Certificate</v>
          </cell>
          <cell r="N667"/>
          <cell r="O667" t="str">
            <v>NO.</v>
          </cell>
          <cell r="P667">
            <v>2.9999999999999997E-5</v>
          </cell>
          <cell r="Q667">
            <v>1000</v>
          </cell>
        </row>
        <row r="668">
          <cell r="K668" t="str">
            <v>601.4.1.2.2.1001</v>
          </cell>
          <cell r="L668" t="str">
            <v>not started</v>
          </cell>
          <cell r="M668" t="str">
            <v>Material Handling</v>
          </cell>
          <cell r="N668"/>
          <cell r="O668" t="str">
            <v>NO.</v>
          </cell>
          <cell r="P668">
            <v>1E-4</v>
          </cell>
          <cell r="Q668">
            <v>1</v>
          </cell>
        </row>
        <row r="669">
          <cell r="K669" t="str">
            <v>601.4.1.2.2.1002</v>
          </cell>
          <cell r="L669" t="str">
            <v>not started</v>
          </cell>
          <cell r="M669" t="str">
            <v>Installation</v>
          </cell>
          <cell r="N669"/>
          <cell r="O669" t="str">
            <v>NO.</v>
          </cell>
          <cell r="P669">
            <v>6.0000000000000006E-4</v>
          </cell>
          <cell r="Q669">
            <v>1</v>
          </cell>
        </row>
        <row r="670">
          <cell r="K670" t="str">
            <v>601.4.1.2.2.1003</v>
          </cell>
          <cell r="L670" t="str">
            <v>not started</v>
          </cell>
          <cell r="M670" t="str">
            <v>Fixing &amp; tightening</v>
          </cell>
          <cell r="N670"/>
          <cell r="O670" t="str">
            <v>NO.</v>
          </cell>
          <cell r="P670">
            <v>1.5000000000000001E-4</v>
          </cell>
          <cell r="Q670">
            <v>1</v>
          </cell>
        </row>
        <row r="671">
          <cell r="K671" t="str">
            <v>601.4.1.2.2.1004</v>
          </cell>
          <cell r="L671" t="str">
            <v>not started</v>
          </cell>
          <cell r="M671" t="str">
            <v>Setting &amp; Alignment</v>
          </cell>
          <cell r="N671"/>
          <cell r="O671" t="str">
            <v>NO.</v>
          </cell>
          <cell r="P671">
            <v>1E-4</v>
          </cell>
          <cell r="Q671">
            <v>1</v>
          </cell>
        </row>
        <row r="672">
          <cell r="K672" t="str">
            <v>601.4.1.2.2.1005</v>
          </cell>
          <cell r="L672" t="str">
            <v>not started</v>
          </cell>
          <cell r="M672" t="str">
            <v>Certificate</v>
          </cell>
          <cell r="N672"/>
          <cell r="O672" t="str">
            <v>NO.</v>
          </cell>
          <cell r="P672">
            <v>5.0000000000000002E-5</v>
          </cell>
          <cell r="Q672">
            <v>1</v>
          </cell>
        </row>
        <row r="673">
          <cell r="K673" t="str">
            <v>601.4.1.2.2.1101</v>
          </cell>
          <cell r="L673" t="str">
            <v>not started</v>
          </cell>
          <cell r="M673" t="str">
            <v>Material Handling</v>
          </cell>
          <cell r="N673"/>
          <cell r="O673" t="str">
            <v>NO.</v>
          </cell>
          <cell r="P673">
            <v>8.0000000000000007E-5</v>
          </cell>
          <cell r="Q673">
            <v>1789.2</v>
          </cell>
        </row>
        <row r="674">
          <cell r="K674" t="str">
            <v>601.4.1.2.2.1102</v>
          </cell>
          <cell r="L674" t="str">
            <v>not started</v>
          </cell>
          <cell r="M674" t="str">
            <v>Installation</v>
          </cell>
          <cell r="N674"/>
          <cell r="O674" t="str">
            <v>NO.</v>
          </cell>
          <cell r="P674">
            <v>4.8000000000000001E-4</v>
          </cell>
          <cell r="Q674">
            <v>1789.2</v>
          </cell>
        </row>
        <row r="675">
          <cell r="K675" t="str">
            <v>601.4.1.2.2.1103</v>
          </cell>
          <cell r="L675" t="str">
            <v>not started</v>
          </cell>
          <cell r="M675" t="str">
            <v>Fixing &amp; tightening</v>
          </cell>
          <cell r="N675"/>
          <cell r="O675" t="str">
            <v>NO.</v>
          </cell>
          <cell r="P675">
            <v>1.2E-4</v>
          </cell>
          <cell r="Q675">
            <v>1789.2</v>
          </cell>
        </row>
        <row r="676">
          <cell r="K676" t="str">
            <v>601.4.1.2.2.1104</v>
          </cell>
          <cell r="L676" t="str">
            <v>not started</v>
          </cell>
          <cell r="M676" t="str">
            <v>Setting &amp; Alignment</v>
          </cell>
          <cell r="N676"/>
          <cell r="O676" t="str">
            <v>NO.</v>
          </cell>
          <cell r="P676">
            <v>8.0000000000000007E-5</v>
          </cell>
          <cell r="Q676">
            <v>1789.2</v>
          </cell>
        </row>
        <row r="677">
          <cell r="K677" t="str">
            <v>601.4.1.2.2.1105</v>
          </cell>
          <cell r="L677" t="str">
            <v>not started</v>
          </cell>
          <cell r="M677" t="str">
            <v>Certificate</v>
          </cell>
          <cell r="N677"/>
          <cell r="O677" t="str">
            <v>NO.</v>
          </cell>
          <cell r="P677">
            <v>4.0000000000000003E-5</v>
          </cell>
          <cell r="Q677">
            <v>1789.2</v>
          </cell>
        </row>
        <row r="678">
          <cell r="K678" t="str">
            <v>601.4.1.2.2.1201</v>
          </cell>
          <cell r="L678" t="str">
            <v>not started</v>
          </cell>
          <cell r="M678" t="str">
            <v>Material Handling</v>
          </cell>
          <cell r="N678"/>
          <cell r="O678" t="str">
            <v>NO.</v>
          </cell>
          <cell r="P678">
            <v>1.5000000000000001E-4</v>
          </cell>
          <cell r="Q678">
            <v>13550</v>
          </cell>
        </row>
        <row r="679">
          <cell r="K679" t="str">
            <v>601.4.1.2.2.1202</v>
          </cell>
          <cell r="L679" t="str">
            <v>not started</v>
          </cell>
          <cell r="M679" t="str">
            <v>Installation</v>
          </cell>
          <cell r="N679"/>
          <cell r="O679" t="str">
            <v>NO.</v>
          </cell>
          <cell r="P679">
            <v>8.9999999999999998E-4</v>
          </cell>
          <cell r="Q679">
            <v>13550</v>
          </cell>
        </row>
        <row r="680">
          <cell r="K680" t="str">
            <v>601.4.1.2.2.1203</v>
          </cell>
          <cell r="L680" t="str">
            <v>not started</v>
          </cell>
          <cell r="M680" t="str">
            <v>Fixing &amp; tightening</v>
          </cell>
          <cell r="N680"/>
          <cell r="O680" t="str">
            <v>NO.</v>
          </cell>
          <cell r="P680">
            <v>2.2499999999999999E-4</v>
          </cell>
          <cell r="Q680">
            <v>13550</v>
          </cell>
        </row>
        <row r="681">
          <cell r="K681" t="str">
            <v>601.4.1.2.2.1204</v>
          </cell>
          <cell r="L681" t="str">
            <v>not started</v>
          </cell>
          <cell r="M681" t="str">
            <v>Setting &amp; Alignment</v>
          </cell>
          <cell r="N681"/>
          <cell r="O681" t="str">
            <v>NO.</v>
          </cell>
          <cell r="P681">
            <v>1.5000000000000001E-4</v>
          </cell>
          <cell r="Q681">
            <v>13550</v>
          </cell>
        </row>
        <row r="682">
          <cell r="K682" t="str">
            <v>601.4.1.2.2.1205</v>
          </cell>
          <cell r="L682" t="str">
            <v>not started</v>
          </cell>
          <cell r="M682" t="str">
            <v>Certificate</v>
          </cell>
          <cell r="N682"/>
          <cell r="O682" t="str">
            <v>NO.</v>
          </cell>
          <cell r="P682">
            <v>7.5000000000000007E-5</v>
          </cell>
          <cell r="Q682">
            <v>13550</v>
          </cell>
        </row>
        <row r="683">
          <cell r="K683" t="str">
            <v>601.4.1.2.2.1301</v>
          </cell>
          <cell r="L683" t="str">
            <v>not started</v>
          </cell>
          <cell r="M683" t="str">
            <v>Material Handling</v>
          </cell>
          <cell r="N683"/>
          <cell r="O683" t="str">
            <v>NO.</v>
          </cell>
          <cell r="P683">
            <v>8.0000000000000007E-5</v>
          </cell>
          <cell r="Q683">
            <v>1840</v>
          </cell>
        </row>
        <row r="684">
          <cell r="K684" t="str">
            <v>601.4.1.2.2.1302</v>
          </cell>
          <cell r="L684" t="str">
            <v>not started</v>
          </cell>
          <cell r="M684" t="str">
            <v>Installation</v>
          </cell>
          <cell r="N684"/>
          <cell r="O684" t="str">
            <v>NO.</v>
          </cell>
          <cell r="P684">
            <v>4.8000000000000001E-4</v>
          </cell>
          <cell r="Q684">
            <v>1840</v>
          </cell>
        </row>
        <row r="685">
          <cell r="K685" t="str">
            <v>601.4.1.2.2.1303</v>
          </cell>
          <cell r="L685" t="str">
            <v>not started</v>
          </cell>
          <cell r="M685" t="str">
            <v>Fixing &amp; tightening</v>
          </cell>
          <cell r="N685"/>
          <cell r="O685" t="str">
            <v>NO.</v>
          </cell>
          <cell r="P685">
            <v>1.2E-4</v>
          </cell>
          <cell r="Q685">
            <v>1840</v>
          </cell>
        </row>
        <row r="686">
          <cell r="K686" t="str">
            <v>601.4.1.2.2.1304</v>
          </cell>
          <cell r="L686" t="str">
            <v>not started</v>
          </cell>
          <cell r="M686" t="str">
            <v>Setting &amp; Alignment</v>
          </cell>
          <cell r="N686"/>
          <cell r="O686" t="str">
            <v>NO.</v>
          </cell>
          <cell r="P686">
            <v>8.0000000000000007E-5</v>
          </cell>
          <cell r="Q686">
            <v>1840</v>
          </cell>
        </row>
        <row r="687">
          <cell r="K687" t="str">
            <v>601.4.1.2.2.1305</v>
          </cell>
          <cell r="L687" t="str">
            <v>not started</v>
          </cell>
          <cell r="M687" t="str">
            <v>Certificate</v>
          </cell>
          <cell r="N687"/>
          <cell r="O687" t="str">
            <v>NO.</v>
          </cell>
          <cell r="P687">
            <v>4.0000000000000003E-5</v>
          </cell>
          <cell r="Q687">
            <v>1840</v>
          </cell>
        </row>
        <row r="688">
          <cell r="K688" t="str">
            <v>601.4.1.2.3.0101</v>
          </cell>
          <cell r="L688" t="str">
            <v>inprogrss</v>
          </cell>
          <cell r="M688" t="str">
            <v>Material Handling</v>
          </cell>
          <cell r="N688">
            <v>2027.2</v>
          </cell>
          <cell r="O688" t="str">
            <v>KG</v>
          </cell>
          <cell r="P688">
            <v>4.0000000000000002E-4</v>
          </cell>
          <cell r="Q688">
            <v>5068</v>
          </cell>
        </row>
        <row r="689">
          <cell r="K689" t="str">
            <v>601.4.1.2.3.0102</v>
          </cell>
          <cell r="L689" t="str">
            <v>inprogrss</v>
          </cell>
          <cell r="M689" t="str">
            <v>Erection</v>
          </cell>
          <cell r="N689">
            <v>2027.2</v>
          </cell>
          <cell r="O689" t="str">
            <v>KG</v>
          </cell>
          <cell r="P689">
            <v>4.4000000000000003E-3</v>
          </cell>
          <cell r="Q689">
            <v>5068</v>
          </cell>
        </row>
        <row r="690">
          <cell r="K690" t="str">
            <v>601.4.1.2.3.0103</v>
          </cell>
          <cell r="L690" t="str">
            <v>inprogrss</v>
          </cell>
          <cell r="M690" t="str">
            <v>Fixing &amp; tightening</v>
          </cell>
          <cell r="N690">
            <v>710</v>
          </cell>
          <cell r="O690" t="str">
            <v>KG</v>
          </cell>
          <cell r="P690">
            <v>2E-3</v>
          </cell>
          <cell r="Q690">
            <v>5068</v>
          </cell>
        </row>
        <row r="691">
          <cell r="K691" t="str">
            <v>601.4.1.2.3.0104</v>
          </cell>
          <cell r="L691" t="str">
            <v>not started</v>
          </cell>
          <cell r="M691" t="str">
            <v>Punch Removing</v>
          </cell>
          <cell r="N691"/>
          <cell r="O691" t="str">
            <v>KG</v>
          </cell>
          <cell r="P691">
            <v>8.0000000000000004E-4</v>
          </cell>
          <cell r="Q691">
            <v>5068</v>
          </cell>
        </row>
        <row r="692">
          <cell r="K692" t="str">
            <v>601.4.1.2.3.0105</v>
          </cell>
          <cell r="L692" t="str">
            <v>not started</v>
          </cell>
          <cell r="M692" t="str">
            <v>Certificate</v>
          </cell>
          <cell r="N692"/>
          <cell r="O692" t="str">
            <v>KG</v>
          </cell>
          <cell r="P692">
            <v>4.0000000000000002E-4</v>
          </cell>
          <cell r="Q692">
            <v>5068</v>
          </cell>
        </row>
        <row r="693">
          <cell r="K693" t="str">
            <v>601.4.1.3.1.0101</v>
          </cell>
          <cell r="L693" t="str">
            <v>not started</v>
          </cell>
          <cell r="M693" t="str">
            <v>Material Handling</v>
          </cell>
          <cell r="N693"/>
          <cell r="O693" t="str">
            <v>NO.</v>
          </cell>
          <cell r="P693">
            <v>4.5000000000000004E-4</v>
          </cell>
          <cell r="Q693">
            <v>10128.6</v>
          </cell>
        </row>
        <row r="694">
          <cell r="K694" t="str">
            <v>601.4.1.3.1.0102</v>
          </cell>
          <cell r="L694" t="str">
            <v>not started</v>
          </cell>
          <cell r="M694" t="str">
            <v>Installation</v>
          </cell>
          <cell r="N694"/>
          <cell r="O694" t="str">
            <v>NO.</v>
          </cell>
          <cell r="P694">
            <v>2.7000000000000001E-3</v>
          </cell>
          <cell r="Q694">
            <v>10128.6</v>
          </cell>
        </row>
        <row r="695">
          <cell r="K695" t="str">
            <v>601.4.1.3.1.0103</v>
          </cell>
          <cell r="L695" t="str">
            <v>not started</v>
          </cell>
          <cell r="M695" t="str">
            <v>Fixing &amp; tightening</v>
          </cell>
          <cell r="N695"/>
          <cell r="O695" t="str">
            <v>NO.</v>
          </cell>
          <cell r="P695">
            <v>6.7500000000000004E-4</v>
          </cell>
          <cell r="Q695">
            <v>10128.6</v>
          </cell>
        </row>
        <row r="696">
          <cell r="K696" t="str">
            <v>601.4.1.3.1.0104</v>
          </cell>
          <cell r="L696" t="str">
            <v>not started</v>
          </cell>
          <cell r="M696" t="str">
            <v>Setting &amp; Alignment</v>
          </cell>
          <cell r="N696"/>
          <cell r="O696" t="str">
            <v>NO.</v>
          </cell>
          <cell r="P696">
            <v>4.5000000000000004E-4</v>
          </cell>
          <cell r="Q696">
            <v>10128.6</v>
          </cell>
        </row>
        <row r="697">
          <cell r="K697" t="str">
            <v>601.4.1.3.1.0105</v>
          </cell>
          <cell r="L697" t="str">
            <v>not started</v>
          </cell>
          <cell r="M697" t="str">
            <v>Certificate</v>
          </cell>
          <cell r="N697"/>
          <cell r="O697" t="str">
            <v>NO.</v>
          </cell>
          <cell r="P697">
            <v>2.2500000000000002E-4</v>
          </cell>
          <cell r="Q697">
            <v>10128.6</v>
          </cell>
        </row>
        <row r="698">
          <cell r="K698" t="str">
            <v>601.4.1.3.1.0201</v>
          </cell>
          <cell r="L698" t="str">
            <v>inprogrss</v>
          </cell>
          <cell r="M698" t="str">
            <v>Material Handling</v>
          </cell>
          <cell r="N698">
            <v>731.43000000000006</v>
          </cell>
          <cell r="O698" t="str">
            <v>NO.</v>
          </cell>
          <cell r="P698">
            <v>4.5000000000000004E-4</v>
          </cell>
          <cell r="Q698">
            <v>14628.6</v>
          </cell>
        </row>
        <row r="699">
          <cell r="K699" t="str">
            <v>601.4.1.3.1.0202</v>
          </cell>
          <cell r="L699" t="str">
            <v>inprogrss</v>
          </cell>
          <cell r="M699" t="str">
            <v>Installation</v>
          </cell>
          <cell r="N699">
            <v>731.43000000000006</v>
          </cell>
          <cell r="O699" t="str">
            <v>NO.</v>
          </cell>
          <cell r="P699">
            <v>2.7000000000000001E-3</v>
          </cell>
          <cell r="Q699">
            <v>14628.6</v>
          </cell>
        </row>
        <row r="700">
          <cell r="K700" t="str">
            <v>601.4.1.3.1.0203</v>
          </cell>
          <cell r="L700" t="str">
            <v>not started</v>
          </cell>
          <cell r="M700" t="str">
            <v>Fixing &amp; tightening</v>
          </cell>
          <cell r="N700"/>
          <cell r="O700" t="str">
            <v>NO.</v>
          </cell>
          <cell r="P700">
            <v>6.7500000000000004E-4</v>
          </cell>
          <cell r="Q700">
            <v>14628.6</v>
          </cell>
        </row>
        <row r="701">
          <cell r="K701" t="str">
            <v>601.4.1.3.1.0204</v>
          </cell>
          <cell r="L701" t="str">
            <v>not started</v>
          </cell>
          <cell r="M701" t="str">
            <v>Setting &amp; Alignment</v>
          </cell>
          <cell r="N701"/>
          <cell r="O701" t="str">
            <v>NO.</v>
          </cell>
          <cell r="P701">
            <v>4.5000000000000004E-4</v>
          </cell>
          <cell r="Q701">
            <v>14628.6</v>
          </cell>
        </row>
        <row r="702">
          <cell r="K702" t="str">
            <v>601.4.1.3.1.0205</v>
          </cell>
          <cell r="L702" t="str">
            <v>not started</v>
          </cell>
          <cell r="M702" t="str">
            <v>Certificate</v>
          </cell>
          <cell r="N702"/>
          <cell r="O702" t="str">
            <v>NO.</v>
          </cell>
          <cell r="P702">
            <v>2.2500000000000002E-4</v>
          </cell>
          <cell r="Q702">
            <v>14628.6</v>
          </cell>
        </row>
        <row r="703">
          <cell r="K703" t="str">
            <v>601.4.1.3.1.0301</v>
          </cell>
          <cell r="L703" t="str">
            <v>complete</v>
          </cell>
          <cell r="M703" t="str">
            <v>Material Handling</v>
          </cell>
          <cell r="N703">
            <v>17100</v>
          </cell>
          <cell r="O703" t="str">
            <v>NO.</v>
          </cell>
          <cell r="P703">
            <v>4.8999999999999998E-4</v>
          </cell>
          <cell r="Q703">
            <v>17100</v>
          </cell>
        </row>
        <row r="704">
          <cell r="K704" t="str">
            <v>601.4.1.3.1.0302</v>
          </cell>
          <cell r="L704" t="str">
            <v>complete</v>
          </cell>
          <cell r="M704" t="str">
            <v>Installation</v>
          </cell>
          <cell r="N704">
            <v>17100</v>
          </cell>
          <cell r="O704" t="str">
            <v>NO.</v>
          </cell>
          <cell r="P704">
            <v>2.9399999999999999E-3</v>
          </cell>
          <cell r="Q704">
            <v>17100</v>
          </cell>
        </row>
        <row r="705">
          <cell r="K705" t="str">
            <v>601.4.1.3.1.0303</v>
          </cell>
          <cell r="L705" t="str">
            <v>complete</v>
          </cell>
          <cell r="M705" t="str">
            <v>Fixing &amp; tightening</v>
          </cell>
          <cell r="N705">
            <v>17100</v>
          </cell>
          <cell r="O705" t="str">
            <v>NO.</v>
          </cell>
          <cell r="P705">
            <v>7.3499999999999998E-4</v>
          </cell>
          <cell r="Q705">
            <v>17100</v>
          </cell>
        </row>
        <row r="706">
          <cell r="K706" t="str">
            <v>601.4.1.3.1.0304</v>
          </cell>
          <cell r="L706" t="str">
            <v>not started</v>
          </cell>
          <cell r="M706" t="str">
            <v>Setting &amp; Alignment</v>
          </cell>
          <cell r="N706"/>
          <cell r="O706" t="str">
            <v>NO.</v>
          </cell>
          <cell r="P706">
            <v>4.8999999999999998E-4</v>
          </cell>
          <cell r="Q706">
            <v>17100</v>
          </cell>
        </row>
        <row r="707">
          <cell r="K707" t="str">
            <v>601.4.1.3.1.0305</v>
          </cell>
          <cell r="L707" t="str">
            <v>inprogrss</v>
          </cell>
          <cell r="M707" t="str">
            <v>Certificate</v>
          </cell>
          <cell r="N707">
            <v>4210</v>
          </cell>
          <cell r="O707" t="str">
            <v>NO.</v>
          </cell>
          <cell r="P707">
            <v>2.4499999999999999E-4</v>
          </cell>
          <cell r="Q707">
            <v>17100</v>
          </cell>
        </row>
        <row r="708">
          <cell r="K708" t="str">
            <v>601.4.1.3.1.0401</v>
          </cell>
          <cell r="L708" t="str">
            <v>complete</v>
          </cell>
          <cell r="M708" t="str">
            <v>Material Handling</v>
          </cell>
          <cell r="N708">
            <v>17100</v>
          </cell>
          <cell r="O708" t="str">
            <v>NO.</v>
          </cell>
          <cell r="P708">
            <v>4.8999999999999998E-4</v>
          </cell>
          <cell r="Q708">
            <v>17100</v>
          </cell>
        </row>
        <row r="709">
          <cell r="K709" t="str">
            <v>601.4.1.3.1.0402</v>
          </cell>
          <cell r="L709" t="str">
            <v>complete</v>
          </cell>
          <cell r="M709" t="str">
            <v>Installation</v>
          </cell>
          <cell r="N709">
            <v>17100</v>
          </cell>
          <cell r="O709" t="str">
            <v>NO.</v>
          </cell>
          <cell r="P709">
            <v>2.9399999999999999E-3</v>
          </cell>
          <cell r="Q709">
            <v>17100</v>
          </cell>
        </row>
        <row r="710">
          <cell r="K710" t="str">
            <v>601.4.1.3.1.0403</v>
          </cell>
          <cell r="L710" t="str">
            <v>complete</v>
          </cell>
          <cell r="M710" t="str">
            <v>Fixing &amp; tightening</v>
          </cell>
          <cell r="N710">
            <v>17100</v>
          </cell>
          <cell r="O710" t="str">
            <v>NO.</v>
          </cell>
          <cell r="P710">
            <v>7.3499999999999998E-4</v>
          </cell>
          <cell r="Q710">
            <v>17100</v>
          </cell>
        </row>
        <row r="711">
          <cell r="K711" t="str">
            <v>601.4.1.3.1.0404</v>
          </cell>
          <cell r="L711" t="str">
            <v>not started</v>
          </cell>
          <cell r="M711" t="str">
            <v>Setting &amp; Alignment</v>
          </cell>
          <cell r="N711"/>
          <cell r="O711" t="str">
            <v>NO.</v>
          </cell>
          <cell r="P711">
            <v>4.8999999999999998E-4</v>
          </cell>
          <cell r="Q711">
            <v>17100</v>
          </cell>
        </row>
        <row r="712">
          <cell r="K712" t="str">
            <v>601.4.1.3.1.0405</v>
          </cell>
          <cell r="L712" t="str">
            <v>inprogrss</v>
          </cell>
          <cell r="M712" t="str">
            <v>Certificate</v>
          </cell>
          <cell r="N712">
            <v>4300</v>
          </cell>
          <cell r="O712" t="str">
            <v>NO.</v>
          </cell>
          <cell r="P712">
            <v>2.4499999999999999E-4</v>
          </cell>
          <cell r="Q712">
            <v>17100</v>
          </cell>
        </row>
        <row r="713">
          <cell r="K713" t="str">
            <v>601.4.1.3.1.0501</v>
          </cell>
          <cell r="L713" t="str">
            <v>complete</v>
          </cell>
          <cell r="M713" t="str">
            <v>Material Handling</v>
          </cell>
          <cell r="N713">
            <v>17100</v>
          </cell>
          <cell r="O713" t="str">
            <v>NO.</v>
          </cell>
          <cell r="P713">
            <v>4.8999999999999998E-4</v>
          </cell>
          <cell r="Q713">
            <v>17100</v>
          </cell>
        </row>
        <row r="714">
          <cell r="K714" t="str">
            <v>601.4.1.3.1.0502</v>
          </cell>
          <cell r="L714" t="str">
            <v>complete</v>
          </cell>
          <cell r="M714" t="str">
            <v>Installation</v>
          </cell>
          <cell r="N714">
            <v>17100</v>
          </cell>
          <cell r="O714" t="str">
            <v>NO.</v>
          </cell>
          <cell r="P714">
            <v>2.9399999999999999E-3</v>
          </cell>
          <cell r="Q714">
            <v>17100</v>
          </cell>
        </row>
        <row r="715">
          <cell r="K715" t="str">
            <v>601.4.1.3.1.0503</v>
          </cell>
          <cell r="L715" t="str">
            <v>complete</v>
          </cell>
          <cell r="M715" t="str">
            <v>Fixing &amp; tightening</v>
          </cell>
          <cell r="N715">
            <v>17100</v>
          </cell>
          <cell r="O715" t="str">
            <v>NO.</v>
          </cell>
          <cell r="P715">
            <v>7.3499999999999998E-4</v>
          </cell>
          <cell r="Q715">
            <v>17100</v>
          </cell>
        </row>
        <row r="716">
          <cell r="K716" t="str">
            <v>601.4.1.3.1.0504</v>
          </cell>
          <cell r="L716" t="str">
            <v>not started</v>
          </cell>
          <cell r="M716" t="str">
            <v>Setting &amp; Alignment</v>
          </cell>
          <cell r="N716"/>
          <cell r="O716" t="str">
            <v>NO.</v>
          </cell>
          <cell r="P716">
            <v>4.8999999999999998E-4</v>
          </cell>
          <cell r="Q716">
            <v>17100</v>
          </cell>
        </row>
        <row r="717">
          <cell r="K717" t="str">
            <v>601.4.1.3.1.0505</v>
          </cell>
          <cell r="L717" t="str">
            <v>inprogrss</v>
          </cell>
          <cell r="M717" t="str">
            <v>Certificate</v>
          </cell>
          <cell r="N717">
            <v>4210</v>
          </cell>
          <cell r="O717" t="str">
            <v>NO.</v>
          </cell>
          <cell r="P717">
            <v>2.4499999999999999E-4</v>
          </cell>
          <cell r="Q717">
            <v>17100</v>
          </cell>
        </row>
        <row r="718">
          <cell r="K718" t="str">
            <v>601.4.1.3.1.0601</v>
          </cell>
          <cell r="L718" t="str">
            <v>complete</v>
          </cell>
          <cell r="M718" t="str">
            <v>Material Handling</v>
          </cell>
          <cell r="N718">
            <v>35200</v>
          </cell>
          <cell r="O718" t="str">
            <v>NO.</v>
          </cell>
          <cell r="P718">
            <v>6.0000000000000006E-4</v>
          </cell>
          <cell r="Q718">
            <v>35200</v>
          </cell>
        </row>
        <row r="719">
          <cell r="K719" t="str">
            <v>601.4.1.3.1.0602</v>
          </cell>
          <cell r="L719" t="str">
            <v>complete</v>
          </cell>
          <cell r="M719" t="str">
            <v>Installation</v>
          </cell>
          <cell r="N719">
            <v>35200</v>
          </cell>
          <cell r="O719" t="str">
            <v>NO.</v>
          </cell>
          <cell r="P719">
            <v>3.5999999999999999E-3</v>
          </cell>
          <cell r="Q719">
            <v>35200</v>
          </cell>
        </row>
        <row r="720">
          <cell r="K720" t="str">
            <v>601.4.1.3.1.0603</v>
          </cell>
          <cell r="L720" t="str">
            <v>inprogrss</v>
          </cell>
          <cell r="M720" t="str">
            <v>Fixing &amp; tightening</v>
          </cell>
          <cell r="N720">
            <v>31250</v>
          </cell>
          <cell r="O720" t="str">
            <v>NO.</v>
          </cell>
          <cell r="P720">
            <v>8.9999999999999998E-4</v>
          </cell>
          <cell r="Q720">
            <v>35200</v>
          </cell>
        </row>
        <row r="721">
          <cell r="K721" t="str">
            <v>601.4.1.3.1.0604</v>
          </cell>
          <cell r="L721" t="str">
            <v>not started</v>
          </cell>
          <cell r="M721" t="str">
            <v>Setting &amp; Alignment</v>
          </cell>
          <cell r="N721"/>
          <cell r="O721" t="str">
            <v>NO.</v>
          </cell>
          <cell r="P721">
            <v>6.0000000000000006E-4</v>
          </cell>
          <cell r="Q721">
            <v>35200</v>
          </cell>
        </row>
        <row r="722">
          <cell r="K722" t="str">
            <v>601.4.1.3.1.0605</v>
          </cell>
          <cell r="L722" t="str">
            <v>not started</v>
          </cell>
          <cell r="M722" t="str">
            <v>Certificate</v>
          </cell>
          <cell r="N722"/>
          <cell r="O722" t="str">
            <v>NO.</v>
          </cell>
          <cell r="P722">
            <v>3.0000000000000003E-4</v>
          </cell>
          <cell r="Q722">
            <v>35200</v>
          </cell>
        </row>
        <row r="723">
          <cell r="K723" t="str">
            <v>601.4.1.3.1.0701</v>
          </cell>
          <cell r="L723" t="str">
            <v>complete</v>
          </cell>
          <cell r="M723" t="str">
            <v>Material Handling</v>
          </cell>
          <cell r="N723">
            <v>50030</v>
          </cell>
          <cell r="O723" t="str">
            <v>NO.</v>
          </cell>
          <cell r="P723">
            <v>8.0000000000000004E-4</v>
          </cell>
          <cell r="Q723">
            <v>50030</v>
          </cell>
        </row>
        <row r="724">
          <cell r="K724" t="str">
            <v>601.4.1.3.1.0702</v>
          </cell>
          <cell r="L724" t="str">
            <v>complete</v>
          </cell>
          <cell r="M724" t="str">
            <v>Installation</v>
          </cell>
          <cell r="N724">
            <v>50030</v>
          </cell>
          <cell r="O724" t="str">
            <v>NO.</v>
          </cell>
          <cell r="P724">
            <v>4.8000000000000004E-3</v>
          </cell>
          <cell r="Q724">
            <v>50030</v>
          </cell>
        </row>
        <row r="725">
          <cell r="K725" t="str">
            <v>601.4.1.3.1.0703</v>
          </cell>
          <cell r="L725" t="str">
            <v>complete</v>
          </cell>
          <cell r="M725" t="str">
            <v>Fixing &amp; tightening</v>
          </cell>
          <cell r="N725">
            <v>50030</v>
          </cell>
          <cell r="O725" t="str">
            <v>NO.</v>
          </cell>
          <cell r="P725">
            <v>1.2000000000000001E-3</v>
          </cell>
          <cell r="Q725">
            <v>50030</v>
          </cell>
        </row>
        <row r="726">
          <cell r="K726" t="str">
            <v>601.4.1.3.1.0704</v>
          </cell>
          <cell r="L726" t="str">
            <v>inprogrss</v>
          </cell>
          <cell r="M726" t="str">
            <v>Setting &amp; Alignment</v>
          </cell>
          <cell r="N726">
            <v>12503</v>
          </cell>
          <cell r="O726" t="str">
            <v>NO.</v>
          </cell>
          <cell r="P726">
            <v>8.0000000000000004E-4</v>
          </cell>
          <cell r="Q726">
            <v>50030</v>
          </cell>
        </row>
        <row r="727">
          <cell r="K727" t="str">
            <v>601.4.1.3.1.0705</v>
          </cell>
          <cell r="L727" t="str">
            <v>not started</v>
          </cell>
          <cell r="M727" t="str">
            <v>Certificate</v>
          </cell>
          <cell r="N727"/>
          <cell r="O727" t="str">
            <v>NO.</v>
          </cell>
          <cell r="P727">
            <v>4.0000000000000002E-4</v>
          </cell>
          <cell r="Q727">
            <v>50030</v>
          </cell>
        </row>
        <row r="728">
          <cell r="K728" t="str">
            <v>601.4.1.3.1.0801</v>
          </cell>
          <cell r="L728" t="str">
            <v>not started</v>
          </cell>
          <cell r="M728" t="str">
            <v>Material Handling</v>
          </cell>
          <cell r="N728"/>
          <cell r="O728" t="str">
            <v>NO.</v>
          </cell>
          <cell r="P728">
            <v>2.8000000000000003E-4</v>
          </cell>
          <cell r="Q728">
            <v>10700</v>
          </cell>
        </row>
        <row r="729">
          <cell r="K729" t="str">
            <v>601.4.1.3.1.0802</v>
          </cell>
          <cell r="L729" t="str">
            <v>not started</v>
          </cell>
          <cell r="M729" t="str">
            <v>Installation</v>
          </cell>
          <cell r="N729"/>
          <cell r="O729" t="str">
            <v>NO.</v>
          </cell>
          <cell r="P729">
            <v>1.6800000000000003E-3</v>
          </cell>
          <cell r="Q729">
            <v>10700</v>
          </cell>
        </row>
        <row r="730">
          <cell r="K730" t="str">
            <v>601.4.1.3.1.0803</v>
          </cell>
          <cell r="L730" t="str">
            <v>not started</v>
          </cell>
          <cell r="M730" t="str">
            <v>Fixing &amp; tightening</v>
          </cell>
          <cell r="N730"/>
          <cell r="O730" t="str">
            <v>NO.</v>
          </cell>
          <cell r="P730">
            <v>4.2000000000000007E-4</v>
          </cell>
          <cell r="Q730">
            <v>10700</v>
          </cell>
        </row>
        <row r="731">
          <cell r="K731" t="str">
            <v>601.4.1.3.1.0804</v>
          </cell>
          <cell r="L731" t="str">
            <v>not started</v>
          </cell>
          <cell r="M731" t="str">
            <v>Setting &amp; Alignment</v>
          </cell>
          <cell r="N731"/>
          <cell r="O731" t="str">
            <v>NO.</v>
          </cell>
          <cell r="P731">
            <v>2.8000000000000003E-4</v>
          </cell>
          <cell r="Q731">
            <v>10700</v>
          </cell>
        </row>
        <row r="732">
          <cell r="K732" t="str">
            <v>601.4.1.3.1.0805</v>
          </cell>
          <cell r="L732" t="str">
            <v>not started</v>
          </cell>
          <cell r="M732" t="str">
            <v>Certificate</v>
          </cell>
          <cell r="N732"/>
          <cell r="O732" t="str">
            <v>NO.</v>
          </cell>
          <cell r="P732">
            <v>1.4000000000000001E-4</v>
          </cell>
          <cell r="Q732">
            <v>10700</v>
          </cell>
        </row>
        <row r="733">
          <cell r="K733" t="str">
            <v>601.4.1.3.1.0901</v>
          </cell>
          <cell r="L733" t="str">
            <v>not started</v>
          </cell>
          <cell r="M733" t="str">
            <v>Material Handling</v>
          </cell>
          <cell r="N733"/>
          <cell r="O733" t="str">
            <v>NO.</v>
          </cell>
          <cell r="P733">
            <v>6.0000000000000006E-4</v>
          </cell>
          <cell r="Q733">
            <v>36000</v>
          </cell>
        </row>
        <row r="734">
          <cell r="K734" t="str">
            <v>601.4.1.3.1.0902</v>
          </cell>
          <cell r="L734" t="str">
            <v>not started</v>
          </cell>
          <cell r="M734" t="str">
            <v>Installation</v>
          </cell>
          <cell r="N734"/>
          <cell r="O734" t="str">
            <v>NO.</v>
          </cell>
          <cell r="P734">
            <v>3.5999999999999999E-3</v>
          </cell>
          <cell r="Q734">
            <v>36000</v>
          </cell>
        </row>
        <row r="735">
          <cell r="K735" t="str">
            <v>601.4.1.3.1.0903</v>
          </cell>
          <cell r="L735" t="str">
            <v>not started</v>
          </cell>
          <cell r="M735" t="str">
            <v>Fixing &amp; tightening</v>
          </cell>
          <cell r="N735"/>
          <cell r="O735" t="str">
            <v>NO.</v>
          </cell>
          <cell r="P735">
            <v>8.9999999999999998E-4</v>
          </cell>
          <cell r="Q735">
            <v>36000</v>
          </cell>
        </row>
        <row r="736">
          <cell r="K736" t="str">
            <v>601.4.1.3.1.0904</v>
          </cell>
          <cell r="L736" t="str">
            <v>not started</v>
          </cell>
          <cell r="M736" t="str">
            <v>Setting &amp; Alignment</v>
          </cell>
          <cell r="N736"/>
          <cell r="O736" t="str">
            <v>NO.</v>
          </cell>
          <cell r="P736">
            <v>6.0000000000000006E-4</v>
          </cell>
          <cell r="Q736">
            <v>36000</v>
          </cell>
        </row>
        <row r="737">
          <cell r="K737" t="str">
            <v>601.4.1.3.1.0905</v>
          </cell>
          <cell r="L737" t="str">
            <v>not started</v>
          </cell>
          <cell r="M737" t="str">
            <v>Certificate</v>
          </cell>
          <cell r="N737"/>
          <cell r="O737" t="str">
            <v>NO.</v>
          </cell>
          <cell r="P737">
            <v>3.0000000000000003E-4</v>
          </cell>
          <cell r="Q737">
            <v>36000</v>
          </cell>
        </row>
        <row r="738">
          <cell r="K738" t="str">
            <v>601.4.1.3.1.1001</v>
          </cell>
          <cell r="L738" t="str">
            <v>not started</v>
          </cell>
          <cell r="M738" t="str">
            <v>Material Handling</v>
          </cell>
          <cell r="N738"/>
          <cell r="O738" t="str">
            <v>NO.</v>
          </cell>
          <cell r="P738">
            <v>2.0000000000000001E-4</v>
          </cell>
          <cell r="Q738">
            <v>1900</v>
          </cell>
        </row>
        <row r="739">
          <cell r="K739" t="str">
            <v>601.4.1.3.1.1002</v>
          </cell>
          <cell r="L739" t="str">
            <v>not started</v>
          </cell>
          <cell r="M739" t="str">
            <v>Installation</v>
          </cell>
          <cell r="N739"/>
          <cell r="O739" t="str">
            <v>NO.</v>
          </cell>
          <cell r="P739">
            <v>1.2000000000000001E-3</v>
          </cell>
          <cell r="Q739">
            <v>1900</v>
          </cell>
        </row>
        <row r="740">
          <cell r="K740" t="str">
            <v>601.4.1.3.1.1003</v>
          </cell>
          <cell r="L740" t="str">
            <v>not started</v>
          </cell>
          <cell r="M740" t="str">
            <v>Fixing &amp; tightening</v>
          </cell>
          <cell r="N740"/>
          <cell r="O740" t="str">
            <v>NO.</v>
          </cell>
          <cell r="P740">
            <v>3.0000000000000003E-4</v>
          </cell>
          <cell r="Q740">
            <v>1900</v>
          </cell>
        </row>
        <row r="741">
          <cell r="K741" t="str">
            <v>601.4.1.3.1.1004</v>
          </cell>
          <cell r="L741" t="str">
            <v>not started</v>
          </cell>
          <cell r="M741" t="str">
            <v>Setting &amp; Alignment</v>
          </cell>
          <cell r="N741"/>
          <cell r="O741" t="str">
            <v>NO.</v>
          </cell>
          <cell r="P741">
            <v>2.0000000000000001E-4</v>
          </cell>
          <cell r="Q741">
            <v>1900</v>
          </cell>
        </row>
        <row r="742">
          <cell r="K742" t="str">
            <v>601.4.1.3.1.1005</v>
          </cell>
          <cell r="L742" t="str">
            <v>not started</v>
          </cell>
          <cell r="M742" t="str">
            <v>Certificate</v>
          </cell>
          <cell r="N742"/>
          <cell r="O742" t="str">
            <v>NO.</v>
          </cell>
          <cell r="P742">
            <v>1E-4</v>
          </cell>
          <cell r="Q742">
            <v>1900</v>
          </cell>
        </row>
        <row r="743">
          <cell r="K743" t="str">
            <v>601.4.1.3.1.1101</v>
          </cell>
          <cell r="L743" t="str">
            <v>not started</v>
          </cell>
          <cell r="M743" t="str">
            <v>Material Handling</v>
          </cell>
          <cell r="N743"/>
          <cell r="O743" t="str">
            <v>NO.</v>
          </cell>
          <cell r="P743">
            <v>2.5000000000000001E-4</v>
          </cell>
          <cell r="Q743">
            <v>6000</v>
          </cell>
        </row>
        <row r="744">
          <cell r="K744" t="str">
            <v>601.4.1.3.1.1102</v>
          </cell>
          <cell r="L744" t="str">
            <v>not started</v>
          </cell>
          <cell r="M744" t="str">
            <v>Installation</v>
          </cell>
          <cell r="N744"/>
          <cell r="O744" t="str">
            <v>NO.</v>
          </cell>
          <cell r="P744">
            <v>1.5E-3</v>
          </cell>
          <cell r="Q744">
            <v>6000</v>
          </cell>
        </row>
        <row r="745">
          <cell r="K745" t="str">
            <v>601.4.1.3.1.1103</v>
          </cell>
          <cell r="L745" t="str">
            <v>not started</v>
          </cell>
          <cell r="M745" t="str">
            <v>Fixing &amp; tightening</v>
          </cell>
          <cell r="N745"/>
          <cell r="O745" t="str">
            <v>NO.</v>
          </cell>
          <cell r="P745">
            <v>3.7500000000000001E-4</v>
          </cell>
          <cell r="Q745">
            <v>6000</v>
          </cell>
        </row>
        <row r="746">
          <cell r="K746" t="str">
            <v>601.4.1.3.1.1104</v>
          </cell>
          <cell r="L746" t="str">
            <v>not started</v>
          </cell>
          <cell r="M746" t="str">
            <v>Setting &amp; Alignment</v>
          </cell>
          <cell r="N746"/>
          <cell r="O746" t="str">
            <v>NO.</v>
          </cell>
          <cell r="P746">
            <v>2.5000000000000001E-4</v>
          </cell>
          <cell r="Q746">
            <v>6000</v>
          </cell>
        </row>
        <row r="747">
          <cell r="K747" t="str">
            <v>601.4.1.3.1.1105</v>
          </cell>
          <cell r="L747" t="str">
            <v>not started</v>
          </cell>
          <cell r="M747" t="str">
            <v>Certificate</v>
          </cell>
          <cell r="N747"/>
          <cell r="O747" t="str">
            <v>NO.</v>
          </cell>
          <cell r="P747">
            <v>1.25E-4</v>
          </cell>
          <cell r="Q747">
            <v>6000</v>
          </cell>
        </row>
        <row r="748">
          <cell r="K748" t="str">
            <v>601.4.1.3.1.1201</v>
          </cell>
          <cell r="L748" t="str">
            <v>not started</v>
          </cell>
          <cell r="M748" t="str">
            <v>Material Handling</v>
          </cell>
          <cell r="N748"/>
          <cell r="O748" t="str">
            <v>NO.</v>
          </cell>
          <cell r="P748">
            <v>4.0000000000000002E-4</v>
          </cell>
          <cell r="Q748">
            <v>14277</v>
          </cell>
        </row>
        <row r="749">
          <cell r="K749" t="str">
            <v>601.4.1.3.1.1202</v>
          </cell>
          <cell r="L749" t="str">
            <v>not started</v>
          </cell>
          <cell r="M749" t="str">
            <v>Installation</v>
          </cell>
          <cell r="N749"/>
          <cell r="O749" t="str">
            <v>NO.</v>
          </cell>
          <cell r="P749">
            <v>2.4000000000000002E-3</v>
          </cell>
          <cell r="Q749">
            <v>14277</v>
          </cell>
        </row>
        <row r="750">
          <cell r="K750" t="str">
            <v>601.4.1.3.1.1203</v>
          </cell>
          <cell r="L750" t="str">
            <v>not started</v>
          </cell>
          <cell r="M750" t="str">
            <v>Fixing &amp; tightening</v>
          </cell>
          <cell r="N750"/>
          <cell r="O750" t="str">
            <v>NO.</v>
          </cell>
          <cell r="P750">
            <v>6.0000000000000006E-4</v>
          </cell>
          <cell r="Q750">
            <v>14277</v>
          </cell>
        </row>
        <row r="751">
          <cell r="K751" t="str">
            <v>601.4.1.3.1.1204</v>
          </cell>
          <cell r="L751" t="str">
            <v>not started</v>
          </cell>
          <cell r="M751" t="str">
            <v>Setting &amp; Alignment</v>
          </cell>
          <cell r="N751"/>
          <cell r="O751" t="str">
            <v>NO.</v>
          </cell>
          <cell r="P751">
            <v>4.0000000000000002E-4</v>
          </cell>
          <cell r="Q751">
            <v>14277</v>
          </cell>
        </row>
        <row r="752">
          <cell r="K752" t="str">
            <v>601.4.1.3.1.1205</v>
          </cell>
          <cell r="L752" t="str">
            <v>not started</v>
          </cell>
          <cell r="M752" t="str">
            <v>Certificate</v>
          </cell>
          <cell r="N752"/>
          <cell r="O752" t="str">
            <v>NO.</v>
          </cell>
          <cell r="P752">
            <v>2.0000000000000001E-4</v>
          </cell>
          <cell r="Q752">
            <v>14277</v>
          </cell>
        </row>
        <row r="753">
          <cell r="K753" t="str">
            <v>601.4.1.4.1.0101</v>
          </cell>
          <cell r="L753" t="str">
            <v>not started</v>
          </cell>
          <cell r="M753" t="str">
            <v>Material Handling</v>
          </cell>
          <cell r="N753"/>
          <cell r="O753" t="str">
            <v>KG</v>
          </cell>
          <cell r="P753">
            <v>1E-3</v>
          </cell>
          <cell r="Q753">
            <v>20576</v>
          </cell>
        </row>
        <row r="754">
          <cell r="K754" t="str">
            <v>601.4.1.4.1.0102</v>
          </cell>
          <cell r="L754" t="str">
            <v>not started</v>
          </cell>
          <cell r="M754" t="str">
            <v>Preparatoin</v>
          </cell>
          <cell r="N754"/>
          <cell r="O754" t="str">
            <v>KG</v>
          </cell>
          <cell r="P754">
            <v>5.0000000000000001E-4</v>
          </cell>
          <cell r="Q754">
            <v>20576</v>
          </cell>
        </row>
        <row r="755">
          <cell r="K755" t="str">
            <v>601.4.1.4.1.0103</v>
          </cell>
          <cell r="L755" t="str">
            <v>not started</v>
          </cell>
          <cell r="M755" t="str">
            <v>Installation</v>
          </cell>
          <cell r="N755"/>
          <cell r="O755" t="str">
            <v>KG</v>
          </cell>
          <cell r="P755">
            <v>6.0000000000000001E-3</v>
          </cell>
          <cell r="Q755">
            <v>20576</v>
          </cell>
        </row>
        <row r="756">
          <cell r="K756" t="str">
            <v>601.4.1.4.1.0104</v>
          </cell>
          <cell r="L756" t="str">
            <v>not started</v>
          </cell>
          <cell r="M756" t="str">
            <v>Completion Work</v>
          </cell>
          <cell r="N756"/>
          <cell r="O756" t="str">
            <v>KG</v>
          </cell>
          <cell r="P756">
            <v>1.5E-3</v>
          </cell>
          <cell r="Q756">
            <v>20576</v>
          </cell>
        </row>
        <row r="757">
          <cell r="K757" t="str">
            <v>601.4.1.4.1.0105</v>
          </cell>
          <cell r="L757" t="str">
            <v>not started</v>
          </cell>
          <cell r="M757" t="str">
            <v>Punch Removing &amp; Cleaning</v>
          </cell>
          <cell r="N757"/>
          <cell r="O757" t="str">
            <v>KG</v>
          </cell>
          <cell r="P757">
            <v>5.0000000000000001E-4</v>
          </cell>
          <cell r="Q757">
            <v>20576</v>
          </cell>
        </row>
        <row r="758">
          <cell r="K758" t="str">
            <v>601.4.1.4.1.0106</v>
          </cell>
          <cell r="L758" t="str">
            <v>not started</v>
          </cell>
          <cell r="M758" t="str">
            <v>Certificate</v>
          </cell>
          <cell r="N758"/>
          <cell r="O758" t="str">
            <v>KG</v>
          </cell>
          <cell r="P758">
            <v>5.0000000000000001E-4</v>
          </cell>
          <cell r="Q758">
            <v>20576</v>
          </cell>
        </row>
        <row r="759">
          <cell r="K759" t="str">
            <v>601.4.1.4.1.0201</v>
          </cell>
          <cell r="L759" t="str">
            <v>complete</v>
          </cell>
          <cell r="M759" t="str">
            <v>Material Handling</v>
          </cell>
          <cell r="N759">
            <v>202745.25</v>
          </cell>
          <cell r="O759" t="str">
            <v>KG</v>
          </cell>
          <cell r="P759">
            <v>3.5149999999999999E-3</v>
          </cell>
          <cell r="Q759">
            <v>202745.25</v>
          </cell>
        </row>
        <row r="760">
          <cell r="K760" t="str">
            <v>601.4.1.4.1.0202</v>
          </cell>
          <cell r="L760" t="str">
            <v>complete</v>
          </cell>
          <cell r="M760" t="str">
            <v>Preparatoin</v>
          </cell>
          <cell r="N760">
            <v>202745.25</v>
          </cell>
          <cell r="O760" t="str">
            <v>KG</v>
          </cell>
          <cell r="P760">
            <v>1.7574999999999999E-3</v>
          </cell>
          <cell r="Q760">
            <v>202745.25</v>
          </cell>
        </row>
        <row r="761">
          <cell r="K761" t="str">
            <v>601.4.1.4.1.0203</v>
          </cell>
          <cell r="L761" t="str">
            <v>complete</v>
          </cell>
          <cell r="M761" t="str">
            <v>Installation</v>
          </cell>
          <cell r="N761">
            <v>202745.25</v>
          </cell>
          <cell r="O761" t="str">
            <v>KG</v>
          </cell>
          <cell r="P761">
            <v>2.1090000000000001E-2</v>
          </cell>
          <cell r="Q761">
            <v>202745.25</v>
          </cell>
        </row>
        <row r="762">
          <cell r="K762" t="str">
            <v>601.4.1.4.1.0204</v>
          </cell>
          <cell r="L762" t="str">
            <v>complete</v>
          </cell>
          <cell r="M762" t="str">
            <v>Completion Work</v>
          </cell>
          <cell r="N762">
            <v>202745.25</v>
          </cell>
          <cell r="O762" t="str">
            <v>KG</v>
          </cell>
          <cell r="P762">
            <v>5.2725000000000003E-3</v>
          </cell>
          <cell r="Q762">
            <v>202745.25</v>
          </cell>
        </row>
        <row r="763">
          <cell r="K763" t="str">
            <v>601.4.1.4.1.0205</v>
          </cell>
          <cell r="L763" t="str">
            <v>complete</v>
          </cell>
          <cell r="M763" t="str">
            <v>Punch Removing &amp; Cleaning</v>
          </cell>
          <cell r="N763">
            <v>202745.25</v>
          </cell>
          <cell r="O763" t="str">
            <v>KG</v>
          </cell>
          <cell r="P763">
            <v>1.7574999999999999E-3</v>
          </cell>
          <cell r="Q763">
            <v>202745.25</v>
          </cell>
        </row>
        <row r="764">
          <cell r="K764" t="str">
            <v>601.4.1.4.1.0206</v>
          </cell>
          <cell r="L764" t="str">
            <v>complete</v>
          </cell>
          <cell r="M764" t="str">
            <v>Certificate</v>
          </cell>
          <cell r="N764">
            <v>202745.25</v>
          </cell>
          <cell r="O764" t="str">
            <v>KG</v>
          </cell>
          <cell r="P764">
            <v>1.7574999999999999E-3</v>
          </cell>
          <cell r="Q764">
            <v>202745.25</v>
          </cell>
        </row>
        <row r="765">
          <cell r="K765" t="str">
            <v>601.4.1.4.1.0301</v>
          </cell>
          <cell r="L765" t="str">
            <v>complete</v>
          </cell>
          <cell r="M765" t="str">
            <v>Material Handling</v>
          </cell>
          <cell r="N765">
            <v>20385.38</v>
          </cell>
          <cell r="O765" t="str">
            <v>KG</v>
          </cell>
          <cell r="P765">
            <v>6.0000000000000006E-4</v>
          </cell>
          <cell r="Q765">
            <v>20385.38</v>
          </cell>
        </row>
        <row r="766">
          <cell r="K766" t="str">
            <v>601.4.1.4.1.0302</v>
          </cell>
          <cell r="L766" t="str">
            <v>complete</v>
          </cell>
          <cell r="M766" t="str">
            <v>Preparatoin</v>
          </cell>
          <cell r="N766">
            <v>20385.38</v>
          </cell>
          <cell r="O766" t="str">
            <v>KG</v>
          </cell>
          <cell r="P766">
            <v>3.0000000000000003E-4</v>
          </cell>
          <cell r="Q766">
            <v>20385.38</v>
          </cell>
        </row>
        <row r="767">
          <cell r="K767" t="str">
            <v>601.4.1.4.1.0303</v>
          </cell>
          <cell r="L767" t="str">
            <v>complete</v>
          </cell>
          <cell r="M767" t="str">
            <v>Installation</v>
          </cell>
          <cell r="N767">
            <v>20385.38</v>
          </cell>
          <cell r="O767" t="str">
            <v>KG</v>
          </cell>
          <cell r="P767">
            <v>3.5999999999999999E-3</v>
          </cell>
          <cell r="Q767">
            <v>20385.38</v>
          </cell>
        </row>
        <row r="768">
          <cell r="K768" t="str">
            <v>601.4.1.4.1.0304</v>
          </cell>
          <cell r="L768" t="str">
            <v>not started</v>
          </cell>
          <cell r="M768" t="str">
            <v>Completion Work</v>
          </cell>
          <cell r="N768"/>
          <cell r="O768" t="str">
            <v>KG</v>
          </cell>
          <cell r="P768">
            <v>8.9999999999999998E-4</v>
          </cell>
          <cell r="Q768">
            <v>20385.38</v>
          </cell>
        </row>
        <row r="769">
          <cell r="K769" t="str">
            <v>601.4.1.4.1.0305</v>
          </cell>
          <cell r="L769" t="str">
            <v>not started</v>
          </cell>
          <cell r="M769" t="str">
            <v>Punch Removing &amp; Cleaning</v>
          </cell>
          <cell r="N769"/>
          <cell r="O769" t="str">
            <v>KG</v>
          </cell>
          <cell r="P769">
            <v>3.0000000000000003E-4</v>
          </cell>
          <cell r="Q769">
            <v>20385.38</v>
          </cell>
        </row>
        <row r="770">
          <cell r="K770" t="str">
            <v>601.4.1.4.1.0306</v>
          </cell>
          <cell r="L770" t="str">
            <v>not started</v>
          </cell>
          <cell r="M770" t="str">
            <v>Certificate</v>
          </cell>
          <cell r="N770"/>
          <cell r="O770" t="str">
            <v>KG</v>
          </cell>
          <cell r="P770">
            <v>3.0000000000000003E-4</v>
          </cell>
          <cell r="Q770">
            <v>20385.38</v>
          </cell>
        </row>
        <row r="771">
          <cell r="K771" t="str">
            <v>601.4.1.4.1.0401</v>
          </cell>
          <cell r="L771" t="str">
            <v>complete</v>
          </cell>
          <cell r="M771" t="str">
            <v>Material Handling</v>
          </cell>
          <cell r="N771">
            <v>4958.25</v>
          </cell>
          <cell r="O771" t="str">
            <v>KG</v>
          </cell>
          <cell r="P771">
            <v>3.4999999999999994E-4</v>
          </cell>
          <cell r="Q771">
            <v>4958.25</v>
          </cell>
        </row>
        <row r="772">
          <cell r="K772" t="str">
            <v>601.4.1.4.1.0402</v>
          </cell>
          <cell r="L772" t="str">
            <v>complete</v>
          </cell>
          <cell r="M772" t="str">
            <v>Preparatoin</v>
          </cell>
          <cell r="N772">
            <v>4958.25</v>
          </cell>
          <cell r="O772" t="str">
            <v>KG</v>
          </cell>
          <cell r="P772">
            <v>1.7499999999999997E-4</v>
          </cell>
          <cell r="Q772">
            <v>4958.25</v>
          </cell>
        </row>
        <row r="773">
          <cell r="K773" t="str">
            <v>601.4.1.4.1.0403</v>
          </cell>
          <cell r="L773" t="str">
            <v>complete</v>
          </cell>
          <cell r="M773" t="str">
            <v>Installation</v>
          </cell>
          <cell r="N773">
            <v>4958.25</v>
          </cell>
          <cell r="O773" t="str">
            <v>KG</v>
          </cell>
          <cell r="P773">
            <v>2.0999999999999999E-3</v>
          </cell>
          <cell r="Q773">
            <v>4958.25</v>
          </cell>
        </row>
        <row r="774">
          <cell r="K774" t="str">
            <v>601.4.1.4.1.0404</v>
          </cell>
          <cell r="L774" t="str">
            <v>not started</v>
          </cell>
          <cell r="M774" t="str">
            <v>Completion Work</v>
          </cell>
          <cell r="N774"/>
          <cell r="O774" t="str">
            <v>KG</v>
          </cell>
          <cell r="P774">
            <v>5.2499999999999997E-4</v>
          </cell>
          <cell r="Q774">
            <v>4958.25</v>
          </cell>
        </row>
        <row r="775">
          <cell r="K775" t="str">
            <v>601.4.1.4.1.0405</v>
          </cell>
          <cell r="L775" t="str">
            <v>not started</v>
          </cell>
          <cell r="M775" t="str">
            <v>Punch Removing &amp; Cleaning</v>
          </cell>
          <cell r="N775"/>
          <cell r="O775" t="str">
            <v>KG</v>
          </cell>
          <cell r="P775">
            <v>1.7499999999999997E-4</v>
          </cell>
          <cell r="Q775">
            <v>4958.25</v>
          </cell>
        </row>
        <row r="776">
          <cell r="K776" t="str">
            <v>601.4.1.4.1.0406</v>
          </cell>
          <cell r="L776" t="str">
            <v>not started</v>
          </cell>
          <cell r="M776" t="str">
            <v>Certificate</v>
          </cell>
          <cell r="N776"/>
          <cell r="O776" t="str">
            <v>KG</v>
          </cell>
          <cell r="P776">
            <v>1.7499999999999997E-4</v>
          </cell>
          <cell r="Q776">
            <v>4958.25</v>
          </cell>
        </row>
        <row r="777">
          <cell r="K777" t="str">
            <v>601.4.1.4.1.0501</v>
          </cell>
          <cell r="L777" t="str">
            <v>complete</v>
          </cell>
          <cell r="M777" t="str">
            <v>Material Handling</v>
          </cell>
          <cell r="N777">
            <v>18896</v>
          </cell>
          <cell r="O777" t="str">
            <v>KG</v>
          </cell>
          <cell r="P777">
            <v>5.0000000000000001E-4</v>
          </cell>
          <cell r="Q777">
            <v>18896</v>
          </cell>
        </row>
        <row r="778">
          <cell r="K778" t="str">
            <v>601.4.1.4.1.0502</v>
          </cell>
          <cell r="L778" t="str">
            <v>complete</v>
          </cell>
          <cell r="M778" t="str">
            <v>Preparatoin</v>
          </cell>
          <cell r="N778">
            <v>18896</v>
          </cell>
          <cell r="O778" t="str">
            <v>KG</v>
          </cell>
          <cell r="P778">
            <v>2.5000000000000001E-4</v>
          </cell>
          <cell r="Q778">
            <v>18896</v>
          </cell>
        </row>
        <row r="779">
          <cell r="K779" t="str">
            <v>601.4.1.4.1.0503</v>
          </cell>
          <cell r="L779" t="str">
            <v>complete</v>
          </cell>
          <cell r="M779" t="str">
            <v>Installation</v>
          </cell>
          <cell r="N779">
            <v>18896</v>
          </cell>
          <cell r="O779" t="str">
            <v>KG</v>
          </cell>
          <cell r="P779">
            <v>3.0000000000000001E-3</v>
          </cell>
          <cell r="Q779">
            <v>18896</v>
          </cell>
        </row>
        <row r="780">
          <cell r="K780" t="str">
            <v>601.4.1.4.1.0504</v>
          </cell>
          <cell r="L780" t="str">
            <v>complete</v>
          </cell>
          <cell r="M780" t="str">
            <v>Completion Work</v>
          </cell>
          <cell r="N780">
            <v>18896</v>
          </cell>
          <cell r="O780" t="str">
            <v>KG</v>
          </cell>
          <cell r="P780">
            <v>7.5000000000000002E-4</v>
          </cell>
          <cell r="Q780">
            <v>18896</v>
          </cell>
        </row>
        <row r="781">
          <cell r="K781" t="str">
            <v>601.4.1.4.1.0505</v>
          </cell>
          <cell r="L781" t="str">
            <v>complete</v>
          </cell>
          <cell r="M781" t="str">
            <v>Punch Removing &amp; Cleaning</v>
          </cell>
          <cell r="N781">
            <v>18896</v>
          </cell>
          <cell r="O781" t="str">
            <v>KG</v>
          </cell>
          <cell r="P781">
            <v>2.5000000000000001E-4</v>
          </cell>
          <cell r="Q781">
            <v>18896</v>
          </cell>
        </row>
        <row r="782">
          <cell r="K782" t="str">
            <v>601.4.1.4.1.0506</v>
          </cell>
          <cell r="L782" t="str">
            <v>complete</v>
          </cell>
          <cell r="M782" t="str">
            <v>Certificate</v>
          </cell>
          <cell r="N782">
            <v>18896</v>
          </cell>
          <cell r="O782" t="str">
            <v>KG</v>
          </cell>
          <cell r="P782">
            <v>2.5000000000000001E-4</v>
          </cell>
          <cell r="Q782">
            <v>18896</v>
          </cell>
        </row>
        <row r="783">
          <cell r="K783" t="str">
            <v>601.4.1.4.1.0601</v>
          </cell>
          <cell r="L783" t="str">
            <v>complete</v>
          </cell>
          <cell r="M783" t="str">
            <v>Material Handling</v>
          </cell>
          <cell r="N783">
            <v>17435.95</v>
          </cell>
          <cell r="O783" t="str">
            <v>KG</v>
          </cell>
          <cell r="P783">
            <v>1.2199999999999999E-3</v>
          </cell>
          <cell r="Q783">
            <v>17435.95</v>
          </cell>
        </row>
        <row r="784">
          <cell r="K784" t="str">
            <v>601.4.1.4.1.0602</v>
          </cell>
          <cell r="L784" t="str">
            <v>complete</v>
          </cell>
          <cell r="M784" t="str">
            <v>Preparatoin</v>
          </cell>
          <cell r="N784">
            <v>17435.95</v>
          </cell>
          <cell r="O784" t="str">
            <v>KG</v>
          </cell>
          <cell r="P784">
            <v>6.0999999999999997E-4</v>
          </cell>
          <cell r="Q784">
            <v>17435.95</v>
          </cell>
        </row>
        <row r="785">
          <cell r="K785" t="str">
            <v>601.4.1.4.1.0603</v>
          </cell>
          <cell r="L785" t="str">
            <v>complete</v>
          </cell>
          <cell r="M785" t="str">
            <v>Installation</v>
          </cell>
          <cell r="N785">
            <v>17435.95</v>
          </cell>
          <cell r="O785" t="str">
            <v>KG</v>
          </cell>
          <cell r="P785">
            <v>7.3199999999999993E-3</v>
          </cell>
          <cell r="Q785">
            <v>17435.95</v>
          </cell>
        </row>
        <row r="786">
          <cell r="K786" t="str">
            <v>601.4.1.4.1.0604</v>
          </cell>
          <cell r="L786" t="str">
            <v>complete</v>
          </cell>
          <cell r="M786" t="str">
            <v>Completion Work</v>
          </cell>
          <cell r="N786">
            <v>17435.95</v>
          </cell>
          <cell r="O786" t="str">
            <v>KG</v>
          </cell>
          <cell r="P786">
            <v>1.8299999999999998E-3</v>
          </cell>
          <cell r="Q786">
            <v>17435.95</v>
          </cell>
        </row>
        <row r="787">
          <cell r="K787" t="str">
            <v>601.4.1.4.1.0605</v>
          </cell>
          <cell r="L787" t="str">
            <v>complete</v>
          </cell>
          <cell r="M787" t="str">
            <v>Punch Removing &amp; Cleaning</v>
          </cell>
          <cell r="N787">
            <v>17435.95</v>
          </cell>
          <cell r="O787" t="str">
            <v>KG</v>
          </cell>
          <cell r="P787">
            <v>6.0999999999999997E-4</v>
          </cell>
          <cell r="Q787">
            <v>17435.95</v>
          </cell>
        </row>
        <row r="788">
          <cell r="K788" t="str">
            <v>601.4.1.4.1.0606</v>
          </cell>
          <cell r="L788" t="str">
            <v>complete</v>
          </cell>
          <cell r="M788" t="str">
            <v>Certificate</v>
          </cell>
          <cell r="N788">
            <v>17435.95</v>
          </cell>
          <cell r="O788" t="str">
            <v>KG</v>
          </cell>
          <cell r="P788">
            <v>6.0999999999999997E-4</v>
          </cell>
          <cell r="Q788">
            <v>17435.95</v>
          </cell>
        </row>
        <row r="789">
          <cell r="K789" t="str">
            <v>601.4.1.4.1.0701</v>
          </cell>
          <cell r="L789" t="str">
            <v>complete</v>
          </cell>
          <cell r="M789" t="str">
            <v>Material Handling</v>
          </cell>
          <cell r="N789">
            <v>11450</v>
          </cell>
          <cell r="O789" t="str">
            <v>KG</v>
          </cell>
          <cell r="P789">
            <v>8.0000000000000004E-4</v>
          </cell>
          <cell r="Q789">
            <v>11450</v>
          </cell>
        </row>
        <row r="790">
          <cell r="K790" t="str">
            <v>601.4.1.4.1.0702</v>
          </cell>
          <cell r="L790" t="str">
            <v>complete</v>
          </cell>
          <cell r="M790" t="str">
            <v>Preparatoin</v>
          </cell>
          <cell r="N790">
            <v>11450</v>
          </cell>
          <cell r="O790" t="str">
            <v>KG</v>
          </cell>
          <cell r="P790">
            <v>4.0000000000000002E-4</v>
          </cell>
          <cell r="Q790">
            <v>11450</v>
          </cell>
        </row>
        <row r="791">
          <cell r="K791" t="str">
            <v>601.4.1.4.1.0703</v>
          </cell>
          <cell r="L791" t="str">
            <v>inprogrss</v>
          </cell>
          <cell r="M791" t="str">
            <v>Installation</v>
          </cell>
          <cell r="N791">
            <v>8600</v>
          </cell>
          <cell r="O791" t="str">
            <v>KG</v>
          </cell>
          <cell r="P791">
            <v>4.8000000000000004E-3</v>
          </cell>
          <cell r="Q791">
            <v>11450</v>
          </cell>
        </row>
        <row r="792">
          <cell r="K792" t="str">
            <v>601.4.1.4.1.0704</v>
          </cell>
          <cell r="L792" t="str">
            <v>not started</v>
          </cell>
          <cell r="M792" t="str">
            <v>Completion Work</v>
          </cell>
          <cell r="N792"/>
          <cell r="O792" t="str">
            <v>KG</v>
          </cell>
          <cell r="P792">
            <v>1.2000000000000001E-3</v>
          </cell>
          <cell r="Q792">
            <v>11450</v>
          </cell>
        </row>
        <row r="793">
          <cell r="K793" t="str">
            <v>601.4.1.4.1.0705</v>
          </cell>
          <cell r="L793" t="str">
            <v>not started</v>
          </cell>
          <cell r="M793" t="str">
            <v>Punch Removing &amp; Cleaning</v>
          </cell>
          <cell r="N793"/>
          <cell r="O793" t="str">
            <v>KG</v>
          </cell>
          <cell r="P793">
            <v>4.0000000000000002E-4</v>
          </cell>
          <cell r="Q793">
            <v>11450</v>
          </cell>
        </row>
        <row r="794">
          <cell r="K794" t="str">
            <v>601.4.1.4.1.0706</v>
          </cell>
          <cell r="L794" t="str">
            <v>not started</v>
          </cell>
          <cell r="M794" t="str">
            <v>Certificate</v>
          </cell>
          <cell r="N794"/>
          <cell r="O794" t="str">
            <v>KG</v>
          </cell>
          <cell r="P794">
            <v>4.0000000000000002E-4</v>
          </cell>
          <cell r="Q794">
            <v>11450</v>
          </cell>
        </row>
        <row r="795">
          <cell r="K795" t="str">
            <v>601.4.1.4.1.0801</v>
          </cell>
          <cell r="L795" t="str">
            <v>complete</v>
          </cell>
          <cell r="M795" t="str">
            <v>Material Handling</v>
          </cell>
          <cell r="N795">
            <v>26899.33</v>
          </cell>
          <cell r="O795" t="str">
            <v>KG</v>
          </cell>
          <cell r="P795">
            <v>1.5E-3</v>
          </cell>
          <cell r="Q795">
            <v>26899.33</v>
          </cell>
        </row>
        <row r="796">
          <cell r="K796" t="str">
            <v>601.4.1.4.1.0802</v>
          </cell>
          <cell r="L796" t="str">
            <v>complete</v>
          </cell>
          <cell r="M796" t="str">
            <v>Preparatoin</v>
          </cell>
          <cell r="N796">
            <v>26899.33</v>
          </cell>
          <cell r="O796" t="str">
            <v>KG</v>
          </cell>
          <cell r="P796">
            <v>7.5000000000000002E-4</v>
          </cell>
          <cell r="Q796">
            <v>26899.33</v>
          </cell>
        </row>
        <row r="797">
          <cell r="K797" t="str">
            <v>601.4.1.4.1.0803</v>
          </cell>
          <cell r="L797" t="str">
            <v>complete</v>
          </cell>
          <cell r="M797" t="str">
            <v>Installation</v>
          </cell>
          <cell r="N797">
            <v>26899.33</v>
          </cell>
          <cell r="O797" t="str">
            <v>KG</v>
          </cell>
          <cell r="P797">
            <v>8.9999999999999993E-3</v>
          </cell>
          <cell r="Q797">
            <v>26899.33</v>
          </cell>
        </row>
        <row r="798">
          <cell r="K798" t="str">
            <v>601.4.1.4.1.0804</v>
          </cell>
          <cell r="L798" t="str">
            <v>complete</v>
          </cell>
          <cell r="M798" t="str">
            <v>Completion Work</v>
          </cell>
          <cell r="N798">
            <v>26899.33</v>
          </cell>
          <cell r="O798" t="str">
            <v>KG</v>
          </cell>
          <cell r="P798">
            <v>2.2499999999999998E-3</v>
          </cell>
          <cell r="Q798">
            <v>26899.33</v>
          </cell>
        </row>
        <row r="799">
          <cell r="K799" t="str">
            <v>601.4.1.4.1.0805</v>
          </cell>
          <cell r="L799" t="str">
            <v>complete</v>
          </cell>
          <cell r="M799" t="str">
            <v>Punch Removing &amp; Cleaning</v>
          </cell>
          <cell r="N799">
            <v>26899.33</v>
          </cell>
          <cell r="O799" t="str">
            <v>KG</v>
          </cell>
          <cell r="P799">
            <v>7.5000000000000002E-4</v>
          </cell>
          <cell r="Q799">
            <v>26899.33</v>
          </cell>
        </row>
        <row r="800">
          <cell r="K800" t="str">
            <v>601.4.1.4.1.0806</v>
          </cell>
          <cell r="L800" t="str">
            <v>complete</v>
          </cell>
          <cell r="M800" t="str">
            <v>Certificate</v>
          </cell>
          <cell r="N800">
            <v>26899.33</v>
          </cell>
          <cell r="O800" t="str">
            <v>KG</v>
          </cell>
          <cell r="P800">
            <v>7.5000000000000002E-4</v>
          </cell>
          <cell r="Q800">
            <v>26899.33</v>
          </cell>
        </row>
        <row r="801">
          <cell r="K801" t="str">
            <v>601.4.1.4.1.0901</v>
          </cell>
          <cell r="L801" t="str">
            <v>not started</v>
          </cell>
          <cell r="M801" t="str">
            <v>Material Handling</v>
          </cell>
          <cell r="N801"/>
          <cell r="O801" t="str">
            <v>KG</v>
          </cell>
          <cell r="P801">
            <v>1E-3</v>
          </cell>
          <cell r="Q801">
            <v>1220.1400000000001</v>
          </cell>
        </row>
        <row r="802">
          <cell r="K802" t="str">
            <v>601.4.1.4.1.0902</v>
          </cell>
          <cell r="L802" t="str">
            <v>not started</v>
          </cell>
          <cell r="M802" t="str">
            <v>Preparatoin</v>
          </cell>
          <cell r="N802"/>
          <cell r="O802" t="str">
            <v>KG</v>
          </cell>
          <cell r="P802">
            <v>5.0000000000000001E-4</v>
          </cell>
          <cell r="Q802">
            <v>1220.1400000000001</v>
          </cell>
        </row>
        <row r="803">
          <cell r="K803" t="str">
            <v>601.4.1.4.1.0903</v>
          </cell>
          <cell r="L803" t="str">
            <v>not started</v>
          </cell>
          <cell r="M803" t="str">
            <v>Installation</v>
          </cell>
          <cell r="N803"/>
          <cell r="O803" t="str">
            <v>KG</v>
          </cell>
          <cell r="P803">
            <v>6.0000000000000001E-3</v>
          </cell>
          <cell r="Q803">
            <v>1220.1400000000001</v>
          </cell>
        </row>
        <row r="804">
          <cell r="K804" t="str">
            <v>601.4.1.4.1.0904</v>
          </cell>
          <cell r="L804" t="str">
            <v>not started</v>
          </cell>
          <cell r="M804" t="str">
            <v>Completion Work</v>
          </cell>
          <cell r="N804"/>
          <cell r="O804" t="str">
            <v>KG</v>
          </cell>
          <cell r="P804">
            <v>1.5E-3</v>
          </cell>
          <cell r="Q804">
            <v>1220.1400000000001</v>
          </cell>
        </row>
        <row r="805">
          <cell r="K805" t="str">
            <v>601.4.1.4.1.0905</v>
          </cell>
          <cell r="L805" t="str">
            <v>not started</v>
          </cell>
          <cell r="M805" t="str">
            <v>Punch Removing &amp; Cleaning</v>
          </cell>
          <cell r="N805"/>
          <cell r="O805" t="str">
            <v>KG</v>
          </cell>
          <cell r="P805">
            <v>5.0000000000000001E-4</v>
          </cell>
          <cell r="Q805">
            <v>1220.1400000000001</v>
          </cell>
        </row>
        <row r="806">
          <cell r="K806" t="str">
            <v>601.4.1.4.1.0906</v>
          </cell>
          <cell r="L806" t="str">
            <v>not started</v>
          </cell>
          <cell r="M806" t="str">
            <v>Certificate</v>
          </cell>
          <cell r="N806"/>
          <cell r="O806" t="str">
            <v>KG</v>
          </cell>
          <cell r="P806">
            <v>5.0000000000000001E-4</v>
          </cell>
          <cell r="Q806">
            <v>1220.1400000000001</v>
          </cell>
        </row>
        <row r="807">
          <cell r="K807" t="str">
            <v>601.4.1.4.1.1001</v>
          </cell>
          <cell r="L807" t="str">
            <v>complete</v>
          </cell>
          <cell r="M807" t="str">
            <v>Material Handling</v>
          </cell>
          <cell r="N807">
            <v>4374</v>
          </cell>
          <cell r="O807" t="str">
            <v>KG</v>
          </cell>
          <cell r="P807">
            <v>8.3000000000000001E-4</v>
          </cell>
          <cell r="Q807">
            <v>4374</v>
          </cell>
        </row>
        <row r="808">
          <cell r="K808" t="str">
            <v>601.4.1.4.1.1002</v>
          </cell>
          <cell r="L808" t="str">
            <v>complete</v>
          </cell>
          <cell r="M808" t="str">
            <v>Preparatoin</v>
          </cell>
          <cell r="N808">
            <v>4374</v>
          </cell>
          <cell r="O808" t="str">
            <v>KG</v>
          </cell>
          <cell r="P808">
            <v>4.15E-4</v>
          </cell>
          <cell r="Q808">
            <v>4374</v>
          </cell>
        </row>
        <row r="809">
          <cell r="K809" t="str">
            <v>601.4.1.4.1.1003</v>
          </cell>
          <cell r="L809" t="str">
            <v>complete</v>
          </cell>
          <cell r="M809" t="str">
            <v>Installation</v>
          </cell>
          <cell r="N809">
            <v>4374</v>
          </cell>
          <cell r="O809" t="str">
            <v>KG</v>
          </cell>
          <cell r="P809">
            <v>4.9800000000000001E-3</v>
          </cell>
          <cell r="Q809">
            <v>4374</v>
          </cell>
        </row>
        <row r="810">
          <cell r="K810" t="str">
            <v>601.4.1.4.1.1004</v>
          </cell>
          <cell r="L810" t="str">
            <v>complete</v>
          </cell>
          <cell r="M810" t="str">
            <v>Completion Work</v>
          </cell>
          <cell r="N810">
            <v>4374</v>
          </cell>
          <cell r="O810" t="str">
            <v>KG</v>
          </cell>
          <cell r="P810">
            <v>1.245E-3</v>
          </cell>
          <cell r="Q810">
            <v>4374</v>
          </cell>
        </row>
        <row r="811">
          <cell r="K811" t="str">
            <v>601.4.1.4.1.1005</v>
          </cell>
          <cell r="L811" t="str">
            <v>complete</v>
          </cell>
          <cell r="M811" t="str">
            <v>Punch Removing &amp; Cleaning</v>
          </cell>
          <cell r="N811">
            <v>4374</v>
          </cell>
          <cell r="O811" t="str">
            <v>KG</v>
          </cell>
          <cell r="P811">
            <v>4.15E-4</v>
          </cell>
          <cell r="Q811">
            <v>4374</v>
          </cell>
        </row>
        <row r="812">
          <cell r="K812" t="str">
            <v>601.4.1.4.1.1006</v>
          </cell>
          <cell r="L812" t="str">
            <v>complete</v>
          </cell>
          <cell r="M812" t="str">
            <v>Certificate</v>
          </cell>
          <cell r="N812">
            <v>4374</v>
          </cell>
          <cell r="O812" t="str">
            <v>KG</v>
          </cell>
          <cell r="P812">
            <v>4.15E-4</v>
          </cell>
          <cell r="Q812">
            <v>4374</v>
          </cell>
        </row>
        <row r="813">
          <cell r="K813" t="str">
            <v>601.4.1.4.1.1101</v>
          </cell>
          <cell r="L813" t="str">
            <v>not started</v>
          </cell>
          <cell r="M813" t="str">
            <v>Material Handling</v>
          </cell>
          <cell r="N813"/>
          <cell r="O813" t="str">
            <v>KG</v>
          </cell>
          <cell r="P813">
            <v>5.0000000000000001E-4</v>
          </cell>
          <cell r="Q813">
            <v>5043.25</v>
          </cell>
        </row>
        <row r="814">
          <cell r="K814" t="str">
            <v>601.4.1.4.1.1102</v>
          </cell>
          <cell r="L814" t="str">
            <v>not started</v>
          </cell>
          <cell r="M814" t="str">
            <v>Preparatoin</v>
          </cell>
          <cell r="N814"/>
          <cell r="O814" t="str">
            <v>KG</v>
          </cell>
          <cell r="P814">
            <v>2.5000000000000001E-4</v>
          </cell>
          <cell r="Q814">
            <v>5043.25</v>
          </cell>
        </row>
        <row r="815">
          <cell r="K815" t="str">
            <v>601.4.1.4.1.1103</v>
          </cell>
          <cell r="L815" t="str">
            <v>not started</v>
          </cell>
          <cell r="M815" t="str">
            <v>Installation</v>
          </cell>
          <cell r="N815"/>
          <cell r="O815" t="str">
            <v>KG</v>
          </cell>
          <cell r="P815">
            <v>3.0000000000000001E-3</v>
          </cell>
          <cell r="Q815">
            <v>5043.25</v>
          </cell>
        </row>
        <row r="816">
          <cell r="K816" t="str">
            <v>601.4.1.4.1.1104</v>
          </cell>
          <cell r="L816" t="str">
            <v>not started</v>
          </cell>
          <cell r="M816" t="str">
            <v>Completion Work</v>
          </cell>
          <cell r="N816"/>
          <cell r="O816" t="str">
            <v>KG</v>
          </cell>
          <cell r="P816">
            <v>7.5000000000000002E-4</v>
          </cell>
          <cell r="Q816">
            <v>5043.25</v>
          </cell>
        </row>
        <row r="817">
          <cell r="K817" t="str">
            <v>601.4.1.4.1.1105</v>
          </cell>
          <cell r="L817" t="str">
            <v>not started</v>
          </cell>
          <cell r="M817" t="str">
            <v>Punch Removing &amp; Cleaning</v>
          </cell>
          <cell r="N817"/>
          <cell r="O817" t="str">
            <v>KG</v>
          </cell>
          <cell r="P817">
            <v>2.5000000000000001E-4</v>
          </cell>
          <cell r="Q817">
            <v>5043.25</v>
          </cell>
        </row>
        <row r="818">
          <cell r="K818" t="str">
            <v>601.4.1.4.1.1106</v>
          </cell>
          <cell r="L818" t="str">
            <v>not started</v>
          </cell>
          <cell r="M818" t="str">
            <v>Certificate</v>
          </cell>
          <cell r="N818"/>
          <cell r="O818" t="str">
            <v>KG</v>
          </cell>
          <cell r="P818">
            <v>2.5000000000000001E-4</v>
          </cell>
          <cell r="Q818">
            <v>5043.25</v>
          </cell>
        </row>
        <row r="819">
          <cell r="K819" t="str">
            <v>601.4.1.5.1.0101</v>
          </cell>
          <cell r="L819" t="str">
            <v>not started</v>
          </cell>
          <cell r="M819" t="str">
            <v>Completion Work</v>
          </cell>
          <cell r="N819"/>
          <cell r="O819" t="str">
            <v>-</v>
          </cell>
          <cell r="P819">
            <v>2.5000000000000001E-3</v>
          </cell>
          <cell r="Q819">
            <v>0.5</v>
          </cell>
        </row>
        <row r="820">
          <cell r="K820" t="str">
            <v>601.4.1.5.1.0201</v>
          </cell>
          <cell r="L820" t="str">
            <v>not started</v>
          </cell>
          <cell r="M820" t="str">
            <v>Completion Work</v>
          </cell>
          <cell r="N820"/>
          <cell r="O820" t="str">
            <v>-</v>
          </cell>
          <cell r="P820">
            <v>2.5000000000000001E-3</v>
          </cell>
          <cell r="Q820">
            <v>0.5</v>
          </cell>
        </row>
        <row r="821">
          <cell r="K821" t="str">
            <v>601.4.1.5.1.0301</v>
          </cell>
          <cell r="L821" t="str">
            <v>not started</v>
          </cell>
          <cell r="M821" t="str">
            <v>Completion Work</v>
          </cell>
          <cell r="N821"/>
          <cell r="O821" t="str">
            <v>-</v>
          </cell>
          <cell r="P821">
            <v>2E-3</v>
          </cell>
          <cell r="Q821">
            <v>18</v>
          </cell>
        </row>
        <row r="822">
          <cell r="K822" t="str">
            <v>601.4.1.5.1.0401</v>
          </cell>
          <cell r="L822" t="str">
            <v>not started</v>
          </cell>
          <cell r="M822" t="str">
            <v>Completion Work</v>
          </cell>
          <cell r="N822"/>
          <cell r="O822" t="str">
            <v>-</v>
          </cell>
          <cell r="P822">
            <v>2E-3</v>
          </cell>
          <cell r="Q822">
            <v>18</v>
          </cell>
        </row>
        <row r="823">
          <cell r="K823" t="str">
            <v>601.4.1.5.1.0501</v>
          </cell>
          <cell r="L823" t="str">
            <v>not started</v>
          </cell>
          <cell r="M823" t="str">
            <v>Completion Work</v>
          </cell>
          <cell r="N823"/>
          <cell r="O823" t="str">
            <v>-</v>
          </cell>
          <cell r="P823">
            <v>2.5000000000000001E-3</v>
          </cell>
          <cell r="Q823">
            <v>96</v>
          </cell>
        </row>
        <row r="824">
          <cell r="K824" t="str">
            <v>601.4.1.5.1.0601</v>
          </cell>
          <cell r="L824" t="str">
            <v>not started</v>
          </cell>
          <cell r="M824" t="str">
            <v>Completion Work</v>
          </cell>
          <cell r="N824"/>
          <cell r="O824" t="str">
            <v>-</v>
          </cell>
          <cell r="P824">
            <v>1E-3</v>
          </cell>
          <cell r="Q824">
            <v>1</v>
          </cell>
        </row>
        <row r="825">
          <cell r="K825" t="str">
            <v>601.4.2.1.1.0101</v>
          </cell>
          <cell r="L825" t="str">
            <v>not started</v>
          </cell>
          <cell r="M825" t="str">
            <v>Material Handling</v>
          </cell>
          <cell r="N825"/>
          <cell r="O825" t="str">
            <v>KG</v>
          </cell>
          <cell r="P825">
            <v>7.5000000000000002E-4</v>
          </cell>
          <cell r="Q825">
            <v>72000</v>
          </cell>
        </row>
        <row r="826">
          <cell r="K826" t="str">
            <v>601.4.2.1.1.0102</v>
          </cell>
          <cell r="L826" t="str">
            <v>not started</v>
          </cell>
          <cell r="M826" t="str">
            <v>Chipping&amp;Padding</v>
          </cell>
          <cell r="N826"/>
          <cell r="O826" t="str">
            <v>KG</v>
          </cell>
          <cell r="P826">
            <v>7.5000000000000002E-4</v>
          </cell>
          <cell r="Q826">
            <v>72000</v>
          </cell>
        </row>
        <row r="827">
          <cell r="K827" t="str">
            <v>601.4.2.1.1.0103</v>
          </cell>
          <cell r="L827" t="str">
            <v>not started</v>
          </cell>
          <cell r="M827" t="str">
            <v>Installation(Column/Beam/Bracing/Stair)</v>
          </cell>
          <cell r="N827"/>
          <cell r="O827" t="str">
            <v>KG</v>
          </cell>
          <cell r="P827">
            <v>7.4999999999999997E-3</v>
          </cell>
          <cell r="Q827">
            <v>72000</v>
          </cell>
        </row>
        <row r="828">
          <cell r="K828" t="str">
            <v>601.4.2.1.1.0104</v>
          </cell>
          <cell r="L828" t="str">
            <v>not started</v>
          </cell>
          <cell r="M828" t="str">
            <v>Bolting</v>
          </cell>
          <cell r="N828"/>
          <cell r="O828" t="str">
            <v>KG</v>
          </cell>
          <cell r="P828">
            <v>1.5E-3</v>
          </cell>
          <cell r="Q828">
            <v>72000</v>
          </cell>
        </row>
        <row r="829">
          <cell r="K829" t="str">
            <v>601.4.2.1.1.0105</v>
          </cell>
          <cell r="L829" t="str">
            <v>not started</v>
          </cell>
          <cell r="M829" t="str">
            <v>Aligenment</v>
          </cell>
          <cell r="N829"/>
          <cell r="O829" t="str">
            <v>KG</v>
          </cell>
          <cell r="P829">
            <v>2.2499999999999998E-3</v>
          </cell>
          <cell r="Q829">
            <v>72000</v>
          </cell>
        </row>
        <row r="830">
          <cell r="K830" t="str">
            <v>601.4.2.1.1.0106</v>
          </cell>
          <cell r="L830" t="str">
            <v>not started</v>
          </cell>
          <cell r="M830" t="str">
            <v>Grouting</v>
          </cell>
          <cell r="N830"/>
          <cell r="O830" t="str">
            <v>KG</v>
          </cell>
          <cell r="P830">
            <v>7.5000000000000002E-4</v>
          </cell>
          <cell r="Q830">
            <v>72000</v>
          </cell>
        </row>
        <row r="831">
          <cell r="K831" t="str">
            <v>601.4.2.1.1.0107</v>
          </cell>
          <cell r="L831" t="str">
            <v>not started</v>
          </cell>
          <cell r="M831" t="str">
            <v>Punch Removing</v>
          </cell>
          <cell r="N831"/>
          <cell r="O831" t="str">
            <v>KG</v>
          </cell>
          <cell r="P831">
            <v>7.5000000000000002E-4</v>
          </cell>
          <cell r="Q831">
            <v>72000</v>
          </cell>
        </row>
        <row r="832">
          <cell r="K832" t="str">
            <v>601.4.2.1.1.0108</v>
          </cell>
          <cell r="L832" t="str">
            <v>not started</v>
          </cell>
          <cell r="M832" t="str">
            <v>Finall Inspection</v>
          </cell>
          <cell r="N832"/>
          <cell r="O832" t="str">
            <v>KG</v>
          </cell>
          <cell r="P832">
            <v>7.5000000000000002E-4</v>
          </cell>
          <cell r="Q832">
            <v>72000</v>
          </cell>
        </row>
        <row r="833">
          <cell r="K833" t="str">
            <v>601.4.2.1.1.0201</v>
          </cell>
          <cell r="L833" t="str">
            <v>not started</v>
          </cell>
          <cell r="M833" t="str">
            <v>Material Handling</v>
          </cell>
          <cell r="N833"/>
          <cell r="O833" t="str">
            <v>KG</v>
          </cell>
          <cell r="P833">
            <v>1.25E-4</v>
          </cell>
          <cell r="Q833">
            <v>3000</v>
          </cell>
        </row>
        <row r="834">
          <cell r="K834" t="str">
            <v>601.4.2.1.1.0202</v>
          </cell>
          <cell r="L834" t="str">
            <v>not started</v>
          </cell>
          <cell r="M834" t="str">
            <v>Installation</v>
          </cell>
          <cell r="N834"/>
          <cell r="O834" t="str">
            <v>KG</v>
          </cell>
          <cell r="P834">
            <v>1.25E-3</v>
          </cell>
          <cell r="Q834">
            <v>3000</v>
          </cell>
        </row>
        <row r="835">
          <cell r="K835" t="str">
            <v>601.4.2.1.1.0203</v>
          </cell>
          <cell r="L835" t="str">
            <v>not started</v>
          </cell>
          <cell r="M835" t="str">
            <v>Leveling &amp; Plumbness</v>
          </cell>
          <cell r="N835"/>
          <cell r="O835" t="str">
            <v>KG</v>
          </cell>
          <cell r="P835">
            <v>3.7500000000000001E-4</v>
          </cell>
          <cell r="Q835">
            <v>3000</v>
          </cell>
        </row>
        <row r="836">
          <cell r="K836" t="str">
            <v>601.4.2.1.1.0204</v>
          </cell>
          <cell r="L836" t="str">
            <v>not started</v>
          </cell>
          <cell r="M836" t="str">
            <v>Full Bolt &amp; Tightening</v>
          </cell>
          <cell r="N836"/>
          <cell r="O836" t="str">
            <v>KG</v>
          </cell>
          <cell r="P836">
            <v>5.0000000000000001E-4</v>
          </cell>
          <cell r="Q836">
            <v>3000</v>
          </cell>
        </row>
        <row r="837">
          <cell r="K837" t="str">
            <v>601.4.2.1.1.0205</v>
          </cell>
          <cell r="L837" t="str">
            <v>not started</v>
          </cell>
          <cell r="M837" t="str">
            <v>Touch up</v>
          </cell>
          <cell r="N837"/>
          <cell r="O837" t="str">
            <v>KG</v>
          </cell>
          <cell r="P837">
            <v>1.25E-4</v>
          </cell>
          <cell r="Q837">
            <v>3000</v>
          </cell>
        </row>
        <row r="838">
          <cell r="K838" t="str">
            <v>601.4.2.1.1.0206</v>
          </cell>
          <cell r="L838" t="str">
            <v>not started</v>
          </cell>
          <cell r="M838" t="str">
            <v>Certificate</v>
          </cell>
          <cell r="N838"/>
          <cell r="O838" t="str">
            <v>KG</v>
          </cell>
          <cell r="P838">
            <v>1.25E-4</v>
          </cell>
          <cell r="Q838">
            <v>3000</v>
          </cell>
        </row>
        <row r="839">
          <cell r="K839" t="str">
            <v>601.4.2.1.1.0301</v>
          </cell>
          <cell r="L839" t="str">
            <v>not started</v>
          </cell>
          <cell r="M839" t="str">
            <v>Material Handling</v>
          </cell>
          <cell r="N839"/>
          <cell r="O839" t="str">
            <v>KG</v>
          </cell>
          <cell r="P839">
            <v>1.25E-4</v>
          </cell>
          <cell r="Q839">
            <v>5000</v>
          </cell>
        </row>
        <row r="840">
          <cell r="K840" t="str">
            <v>601.4.2.1.1.0302</v>
          </cell>
          <cell r="L840" t="str">
            <v>not started</v>
          </cell>
          <cell r="M840" t="str">
            <v>installation</v>
          </cell>
          <cell r="N840"/>
          <cell r="O840" t="str">
            <v>KG</v>
          </cell>
          <cell r="P840">
            <v>1.6249999999999999E-3</v>
          </cell>
          <cell r="Q840">
            <v>5000</v>
          </cell>
        </row>
        <row r="841">
          <cell r="K841" t="str">
            <v>601.4.2.1.1.0303</v>
          </cell>
          <cell r="L841" t="str">
            <v>not started</v>
          </cell>
          <cell r="M841" t="str">
            <v>Clamping &amp; Tightening</v>
          </cell>
          <cell r="N841"/>
          <cell r="O841" t="str">
            <v>KG</v>
          </cell>
          <cell r="P841">
            <v>5.0000000000000001E-4</v>
          </cell>
          <cell r="Q841">
            <v>5000</v>
          </cell>
        </row>
        <row r="842">
          <cell r="K842" t="str">
            <v>601.4.2.1.1.0304</v>
          </cell>
          <cell r="L842" t="str">
            <v>not started</v>
          </cell>
          <cell r="M842" t="str">
            <v>Touch up &amp; Cleaning</v>
          </cell>
          <cell r="N842"/>
          <cell r="O842" t="str">
            <v>KG</v>
          </cell>
          <cell r="P842">
            <v>1.25E-4</v>
          </cell>
          <cell r="Q842">
            <v>5000</v>
          </cell>
        </row>
        <row r="843">
          <cell r="K843" t="str">
            <v>601.4.2.1.1.0305</v>
          </cell>
          <cell r="L843" t="str">
            <v>not started</v>
          </cell>
          <cell r="M843" t="str">
            <v>Certificate</v>
          </cell>
          <cell r="N843"/>
          <cell r="O843" t="str">
            <v>KG</v>
          </cell>
          <cell r="P843">
            <v>1.25E-4</v>
          </cell>
          <cell r="Q843">
            <v>5000</v>
          </cell>
        </row>
        <row r="844">
          <cell r="K844" t="str">
            <v>601.4.3.1.1.0101</v>
          </cell>
          <cell r="L844" t="str">
            <v>not started</v>
          </cell>
          <cell r="M844" t="str">
            <v>Material Handling</v>
          </cell>
          <cell r="N844"/>
          <cell r="O844" t="str">
            <v>KG</v>
          </cell>
          <cell r="P844">
            <v>2.5000000000000001E-4</v>
          </cell>
          <cell r="Q844">
            <v>300</v>
          </cell>
        </row>
        <row r="845">
          <cell r="K845" t="str">
            <v>601.4.3.1.1.0102</v>
          </cell>
          <cell r="L845" t="str">
            <v>not started</v>
          </cell>
          <cell r="M845" t="str">
            <v>Erection</v>
          </cell>
          <cell r="N845"/>
          <cell r="O845" t="str">
            <v>KG</v>
          </cell>
          <cell r="P845">
            <v>2.5000000000000001E-3</v>
          </cell>
          <cell r="Q845">
            <v>300</v>
          </cell>
        </row>
        <row r="846">
          <cell r="K846" t="str">
            <v>601.4.3.1.1.0103</v>
          </cell>
          <cell r="L846" t="str">
            <v>not started</v>
          </cell>
          <cell r="M846" t="str">
            <v>Aligenment/Leveling</v>
          </cell>
          <cell r="N846"/>
          <cell r="O846" t="str">
            <v>KG</v>
          </cell>
          <cell r="P846">
            <v>1E-3</v>
          </cell>
          <cell r="Q846">
            <v>300</v>
          </cell>
        </row>
        <row r="847">
          <cell r="K847" t="str">
            <v>601.4.3.1.1.0104</v>
          </cell>
          <cell r="L847" t="str">
            <v>not started</v>
          </cell>
          <cell r="M847" t="str">
            <v>Full Bolting/Welding</v>
          </cell>
          <cell r="N847"/>
          <cell r="O847" t="str">
            <v>KG</v>
          </cell>
          <cell r="P847">
            <v>7.5000000000000002E-4</v>
          </cell>
          <cell r="Q847">
            <v>300</v>
          </cell>
        </row>
        <row r="848">
          <cell r="K848" t="str">
            <v>601.4.3.1.1.0106</v>
          </cell>
          <cell r="L848" t="str">
            <v>not started</v>
          </cell>
          <cell r="M848" t="str">
            <v>Punch Removing</v>
          </cell>
          <cell r="N848"/>
          <cell r="O848" t="str">
            <v>KG</v>
          </cell>
          <cell r="P848">
            <v>2.5000000000000001E-4</v>
          </cell>
          <cell r="Q848">
            <v>300</v>
          </cell>
        </row>
        <row r="849">
          <cell r="K849" t="str">
            <v>601.4.3.1.1.0107</v>
          </cell>
          <cell r="L849" t="str">
            <v>not started</v>
          </cell>
          <cell r="M849" t="str">
            <v>Certificate</v>
          </cell>
          <cell r="N849"/>
          <cell r="O849" t="str">
            <v>KG</v>
          </cell>
          <cell r="P849">
            <v>2.5000000000000001E-4</v>
          </cell>
          <cell r="Q849">
            <v>300</v>
          </cell>
        </row>
        <row r="850">
          <cell r="K850" t="str">
            <v>601.4.3.1.1.0201</v>
          </cell>
          <cell r="L850" t="str">
            <v>not started</v>
          </cell>
          <cell r="M850" t="str">
            <v>Material Handling</v>
          </cell>
          <cell r="N850"/>
          <cell r="O850" t="str">
            <v>KG</v>
          </cell>
          <cell r="P850">
            <v>5.0000000000000001E-4</v>
          </cell>
          <cell r="Q850">
            <v>600</v>
          </cell>
        </row>
        <row r="851">
          <cell r="K851" t="str">
            <v>601.4.3.1.1.0202</v>
          </cell>
          <cell r="L851" t="str">
            <v>not started</v>
          </cell>
          <cell r="M851" t="str">
            <v>Erection</v>
          </cell>
          <cell r="N851"/>
          <cell r="O851" t="str">
            <v>KG</v>
          </cell>
          <cell r="P851">
            <v>5.0000000000000001E-3</v>
          </cell>
          <cell r="Q851">
            <v>600</v>
          </cell>
        </row>
        <row r="852">
          <cell r="K852" t="str">
            <v>601.4.3.1.1.0203</v>
          </cell>
          <cell r="L852" t="str">
            <v>not started</v>
          </cell>
          <cell r="M852" t="str">
            <v>Aligenment/Leveling</v>
          </cell>
          <cell r="N852"/>
          <cell r="O852" t="str">
            <v>KG</v>
          </cell>
          <cell r="P852">
            <v>2E-3</v>
          </cell>
          <cell r="Q852">
            <v>600</v>
          </cell>
        </row>
        <row r="853">
          <cell r="K853" t="str">
            <v>601.4.3.1.1.0204</v>
          </cell>
          <cell r="L853" t="str">
            <v>not started</v>
          </cell>
          <cell r="M853" t="str">
            <v>Full Bolting/Welding</v>
          </cell>
          <cell r="N853"/>
          <cell r="O853" t="str">
            <v>KG</v>
          </cell>
          <cell r="P853">
            <v>1.5E-3</v>
          </cell>
          <cell r="Q853">
            <v>600</v>
          </cell>
        </row>
        <row r="854">
          <cell r="K854" t="str">
            <v>601.4.3.1.1.0206</v>
          </cell>
          <cell r="L854" t="str">
            <v>not started</v>
          </cell>
          <cell r="M854" t="str">
            <v>Punch Removing</v>
          </cell>
          <cell r="N854"/>
          <cell r="O854" t="str">
            <v>KG</v>
          </cell>
          <cell r="P854">
            <v>5.0000000000000001E-4</v>
          </cell>
          <cell r="Q854">
            <v>600</v>
          </cell>
        </row>
        <row r="855">
          <cell r="K855" t="str">
            <v>601.4.3.1.1.0207</v>
          </cell>
          <cell r="L855" t="str">
            <v>not started</v>
          </cell>
          <cell r="M855" t="str">
            <v>Certificate</v>
          </cell>
          <cell r="N855"/>
          <cell r="O855" t="str">
            <v>KG</v>
          </cell>
          <cell r="P855">
            <v>5.0000000000000001E-4</v>
          </cell>
          <cell r="Q855">
            <v>600</v>
          </cell>
        </row>
        <row r="856">
          <cell r="K856" t="str">
            <v>601.4.3.2.1.0101</v>
          </cell>
          <cell r="L856" t="str">
            <v>not started</v>
          </cell>
          <cell r="M856" t="str">
            <v>Material Handling</v>
          </cell>
          <cell r="N856"/>
          <cell r="O856" t="str">
            <v>KG</v>
          </cell>
          <cell r="P856">
            <v>2.5000000000000001E-4</v>
          </cell>
          <cell r="Q856">
            <v>300</v>
          </cell>
        </row>
        <row r="857">
          <cell r="K857" t="str">
            <v>601.4.3.2.1.0102</v>
          </cell>
          <cell r="L857" t="str">
            <v>not started</v>
          </cell>
          <cell r="M857" t="str">
            <v>Erection</v>
          </cell>
          <cell r="N857"/>
          <cell r="O857" t="str">
            <v>KG</v>
          </cell>
          <cell r="P857">
            <v>2.5000000000000001E-3</v>
          </cell>
          <cell r="Q857">
            <v>300</v>
          </cell>
        </row>
        <row r="858">
          <cell r="K858" t="str">
            <v>601.4.3.2.1.0103</v>
          </cell>
          <cell r="L858" t="str">
            <v>not started</v>
          </cell>
          <cell r="M858" t="str">
            <v>Aligenment/Leveling</v>
          </cell>
          <cell r="N858"/>
          <cell r="O858" t="str">
            <v>KG</v>
          </cell>
          <cell r="P858">
            <v>1E-3</v>
          </cell>
          <cell r="Q858">
            <v>300</v>
          </cell>
        </row>
        <row r="859">
          <cell r="K859" t="str">
            <v>601.4.3.2.1.0104</v>
          </cell>
          <cell r="L859" t="str">
            <v>not started</v>
          </cell>
          <cell r="M859" t="str">
            <v>Full Bolting/Welding</v>
          </cell>
          <cell r="N859"/>
          <cell r="O859" t="str">
            <v>KG</v>
          </cell>
          <cell r="P859">
            <v>7.5000000000000002E-4</v>
          </cell>
          <cell r="Q859">
            <v>300</v>
          </cell>
        </row>
        <row r="860">
          <cell r="K860" t="str">
            <v>601.4.3.2.1.0106</v>
          </cell>
          <cell r="L860" t="str">
            <v>not started</v>
          </cell>
          <cell r="M860" t="str">
            <v>Punch Removing</v>
          </cell>
          <cell r="N860"/>
          <cell r="O860" t="str">
            <v>KG</v>
          </cell>
          <cell r="P860">
            <v>2.5000000000000001E-4</v>
          </cell>
          <cell r="Q860">
            <v>300</v>
          </cell>
        </row>
        <row r="861">
          <cell r="K861" t="str">
            <v>601.4.3.2.1.0107</v>
          </cell>
          <cell r="L861" t="str">
            <v>not started</v>
          </cell>
          <cell r="M861" t="str">
            <v>Certificate</v>
          </cell>
          <cell r="N861"/>
          <cell r="O861" t="str">
            <v>KG</v>
          </cell>
          <cell r="P861">
            <v>2.5000000000000001E-4</v>
          </cell>
          <cell r="Q861">
            <v>300</v>
          </cell>
        </row>
        <row r="862">
          <cell r="K862" t="str">
            <v>601.4.3.2.1.0201</v>
          </cell>
          <cell r="L862" t="str">
            <v>not started</v>
          </cell>
          <cell r="M862" t="str">
            <v>Material Handling</v>
          </cell>
          <cell r="N862"/>
          <cell r="O862" t="str">
            <v>KG</v>
          </cell>
          <cell r="P862">
            <v>5.0000000000000001E-4</v>
          </cell>
          <cell r="Q862">
            <v>600</v>
          </cell>
        </row>
        <row r="863">
          <cell r="K863" t="str">
            <v>601.4.3.2.1.0202</v>
          </cell>
          <cell r="L863" t="str">
            <v>not started</v>
          </cell>
          <cell r="M863" t="str">
            <v>Erection</v>
          </cell>
          <cell r="N863"/>
          <cell r="O863" t="str">
            <v>KG</v>
          </cell>
          <cell r="P863">
            <v>5.0000000000000001E-3</v>
          </cell>
          <cell r="Q863">
            <v>600</v>
          </cell>
        </row>
        <row r="864">
          <cell r="K864" t="str">
            <v>601.4.3.2.1.0203</v>
          </cell>
          <cell r="L864" t="str">
            <v>not started</v>
          </cell>
          <cell r="M864" t="str">
            <v>Aligenment/Leveling</v>
          </cell>
          <cell r="N864"/>
          <cell r="O864" t="str">
            <v>KG</v>
          </cell>
          <cell r="P864">
            <v>2E-3</v>
          </cell>
          <cell r="Q864">
            <v>600</v>
          </cell>
        </row>
        <row r="865">
          <cell r="K865" t="str">
            <v>601.4.3.2.1.0204</v>
          </cell>
          <cell r="L865" t="str">
            <v>not started</v>
          </cell>
          <cell r="M865" t="str">
            <v>Full Bolting/Welding</v>
          </cell>
          <cell r="N865"/>
          <cell r="O865" t="str">
            <v>KG</v>
          </cell>
          <cell r="P865">
            <v>1.5E-3</v>
          </cell>
          <cell r="Q865">
            <v>600</v>
          </cell>
        </row>
        <row r="866">
          <cell r="K866" t="str">
            <v>601.4.3.2.1.0206</v>
          </cell>
          <cell r="L866" t="str">
            <v>not started</v>
          </cell>
          <cell r="M866" t="str">
            <v>Punch Removing</v>
          </cell>
          <cell r="N866"/>
          <cell r="O866" t="str">
            <v>KG</v>
          </cell>
          <cell r="P866">
            <v>5.0000000000000001E-4</v>
          </cell>
          <cell r="Q866">
            <v>600</v>
          </cell>
        </row>
        <row r="867">
          <cell r="K867" t="str">
            <v>601.4.3.2.1.0207</v>
          </cell>
          <cell r="L867" t="str">
            <v>not started</v>
          </cell>
          <cell r="M867" t="str">
            <v>Certificate</v>
          </cell>
          <cell r="N867"/>
          <cell r="O867" t="str">
            <v>KG</v>
          </cell>
          <cell r="P867">
            <v>5.0000000000000001E-4</v>
          </cell>
          <cell r="Q867">
            <v>600</v>
          </cell>
        </row>
        <row r="868">
          <cell r="K868" t="str">
            <v>601.4.4.1.1.0101</v>
          </cell>
          <cell r="L868" t="str">
            <v>not started</v>
          </cell>
          <cell r="M868" t="str">
            <v>Completion Work</v>
          </cell>
          <cell r="N868"/>
          <cell r="O868" t="str">
            <v>-</v>
          </cell>
          <cell r="P868">
            <v>2.4499999999999999E-3</v>
          </cell>
          <cell r="Q868">
            <v>1</v>
          </cell>
        </row>
        <row r="869">
          <cell r="K869" t="str">
            <v>601.4.4.1.1.0201</v>
          </cell>
          <cell r="L869" t="str">
            <v>not started</v>
          </cell>
          <cell r="M869" t="str">
            <v>Completion Work</v>
          </cell>
          <cell r="N869"/>
          <cell r="O869" t="str">
            <v>-</v>
          </cell>
          <cell r="P869">
            <v>1E-3</v>
          </cell>
          <cell r="Q869">
            <v>1</v>
          </cell>
        </row>
        <row r="870">
          <cell r="K870" t="str">
            <v>601.4.4.1.1.0301</v>
          </cell>
          <cell r="L870" t="str">
            <v>not started</v>
          </cell>
          <cell r="M870" t="str">
            <v>Completion Work</v>
          </cell>
          <cell r="N870"/>
          <cell r="O870" t="str">
            <v>-</v>
          </cell>
          <cell r="P870">
            <v>1.5E-3</v>
          </cell>
          <cell r="Q870">
            <v>1</v>
          </cell>
        </row>
        <row r="871">
          <cell r="K871" t="str">
            <v>601.4.4.1.1.0401</v>
          </cell>
          <cell r="L871" t="str">
            <v>not started</v>
          </cell>
          <cell r="M871" t="str">
            <v>Completion Work</v>
          </cell>
          <cell r="N871"/>
          <cell r="O871" t="str">
            <v>-</v>
          </cell>
          <cell r="P871">
            <v>1.5E-3</v>
          </cell>
          <cell r="Q871">
            <v>1</v>
          </cell>
        </row>
        <row r="872">
          <cell r="K872" t="str">
            <v>601.4.4.1.1.0501</v>
          </cell>
          <cell r="L872" t="str">
            <v>not started</v>
          </cell>
          <cell r="M872" t="str">
            <v>Completion Work</v>
          </cell>
          <cell r="N872"/>
          <cell r="O872" t="str">
            <v>-</v>
          </cell>
          <cell r="P872">
            <v>5.0000000000000001E-4</v>
          </cell>
          <cell r="Q872">
            <v>0.5</v>
          </cell>
        </row>
        <row r="873">
          <cell r="K873" t="str">
            <v>601.4.4.2.1.0101</v>
          </cell>
          <cell r="L873" t="str">
            <v>not started</v>
          </cell>
          <cell r="M873" t="str">
            <v>Completion Work</v>
          </cell>
          <cell r="N873"/>
          <cell r="O873" t="str">
            <v>-</v>
          </cell>
          <cell r="P873">
            <v>5.5000000000000003E-4</v>
          </cell>
          <cell r="Q873">
            <v>0.5</v>
          </cell>
        </row>
        <row r="874">
          <cell r="K874" t="str">
            <v>601.5.1.1.1.01.01</v>
          </cell>
          <cell r="L874" t="str">
            <v>not started</v>
          </cell>
          <cell r="M874" t="str">
            <v>Demobilization (OLF1)</v>
          </cell>
          <cell r="N874"/>
          <cell r="O874" t="str">
            <v>-</v>
          </cell>
          <cell r="P874">
            <v>9.3500000000000007E-3</v>
          </cell>
          <cell r="Q874">
            <v>0.5</v>
          </cell>
        </row>
        <row r="875">
          <cell r="K875" t="str">
            <v>601.5.1.1.1.01.02</v>
          </cell>
          <cell r="L875" t="str">
            <v>not started</v>
          </cell>
          <cell r="M875" t="str">
            <v>Demobilization (OLF2)</v>
          </cell>
          <cell r="N875"/>
          <cell r="O875" t="str">
            <v>-</v>
          </cell>
          <cell r="P875">
            <v>9.3500000000000007E-3</v>
          </cell>
          <cell r="Q875">
            <v>0.5</v>
          </cell>
        </row>
        <row r="876">
          <cell r="K876" t="str">
            <v>601.6.1.1.1.01.01</v>
          </cell>
          <cell r="L876" t="str">
            <v>not started</v>
          </cell>
          <cell r="M876" t="str">
            <v>Finish  (OLF1&amp; OLFF2)</v>
          </cell>
          <cell r="N876"/>
          <cell r="O876" t="str">
            <v>-</v>
          </cell>
          <cell r="P876">
            <v>0</v>
          </cell>
          <cell r="Q8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9CF8-C816-418F-BF7B-8FDC555A7079}">
  <sheetPr>
    <outlinePr summaryBelow="0"/>
    <pageSetUpPr fitToPage="1"/>
  </sheetPr>
  <dimension ref="A1:AA1137"/>
  <sheetViews>
    <sheetView tabSelected="1" view="pageBreakPreview" topLeftCell="A28" zoomScaleNormal="85" zoomScaleSheetLayoutView="100" workbookViewId="0">
      <selection activeCell="V1141" sqref="V1141"/>
    </sheetView>
  </sheetViews>
  <sheetFormatPr defaultRowHeight="14.4" outlineLevelRow="6" x14ac:dyDescent="0.3"/>
  <cols>
    <col min="1" max="1" width="5.6640625" style="1" customWidth="1"/>
    <col min="2" max="7" width="2.88671875" customWidth="1"/>
    <col min="8" max="8" width="12.88671875" customWidth="1"/>
    <col min="9" max="9" width="26.5546875" customWidth="1"/>
    <col min="10" max="10" width="8.33203125" customWidth="1"/>
    <col min="11" max="11" width="8" customWidth="1"/>
    <col min="12" max="12" width="10.44140625" style="3" customWidth="1"/>
    <col min="13" max="13" width="13.6640625" style="4" customWidth="1"/>
    <col min="14" max="20" width="0" hidden="1" customWidth="1"/>
    <col min="21" max="21" width="4.109375" hidden="1" customWidth="1"/>
    <col min="22" max="22" width="13.109375" style="4" customWidth="1"/>
    <col min="23" max="23" width="13.33203125" style="4" customWidth="1"/>
    <col min="24" max="24" width="12.21875" style="4" customWidth="1"/>
    <col min="25" max="25" width="10.6640625" style="90" customWidth="1"/>
    <col min="26" max="26" width="9.5546875" style="90" customWidth="1"/>
    <col min="27" max="27" width="10.77734375" style="90" customWidth="1"/>
  </cols>
  <sheetData>
    <row r="1" spans="1:27" ht="27.75" customHeight="1" x14ac:dyDescent="0.3">
      <c r="I1" s="2" t="s">
        <v>0</v>
      </c>
      <c r="P1" s="91" t="s">
        <v>1</v>
      </c>
      <c r="Q1" s="92"/>
      <c r="R1" s="93"/>
      <c r="S1" s="91" t="s">
        <v>2</v>
      </c>
      <c r="T1" s="92"/>
      <c r="U1" s="93"/>
      <c r="V1" s="94" t="s">
        <v>3</v>
      </c>
      <c r="W1" s="95"/>
      <c r="X1" s="96"/>
      <c r="Y1" s="97" t="s">
        <v>4</v>
      </c>
      <c r="Z1" s="98"/>
      <c r="AA1" s="99"/>
    </row>
    <row r="2" spans="1:27" ht="18.75" customHeight="1" x14ac:dyDescent="0.3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8" t="s">
        <v>16</v>
      </c>
      <c r="M2" s="9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20</v>
      </c>
      <c r="T2" s="7" t="s">
        <v>21</v>
      </c>
      <c r="U2" s="7" t="s">
        <v>22</v>
      </c>
      <c r="V2" s="9" t="s">
        <v>20</v>
      </c>
      <c r="W2" s="9" t="s">
        <v>21</v>
      </c>
      <c r="X2" s="9" t="s">
        <v>22</v>
      </c>
      <c r="Y2" s="10" t="s">
        <v>20</v>
      </c>
      <c r="Z2" s="10" t="s">
        <v>21</v>
      </c>
      <c r="AA2" s="10" t="s">
        <v>22</v>
      </c>
    </row>
    <row r="3" spans="1:27" ht="18.75" customHeight="1" x14ac:dyDescent="0.3">
      <c r="B3" s="11" t="s">
        <v>23</v>
      </c>
      <c r="C3" s="12"/>
      <c r="D3" s="12"/>
      <c r="E3" s="12"/>
      <c r="F3" s="12"/>
      <c r="G3" s="13"/>
      <c r="H3" s="14"/>
      <c r="I3" s="14"/>
      <c r="J3" s="14"/>
      <c r="K3" s="14"/>
      <c r="L3" s="15">
        <f>L4+L11+L18+L572+L1124+L1131</f>
        <v>1.0000000500000001</v>
      </c>
      <c r="M3" s="16"/>
      <c r="N3" s="14"/>
      <c r="O3" s="14"/>
      <c r="P3" s="14"/>
      <c r="Q3" s="14"/>
      <c r="R3" s="14"/>
      <c r="S3" s="14"/>
      <c r="T3" s="14"/>
      <c r="U3" s="14"/>
      <c r="V3" s="16"/>
      <c r="W3" s="16"/>
      <c r="X3" s="16"/>
      <c r="Y3" s="17">
        <f>(Y4*$L4+Y11*$L11+Y18*$L18+Y572*$L572+Y1124*$L1124+Y1131*$L1131)</f>
        <v>0.6250186235451638</v>
      </c>
      <c r="Z3" s="17">
        <f>(Z4*$L4+Z11*$L11+Z18*$L18+Z572*$L572+Z1124*$L1124+Z1131*$L1131)</f>
        <v>0</v>
      </c>
      <c r="AA3" s="17">
        <f>(AA4*$L4+AA11*$L11+AA18*$L18+AA572*$L572+AA1124*$L1124+AA1131*$L1131)</f>
        <v>0.63030439799531046</v>
      </c>
    </row>
    <row r="4" spans="1:27" ht="18.75" customHeight="1" outlineLevel="1" x14ac:dyDescent="0.3">
      <c r="B4" s="12"/>
      <c r="C4" s="18" t="s">
        <v>24</v>
      </c>
      <c r="D4" s="19"/>
      <c r="E4" s="19"/>
      <c r="F4" s="19"/>
      <c r="G4" s="19"/>
      <c r="H4" s="20"/>
      <c r="I4" s="20"/>
      <c r="J4" s="20"/>
      <c r="K4" s="20"/>
      <c r="L4" s="21">
        <f>L5</f>
        <v>0</v>
      </c>
      <c r="M4" s="22">
        <f>M5</f>
        <v>0</v>
      </c>
      <c r="N4" s="20"/>
      <c r="O4" s="20"/>
      <c r="P4" s="20"/>
      <c r="Q4" s="20"/>
      <c r="R4" s="20"/>
      <c r="S4" s="20"/>
      <c r="T4" s="20"/>
      <c r="U4" s="20"/>
      <c r="V4" s="22">
        <f t="shared" ref="V4:X4" si="0">V5</f>
        <v>0</v>
      </c>
      <c r="W4" s="22">
        <f t="shared" si="0"/>
        <v>0</v>
      </c>
      <c r="X4" s="22">
        <f t="shared" si="0"/>
        <v>0</v>
      </c>
      <c r="Y4" s="23">
        <f>Y5</f>
        <v>1</v>
      </c>
      <c r="Z4" s="23">
        <f t="shared" ref="Z4:AA7" si="1">Z5</f>
        <v>0</v>
      </c>
      <c r="AA4" s="23">
        <f t="shared" si="1"/>
        <v>1</v>
      </c>
    </row>
    <row r="5" spans="1:27" ht="18.75" customHeight="1" outlineLevel="2" x14ac:dyDescent="0.3">
      <c r="B5" s="12"/>
      <c r="C5" s="19"/>
      <c r="D5" s="24" t="s">
        <v>25</v>
      </c>
      <c r="E5" s="24"/>
      <c r="F5" s="24"/>
      <c r="G5" s="24"/>
      <c r="H5" s="25"/>
      <c r="I5" s="25"/>
      <c r="J5" s="25"/>
      <c r="K5" s="25"/>
      <c r="L5" s="26">
        <v>0</v>
      </c>
      <c r="M5" s="27">
        <v>0</v>
      </c>
      <c r="N5" s="25"/>
      <c r="O5" s="25"/>
      <c r="P5" s="25"/>
      <c r="Q5" s="25"/>
      <c r="R5" s="25"/>
      <c r="S5" s="25"/>
      <c r="T5" s="25"/>
      <c r="U5" s="25"/>
      <c r="V5" s="27">
        <v>0</v>
      </c>
      <c r="W5" s="27">
        <v>0</v>
      </c>
      <c r="X5" s="27">
        <v>0</v>
      </c>
      <c r="Y5" s="28">
        <f>Y6</f>
        <v>1</v>
      </c>
      <c r="Z5" s="28">
        <f t="shared" si="1"/>
        <v>0</v>
      </c>
      <c r="AA5" s="28">
        <f t="shared" si="1"/>
        <v>1</v>
      </c>
    </row>
    <row r="6" spans="1:27" ht="18.75" customHeight="1" outlineLevel="3" x14ac:dyDescent="0.3">
      <c r="B6" s="12"/>
      <c r="C6" s="19"/>
      <c r="D6" s="24"/>
      <c r="E6" s="29" t="s">
        <v>26</v>
      </c>
      <c r="F6" s="29"/>
      <c r="G6" s="29"/>
      <c r="H6" s="30"/>
      <c r="I6" s="30"/>
      <c r="J6" s="30"/>
      <c r="K6" s="30"/>
      <c r="L6" s="31">
        <v>0</v>
      </c>
      <c r="M6" s="32">
        <v>0</v>
      </c>
      <c r="N6" s="30"/>
      <c r="O6" s="30"/>
      <c r="P6" s="30"/>
      <c r="Q6" s="30"/>
      <c r="R6" s="30"/>
      <c r="S6" s="30"/>
      <c r="T6" s="30"/>
      <c r="U6" s="30"/>
      <c r="V6" s="32">
        <v>0</v>
      </c>
      <c r="W6" s="32">
        <v>0</v>
      </c>
      <c r="X6" s="32">
        <v>0</v>
      </c>
      <c r="Y6" s="33">
        <f>Y7</f>
        <v>1</v>
      </c>
      <c r="Z6" s="33">
        <f t="shared" si="1"/>
        <v>0</v>
      </c>
      <c r="AA6" s="33">
        <f t="shared" si="1"/>
        <v>1</v>
      </c>
    </row>
    <row r="7" spans="1:27" ht="18.75" customHeight="1" outlineLevel="4" x14ac:dyDescent="0.3">
      <c r="B7" s="12"/>
      <c r="C7" s="19"/>
      <c r="D7" s="24"/>
      <c r="E7" s="29"/>
      <c r="F7" s="34" t="s">
        <v>27</v>
      </c>
      <c r="G7" s="34"/>
      <c r="H7" s="35"/>
      <c r="I7" s="35"/>
      <c r="J7" s="35"/>
      <c r="K7" s="35"/>
      <c r="L7" s="36">
        <v>0</v>
      </c>
      <c r="M7" s="37">
        <v>0</v>
      </c>
      <c r="N7" s="35"/>
      <c r="O7" s="35"/>
      <c r="P7" s="35"/>
      <c r="Q7" s="35"/>
      <c r="R7" s="35"/>
      <c r="S7" s="35"/>
      <c r="T7" s="35"/>
      <c r="U7" s="35"/>
      <c r="V7" s="37">
        <v>0</v>
      </c>
      <c r="W7" s="37">
        <v>0</v>
      </c>
      <c r="X7" s="37">
        <v>0</v>
      </c>
      <c r="Y7" s="38">
        <f>Y8</f>
        <v>1</v>
      </c>
      <c r="Z7" s="38">
        <f t="shared" si="1"/>
        <v>0</v>
      </c>
      <c r="AA7" s="38">
        <f t="shared" si="1"/>
        <v>1</v>
      </c>
    </row>
    <row r="8" spans="1:27" ht="18.75" customHeight="1" outlineLevel="5" x14ac:dyDescent="0.3">
      <c r="B8" s="12"/>
      <c r="C8" s="19"/>
      <c r="D8" s="24"/>
      <c r="E8" s="29"/>
      <c r="F8" s="34"/>
      <c r="G8" s="39" t="s">
        <v>26</v>
      </c>
      <c r="H8" s="40"/>
      <c r="I8" s="40"/>
      <c r="J8" s="40"/>
      <c r="K8" s="40"/>
      <c r="L8" s="41">
        <f>L9+L10</f>
        <v>0</v>
      </c>
      <c r="M8" s="42">
        <v>0</v>
      </c>
      <c r="N8" s="40"/>
      <c r="O8" s="40"/>
      <c r="P8" s="40"/>
      <c r="Q8" s="40"/>
      <c r="R8" s="40"/>
      <c r="S8" s="40"/>
      <c r="T8" s="40"/>
      <c r="U8" s="40"/>
      <c r="V8" s="42">
        <v>0</v>
      </c>
      <c r="W8" s="42">
        <v>0</v>
      </c>
      <c r="X8" s="42">
        <v>0</v>
      </c>
      <c r="Y8" s="43">
        <f>SUMPRODUCT(Y9:Y10,$K9:$K10)</f>
        <v>1</v>
      </c>
      <c r="Z8" s="43">
        <f>SUMPRODUCT(Z9:Z10,$K9:$K10)</f>
        <v>0</v>
      </c>
      <c r="AA8" s="43">
        <f t="shared" ref="AA8" si="2">SUMPRODUCT(AA9:AA10,$K9:$K10)</f>
        <v>1</v>
      </c>
    </row>
    <row r="9" spans="1:27" ht="18.75" customHeight="1" outlineLevel="6" x14ac:dyDescent="0.3">
      <c r="B9" s="44"/>
      <c r="C9" s="19"/>
      <c r="D9" s="24"/>
      <c r="E9" s="29"/>
      <c r="F9" s="45"/>
      <c r="G9" s="39"/>
      <c r="H9" s="46" t="s">
        <v>28</v>
      </c>
      <c r="I9" s="46" t="s">
        <v>29</v>
      </c>
      <c r="J9" s="47" t="s">
        <v>30</v>
      </c>
      <c r="K9" s="48">
        <v>0.5</v>
      </c>
      <c r="L9" s="49">
        <v>0</v>
      </c>
      <c r="M9" s="50">
        <v>0</v>
      </c>
      <c r="N9" s="51"/>
      <c r="O9" s="51"/>
      <c r="P9" s="51"/>
      <c r="Q9" s="51"/>
      <c r="R9" s="51"/>
      <c r="S9" s="51"/>
      <c r="T9" s="51"/>
      <c r="U9" s="51"/>
      <c r="V9" s="52">
        <v>0</v>
      </c>
      <c r="W9" s="52">
        <f>X9-V9</f>
        <v>0</v>
      </c>
      <c r="X9" s="52">
        <v>0</v>
      </c>
      <c r="Y9" s="53">
        <f>IFERROR(V9/M9,1)</f>
        <v>1</v>
      </c>
      <c r="Z9" s="53">
        <v>0</v>
      </c>
      <c r="AA9" s="53">
        <f>IFERROR(X9/M9,1)</f>
        <v>1</v>
      </c>
    </row>
    <row r="10" spans="1:27" ht="18.75" customHeight="1" outlineLevel="6" x14ac:dyDescent="0.3">
      <c r="B10" s="44"/>
      <c r="C10" s="19"/>
      <c r="D10" s="24"/>
      <c r="E10" s="29"/>
      <c r="F10" s="45"/>
      <c r="G10" s="39"/>
      <c r="H10" s="46" t="s">
        <v>31</v>
      </c>
      <c r="I10" s="46" t="s">
        <v>32</v>
      </c>
      <c r="J10" s="47" t="s">
        <v>30</v>
      </c>
      <c r="K10" s="48">
        <v>0.5</v>
      </c>
      <c r="L10" s="49">
        <v>0</v>
      </c>
      <c r="M10" s="50">
        <v>0</v>
      </c>
      <c r="N10" s="51"/>
      <c r="O10" s="51"/>
      <c r="P10" s="51"/>
      <c r="Q10" s="51"/>
      <c r="R10" s="51"/>
      <c r="S10" s="51"/>
      <c r="T10" s="51"/>
      <c r="U10" s="51"/>
      <c r="V10" s="52">
        <v>0</v>
      </c>
      <c r="W10" s="52">
        <f>X10-V10</f>
        <v>0</v>
      </c>
      <c r="X10" s="52">
        <v>0</v>
      </c>
      <c r="Y10" s="53">
        <f>IFERROR(V10/M10,1)</f>
        <v>1</v>
      </c>
      <c r="Z10" s="53">
        <v>0</v>
      </c>
      <c r="AA10" s="53">
        <f>IFERROR(X10/M10,1)</f>
        <v>1</v>
      </c>
    </row>
    <row r="11" spans="1:27" ht="18.75" customHeight="1" outlineLevel="1" x14ac:dyDescent="0.3">
      <c r="B11" s="12"/>
      <c r="C11" s="18" t="s">
        <v>33</v>
      </c>
      <c r="D11" s="18"/>
      <c r="E11" s="18"/>
      <c r="F11" s="18"/>
      <c r="G11" s="18"/>
      <c r="H11" s="54"/>
      <c r="I11" s="54"/>
      <c r="J11" s="54"/>
      <c r="K11" s="54"/>
      <c r="L11" s="21">
        <f t="shared" ref="L11:M14" si="3">L12</f>
        <v>0.01</v>
      </c>
      <c r="M11" s="22">
        <f t="shared" si="3"/>
        <v>1</v>
      </c>
      <c r="N11" s="20"/>
      <c r="O11" s="20"/>
      <c r="P11" s="20"/>
      <c r="Q11" s="20"/>
      <c r="R11" s="20"/>
      <c r="S11" s="20"/>
      <c r="T11" s="20"/>
      <c r="U11" s="20"/>
      <c r="V11" s="22">
        <v>0</v>
      </c>
      <c r="W11" s="22">
        <f t="shared" ref="V11:X14" si="4">W12</f>
        <v>0</v>
      </c>
      <c r="X11" s="22">
        <v>0</v>
      </c>
      <c r="Y11" s="23">
        <f t="shared" ref="Y11:AA14" si="5">Y12</f>
        <v>1</v>
      </c>
      <c r="Z11" s="23">
        <f t="shared" si="5"/>
        <v>0</v>
      </c>
      <c r="AA11" s="23">
        <f t="shared" si="5"/>
        <v>1</v>
      </c>
    </row>
    <row r="12" spans="1:27" ht="18.75" customHeight="1" outlineLevel="2" x14ac:dyDescent="0.3">
      <c r="B12" s="12"/>
      <c r="C12" s="18"/>
      <c r="D12" s="24" t="s">
        <v>33</v>
      </c>
      <c r="E12" s="24"/>
      <c r="F12" s="24"/>
      <c r="G12" s="24"/>
      <c r="H12" s="55"/>
      <c r="I12" s="55"/>
      <c r="J12" s="55"/>
      <c r="K12" s="55"/>
      <c r="L12" s="26">
        <f t="shared" si="3"/>
        <v>0.01</v>
      </c>
      <c r="M12" s="27">
        <f t="shared" si="3"/>
        <v>1</v>
      </c>
      <c r="N12" s="25"/>
      <c r="O12" s="25"/>
      <c r="P12" s="25"/>
      <c r="Q12" s="25"/>
      <c r="R12" s="25"/>
      <c r="S12" s="25"/>
      <c r="T12" s="25"/>
      <c r="U12" s="25"/>
      <c r="V12" s="27">
        <f t="shared" si="4"/>
        <v>1</v>
      </c>
      <c r="W12" s="27">
        <f t="shared" si="4"/>
        <v>0</v>
      </c>
      <c r="X12" s="27">
        <f t="shared" si="4"/>
        <v>1</v>
      </c>
      <c r="Y12" s="28">
        <f t="shared" si="5"/>
        <v>1</v>
      </c>
      <c r="Z12" s="28">
        <f t="shared" si="5"/>
        <v>0</v>
      </c>
      <c r="AA12" s="28">
        <f t="shared" si="5"/>
        <v>1</v>
      </c>
    </row>
    <row r="13" spans="1:27" ht="18.75" customHeight="1" outlineLevel="3" x14ac:dyDescent="0.3">
      <c r="B13" s="12"/>
      <c r="C13" s="18"/>
      <c r="D13" s="24"/>
      <c r="E13" s="29" t="s">
        <v>34</v>
      </c>
      <c r="F13" s="29"/>
      <c r="G13" s="29"/>
      <c r="H13" s="56"/>
      <c r="I13" s="56"/>
      <c r="J13" s="56"/>
      <c r="K13" s="56"/>
      <c r="L13" s="31">
        <f t="shared" si="3"/>
        <v>0.01</v>
      </c>
      <c r="M13" s="32">
        <f t="shared" si="3"/>
        <v>1</v>
      </c>
      <c r="N13" s="30"/>
      <c r="O13" s="30"/>
      <c r="P13" s="30"/>
      <c r="Q13" s="30"/>
      <c r="R13" s="30"/>
      <c r="S13" s="30"/>
      <c r="T13" s="30"/>
      <c r="U13" s="30"/>
      <c r="V13" s="32">
        <f t="shared" si="4"/>
        <v>1</v>
      </c>
      <c r="W13" s="32">
        <f t="shared" si="4"/>
        <v>0</v>
      </c>
      <c r="X13" s="32">
        <f t="shared" si="4"/>
        <v>1</v>
      </c>
      <c r="Y13" s="33">
        <f t="shared" si="5"/>
        <v>1</v>
      </c>
      <c r="Z13" s="33">
        <f t="shared" si="5"/>
        <v>0</v>
      </c>
      <c r="AA13" s="33">
        <f t="shared" si="5"/>
        <v>1</v>
      </c>
    </row>
    <row r="14" spans="1:27" ht="18.75" customHeight="1" outlineLevel="4" x14ac:dyDescent="0.3">
      <c r="B14" s="12"/>
      <c r="C14" s="18"/>
      <c r="D14" s="24"/>
      <c r="E14" s="29"/>
      <c r="F14" s="34" t="s">
        <v>35</v>
      </c>
      <c r="G14" s="34"/>
      <c r="H14" s="57"/>
      <c r="I14" s="57"/>
      <c r="J14" s="57"/>
      <c r="K14" s="57"/>
      <c r="L14" s="36">
        <f t="shared" si="3"/>
        <v>0.01</v>
      </c>
      <c r="M14" s="37">
        <f t="shared" si="3"/>
        <v>1</v>
      </c>
      <c r="N14" s="35"/>
      <c r="O14" s="35"/>
      <c r="P14" s="35"/>
      <c r="Q14" s="35"/>
      <c r="R14" s="35"/>
      <c r="S14" s="35"/>
      <c r="T14" s="35"/>
      <c r="U14" s="35"/>
      <c r="V14" s="37">
        <f t="shared" si="4"/>
        <v>1</v>
      </c>
      <c r="W14" s="37">
        <f t="shared" si="4"/>
        <v>0</v>
      </c>
      <c r="X14" s="37">
        <f t="shared" si="4"/>
        <v>1</v>
      </c>
      <c r="Y14" s="38">
        <f t="shared" si="5"/>
        <v>1</v>
      </c>
      <c r="Z14" s="38">
        <f t="shared" si="5"/>
        <v>0</v>
      </c>
      <c r="AA14" s="38">
        <f t="shared" si="5"/>
        <v>1</v>
      </c>
    </row>
    <row r="15" spans="1:27" ht="18.75" customHeight="1" outlineLevel="5" x14ac:dyDescent="0.3">
      <c r="B15" s="12"/>
      <c r="C15" s="18"/>
      <c r="D15" s="24"/>
      <c r="E15" s="29"/>
      <c r="F15" s="34"/>
      <c r="G15" s="39" t="s">
        <v>36</v>
      </c>
      <c r="H15" s="58"/>
      <c r="I15" s="58"/>
      <c r="J15" s="58"/>
      <c r="K15" s="58"/>
      <c r="L15" s="41">
        <f>L16+L17</f>
        <v>0.01</v>
      </c>
      <c r="M15" s="42">
        <f>M16+M17</f>
        <v>1</v>
      </c>
      <c r="N15" s="40"/>
      <c r="O15" s="40"/>
      <c r="P15" s="40"/>
      <c r="Q15" s="40"/>
      <c r="R15" s="40"/>
      <c r="S15" s="40"/>
      <c r="T15" s="40"/>
      <c r="U15" s="40"/>
      <c r="V15" s="42">
        <f t="shared" ref="V15:X15" si="6">V16+V17</f>
        <v>1</v>
      </c>
      <c r="W15" s="42">
        <f t="shared" si="6"/>
        <v>0</v>
      </c>
      <c r="X15" s="42">
        <f t="shared" si="6"/>
        <v>1</v>
      </c>
      <c r="Y15" s="43">
        <f>SUMPRODUCT(Y16:Y17,$K16:$K17)</f>
        <v>1</v>
      </c>
      <c r="Z15" s="43">
        <f>SUMPRODUCT(Z16:Z17,$K16:$K17)</f>
        <v>0</v>
      </c>
      <c r="AA15" s="43">
        <f t="shared" ref="AA15" si="7">SUMPRODUCT(AA16:AA17,$K16:$K17)</f>
        <v>1</v>
      </c>
    </row>
    <row r="16" spans="1:27" ht="18.75" customHeight="1" outlineLevel="6" x14ac:dyDescent="0.3">
      <c r="B16" s="44"/>
      <c r="C16" s="18"/>
      <c r="D16" s="24"/>
      <c r="E16" s="29"/>
      <c r="F16" s="34"/>
      <c r="G16" s="39"/>
      <c r="H16" s="46" t="s">
        <v>37</v>
      </c>
      <c r="I16" s="46" t="s">
        <v>29</v>
      </c>
      <c r="J16" s="47" t="s">
        <v>30</v>
      </c>
      <c r="K16" s="48">
        <v>0.5</v>
      </c>
      <c r="L16" s="49">
        <f>VLOOKUP(H16,[4]Sheet2!K:P,6,0)</f>
        <v>5.0000000000000001E-3</v>
      </c>
      <c r="M16" s="50">
        <v>0.5</v>
      </c>
      <c r="N16" s="51"/>
      <c r="O16" s="51"/>
      <c r="P16" s="51"/>
      <c r="Q16" s="51"/>
      <c r="R16" s="51"/>
      <c r="S16" s="51"/>
      <c r="T16" s="51"/>
      <c r="U16" s="51"/>
      <c r="V16" s="52">
        <f>VLOOKUP(H16,[4]Sheet2!K:N,4,0)</f>
        <v>0.5</v>
      </c>
      <c r="W16" s="52">
        <f t="shared" ref="W16:W17" si="8">X16-V16</f>
        <v>0</v>
      </c>
      <c r="X16" s="52">
        <f>VLOOKUP(H16,[4]Sheet2!K:N,4,0)</f>
        <v>0.5</v>
      </c>
      <c r="Y16" s="53">
        <f t="shared" ref="Y16:Y17" si="9">IFERROR(V16/M16,1)</f>
        <v>1</v>
      </c>
      <c r="Z16" s="53">
        <f t="shared" ref="Z16:Z17" si="10">IFERROR(W16/M16,1)</f>
        <v>0</v>
      </c>
      <c r="AA16" s="53">
        <f t="shared" ref="AA16:AA17" si="11">IFERROR(X16/M16,1)</f>
        <v>1</v>
      </c>
    </row>
    <row r="17" spans="1:27" ht="18.75" customHeight="1" outlineLevel="6" x14ac:dyDescent="0.3">
      <c r="B17" s="44"/>
      <c r="C17" s="18"/>
      <c r="D17" s="24"/>
      <c r="E17" s="29"/>
      <c r="F17" s="34"/>
      <c r="G17" s="39"/>
      <c r="H17" s="46" t="s">
        <v>38</v>
      </c>
      <c r="I17" s="46" t="s">
        <v>32</v>
      </c>
      <c r="J17" s="47" t="s">
        <v>30</v>
      </c>
      <c r="K17" s="48">
        <v>0.5</v>
      </c>
      <c r="L17" s="49">
        <f>VLOOKUP(H17,[4]Sheet2!K:P,6,0)</f>
        <v>5.0000000000000001E-3</v>
      </c>
      <c r="M17" s="50">
        <v>0.5</v>
      </c>
      <c r="N17" s="51"/>
      <c r="O17" s="51"/>
      <c r="P17" s="51"/>
      <c r="Q17" s="51"/>
      <c r="R17" s="51"/>
      <c r="S17" s="51"/>
      <c r="T17" s="51"/>
      <c r="U17" s="51"/>
      <c r="V17" s="52">
        <f>VLOOKUP(H17,[4]Sheet2!K:N,4,0)</f>
        <v>0.5</v>
      </c>
      <c r="W17" s="52">
        <f t="shared" si="8"/>
        <v>0</v>
      </c>
      <c r="X17" s="52">
        <f>VLOOKUP(H17,[4]Sheet2!K:N,4,0)</f>
        <v>0.5</v>
      </c>
      <c r="Y17" s="53">
        <f t="shared" si="9"/>
        <v>1</v>
      </c>
      <c r="Z17" s="53">
        <f t="shared" si="10"/>
        <v>0</v>
      </c>
      <c r="AA17" s="53">
        <f t="shared" si="11"/>
        <v>1</v>
      </c>
    </row>
    <row r="18" spans="1:27" ht="18.75" customHeight="1" outlineLevel="1" x14ac:dyDescent="0.3">
      <c r="B18" s="12"/>
      <c r="C18" s="18" t="s">
        <v>39</v>
      </c>
      <c r="D18" s="18"/>
      <c r="E18" s="18"/>
      <c r="F18" s="18"/>
      <c r="G18" s="18"/>
      <c r="H18" s="54"/>
      <c r="I18" s="54"/>
      <c r="J18" s="54"/>
      <c r="K18" s="54"/>
      <c r="L18" s="21">
        <f>L19+L497+L522+L555</f>
        <v>0.48565005000000006</v>
      </c>
      <c r="M18" s="22">
        <f>M19+M497+M522+M555</f>
        <v>1268662.45</v>
      </c>
      <c r="N18" s="20"/>
      <c r="O18" s="20"/>
      <c r="P18" s="20"/>
      <c r="Q18" s="20"/>
      <c r="R18" s="20"/>
      <c r="S18" s="20"/>
      <c r="T18" s="20"/>
      <c r="U18" s="20"/>
      <c r="V18" s="22">
        <f t="shared" ref="V18:X18" si="12">V19+V497+V522+V555</f>
        <v>906449.43888888892</v>
      </c>
      <c r="W18" s="22">
        <f t="shared" si="12"/>
        <v>0</v>
      </c>
      <c r="X18" s="22">
        <f t="shared" si="12"/>
        <v>906449.43888888892</v>
      </c>
      <c r="Y18" s="23">
        <f>(Y19*$L19+Y497*$L497+Y522*$L522+Y555*$L555)/$L18</f>
        <v>0.67378450027354242</v>
      </c>
      <c r="Z18" s="23">
        <f t="shared" ref="Z18" si="13">(Z19*$L19+Z497*$L497+Z522*$L522+Z555*$L555)/$L18</f>
        <v>0</v>
      </c>
      <c r="AA18" s="23">
        <f>(AA19*$L19+AA497*$L497+AA522*$L522+AA555*$L555)/L18</f>
        <v>0.67378450027354242</v>
      </c>
    </row>
    <row r="19" spans="1:27" ht="18.75" customHeight="1" outlineLevel="2" x14ac:dyDescent="0.3">
      <c r="B19" s="12"/>
      <c r="C19" s="18"/>
      <c r="D19" s="24" t="s">
        <v>40</v>
      </c>
      <c r="E19" s="24"/>
      <c r="F19" s="24"/>
      <c r="G19" s="24"/>
      <c r="H19" s="55"/>
      <c r="I19" s="55"/>
      <c r="J19" s="55"/>
      <c r="K19" s="55"/>
      <c r="L19" s="26">
        <f>L20+L235+L330+L404+L483</f>
        <v>0.42815005</v>
      </c>
      <c r="M19" s="27">
        <f>M20+M235+M330+M404+M483</f>
        <v>1186857.45</v>
      </c>
      <c r="N19" s="25"/>
      <c r="O19" s="25"/>
      <c r="P19" s="25"/>
      <c r="Q19" s="25"/>
      <c r="R19" s="25"/>
      <c r="S19" s="25"/>
      <c r="T19" s="25"/>
      <c r="U19" s="25"/>
      <c r="V19" s="27">
        <f>V20+V235+V330+V404+V483</f>
        <v>906449.43888888892</v>
      </c>
      <c r="W19" s="27">
        <f t="shared" ref="W19:X19" si="14">W20+W235+W330+W404+W483</f>
        <v>0</v>
      </c>
      <c r="X19" s="27">
        <f t="shared" si="14"/>
        <v>906449.43888888892</v>
      </c>
      <c r="Y19" s="28">
        <f>(Y20*$L20+Y235*$L235+Y330*$L330+Y404*$L404+Y483*$L483)/$L19</f>
        <v>0.76427289042024149</v>
      </c>
      <c r="Z19" s="28">
        <f t="shared" ref="Z19" si="15">(Z20*$L20+Z235*$L235+Z330*$L330+Z404*$L404+Z483*$L483)/$L19</f>
        <v>0</v>
      </c>
      <c r="AA19" s="28">
        <f>(AA20*$L20+AA235*$L235+AA330*$L330+AA404*$L404+AA483*$L483)/$L19</f>
        <v>0.76427289042024149</v>
      </c>
    </row>
    <row r="20" spans="1:27" ht="18.75" customHeight="1" outlineLevel="3" x14ac:dyDescent="0.3">
      <c r="B20" s="12"/>
      <c r="C20" s="18"/>
      <c r="D20" s="24"/>
      <c r="E20" s="29" t="s">
        <v>41</v>
      </c>
      <c r="F20" s="29"/>
      <c r="G20" s="29"/>
      <c r="H20" s="56"/>
      <c r="I20" s="56"/>
      <c r="J20" s="56"/>
      <c r="K20" s="56"/>
      <c r="L20" s="31">
        <f>L21+L75+L133+L169+L184+L226</f>
        <v>0.19750005000000001</v>
      </c>
      <c r="M20" s="32">
        <f>M21+M75+M133+M169+M184+M226</f>
        <v>432867.5</v>
      </c>
      <c r="N20" s="30"/>
      <c r="O20" s="30"/>
      <c r="P20" s="30"/>
      <c r="Q20" s="30"/>
      <c r="R20" s="30"/>
      <c r="S20" s="30"/>
      <c r="T20" s="30"/>
      <c r="U20" s="30"/>
      <c r="V20" s="32">
        <f t="shared" ref="V20:X20" si="16">V21+V75+V133+V169+V184+V226</f>
        <v>415197.5</v>
      </c>
      <c r="W20" s="32">
        <f t="shared" si="16"/>
        <v>0</v>
      </c>
      <c r="X20" s="32">
        <f t="shared" si="16"/>
        <v>415197.5</v>
      </c>
      <c r="Y20" s="33">
        <f>(Y21*$L21+Y75*$L75+Y133*$L133+Y169*$L169+Y184*$L184+Y226*$L226)/$L20</f>
        <v>0.86517826198018699</v>
      </c>
      <c r="Z20" s="33">
        <f t="shared" ref="Z20:AA20" si="17">(Z21*$L21+Z75*$L75+Z133*$L133+Z169*$L169+Z184*$L184+Z226*$L226)/$L20</f>
        <v>0</v>
      </c>
      <c r="AA20" s="33">
        <f t="shared" si="17"/>
        <v>0.86517826198018699</v>
      </c>
    </row>
    <row r="21" spans="1:27" ht="18.75" customHeight="1" outlineLevel="4" x14ac:dyDescent="0.3">
      <c r="B21" s="12"/>
      <c r="C21" s="18"/>
      <c r="D21" s="24"/>
      <c r="E21" s="29"/>
      <c r="F21" s="34" t="s">
        <v>42</v>
      </c>
      <c r="G21" s="34"/>
      <c r="H21" s="57"/>
      <c r="I21" s="57"/>
      <c r="J21" s="57"/>
      <c r="K21" s="57"/>
      <c r="L21" s="36">
        <f>L22+L29+L38+L47+L54+L61+L68</f>
        <v>4.8943150000000005E-2</v>
      </c>
      <c r="M21" s="37">
        <f>M22+M29+M38+M47+M54+M61+M68</f>
        <v>110000</v>
      </c>
      <c r="N21" s="35"/>
      <c r="O21" s="35"/>
      <c r="P21" s="35"/>
      <c r="Q21" s="35"/>
      <c r="R21" s="35"/>
      <c r="S21" s="35"/>
      <c r="T21" s="35"/>
      <c r="U21" s="35"/>
      <c r="V21" s="37">
        <f t="shared" ref="V21:X21" si="18">V22+V29+V38+V47+V54+V61+V68</f>
        <v>110000</v>
      </c>
      <c r="W21" s="37">
        <f t="shared" si="18"/>
        <v>0</v>
      </c>
      <c r="X21" s="37">
        <f t="shared" si="18"/>
        <v>110000</v>
      </c>
      <c r="Y21" s="59">
        <f>(Y22*$L22+Y29*$L29+Y38*$L38+Y47*$L47+Y54*$L54+Y61*$L61+Y68*$L68)/$L21</f>
        <v>1</v>
      </c>
      <c r="Z21" s="59">
        <f t="shared" ref="Z21:AA21" si="19">(Z22*$L22+Z29*$L29+Z38*$L38+Z47*$L47+Z54*$L54+Z61*$L61+Z68*$L68)/$L21</f>
        <v>0</v>
      </c>
      <c r="AA21" s="59">
        <f t="shared" si="19"/>
        <v>1</v>
      </c>
    </row>
    <row r="22" spans="1:27" ht="18.75" customHeight="1" outlineLevel="5" x14ac:dyDescent="0.3">
      <c r="B22" s="12"/>
      <c r="C22" s="18"/>
      <c r="D22" s="24"/>
      <c r="E22" s="29"/>
      <c r="F22" s="34"/>
      <c r="G22" s="39" t="s">
        <v>43</v>
      </c>
      <c r="H22" s="58"/>
      <c r="I22" s="58"/>
      <c r="J22" s="58"/>
      <c r="K22" s="58"/>
      <c r="L22" s="41">
        <f>SUM(L23:L28)</f>
        <v>3.5189999999999996E-3</v>
      </c>
      <c r="M22" s="42">
        <f>M23</f>
        <v>9000</v>
      </c>
      <c r="N22" s="40"/>
      <c r="O22" s="40"/>
      <c r="P22" s="40"/>
      <c r="Q22" s="40"/>
      <c r="R22" s="40"/>
      <c r="S22" s="40"/>
      <c r="T22" s="40"/>
      <c r="U22" s="40"/>
      <c r="V22" s="42">
        <f t="shared" ref="V22:X22" si="20">V23</f>
        <v>9000</v>
      </c>
      <c r="W22" s="42">
        <f t="shared" si="20"/>
        <v>0</v>
      </c>
      <c r="X22" s="42">
        <f t="shared" si="20"/>
        <v>9000</v>
      </c>
      <c r="Y22" s="43">
        <f>SUMPRODUCT(Y23:Y28,$K23:$K28)</f>
        <v>1.0000000000000002</v>
      </c>
      <c r="Z22" s="43">
        <f t="shared" ref="Z22" si="21">SUMPRODUCT(Z23:Z28,$K23:$K28)</f>
        <v>0</v>
      </c>
      <c r="AA22" s="43">
        <f>SUMPRODUCT(AA23:AA28,$K23:$K28)</f>
        <v>1.0000000000000002</v>
      </c>
    </row>
    <row r="23" spans="1:27" ht="18.75" customHeight="1" outlineLevel="6" x14ac:dyDescent="0.3">
      <c r="B23" s="44"/>
      <c r="C23" s="18"/>
      <c r="D23" s="24"/>
      <c r="E23" s="29"/>
      <c r="F23" s="34"/>
      <c r="G23" s="39"/>
      <c r="H23" s="46" t="s">
        <v>44</v>
      </c>
      <c r="I23" s="46" t="s">
        <v>45</v>
      </c>
      <c r="J23" s="47" t="s">
        <v>30</v>
      </c>
      <c r="K23" s="48">
        <v>0.05</v>
      </c>
      <c r="L23" s="49">
        <f>VLOOKUP(H23,[4]Sheet2!K:P,6,0)</f>
        <v>1.7594999999999999E-4</v>
      </c>
      <c r="M23" s="50">
        <f>VLOOKUP(H23,[4]Sheet2!K:Q,7,0)</f>
        <v>9000</v>
      </c>
      <c r="N23" s="51"/>
      <c r="O23" s="51"/>
      <c r="P23" s="51"/>
      <c r="Q23" s="51"/>
      <c r="R23" s="51"/>
      <c r="S23" s="51"/>
      <c r="T23" s="51"/>
      <c r="U23" s="51"/>
      <c r="V23" s="52">
        <f>VLOOKUP(H23,[4]Sheet2!K:N,4,0)</f>
        <v>9000</v>
      </c>
      <c r="W23" s="52">
        <f t="shared" ref="W23:W28" si="22">X23-V23</f>
        <v>0</v>
      </c>
      <c r="X23" s="52">
        <f>VLOOKUP(H23,[4]Sheet2!K:N,4,0)</f>
        <v>9000</v>
      </c>
      <c r="Y23" s="53">
        <f t="shared" ref="Y23:Y28" si="23">IFERROR(V23/M23,1)</f>
        <v>1</v>
      </c>
      <c r="Z23" s="53">
        <f t="shared" ref="Z23:Z28" si="24">IFERROR(W23/M23,1)</f>
        <v>0</v>
      </c>
      <c r="AA23" s="53">
        <f t="shared" ref="AA23:AA28" si="25">IFERROR(X23/M23,1)</f>
        <v>1</v>
      </c>
    </row>
    <row r="24" spans="1:27" ht="18.75" customHeight="1" outlineLevel="6" x14ac:dyDescent="0.3">
      <c r="A24" s="60" t="s">
        <v>46</v>
      </c>
      <c r="B24" s="44"/>
      <c r="C24" s="18"/>
      <c r="D24" s="24"/>
      <c r="E24" s="29"/>
      <c r="F24" s="34"/>
      <c r="G24" s="39"/>
      <c r="H24" s="46" t="s">
        <v>47</v>
      </c>
      <c r="I24" s="46" t="s">
        <v>48</v>
      </c>
      <c r="J24" s="47" t="s">
        <v>30</v>
      </c>
      <c r="K24" s="48">
        <v>0.5</v>
      </c>
      <c r="L24" s="49">
        <f>VLOOKUP(H24,[4]Sheet2!K:P,6,0)</f>
        <v>1.7595E-3</v>
      </c>
      <c r="M24" s="50">
        <v>9000</v>
      </c>
      <c r="N24" s="51"/>
      <c r="O24" s="51"/>
      <c r="P24" s="51"/>
      <c r="Q24" s="51"/>
      <c r="R24" s="51"/>
      <c r="S24" s="51"/>
      <c r="T24" s="51"/>
      <c r="U24" s="51"/>
      <c r="V24" s="52">
        <f>VLOOKUP(H24,[4]Sheet2!K:N,4,0)</f>
        <v>9000</v>
      </c>
      <c r="W24" s="52">
        <f t="shared" si="22"/>
        <v>0</v>
      </c>
      <c r="X24" s="52">
        <f>VLOOKUP(H24,[4]Sheet2!K:N,4,0)</f>
        <v>9000</v>
      </c>
      <c r="Y24" s="53">
        <f t="shared" si="23"/>
        <v>1</v>
      </c>
      <c r="Z24" s="53">
        <f t="shared" si="24"/>
        <v>0</v>
      </c>
      <c r="AA24" s="53">
        <f t="shared" si="25"/>
        <v>1</v>
      </c>
    </row>
    <row r="25" spans="1:27" ht="18.75" customHeight="1" outlineLevel="6" x14ac:dyDescent="0.3">
      <c r="B25" s="44"/>
      <c r="C25" s="18"/>
      <c r="D25" s="24"/>
      <c r="E25" s="29"/>
      <c r="F25" s="34"/>
      <c r="G25" s="39"/>
      <c r="H25" s="46" t="s">
        <v>49</v>
      </c>
      <c r="I25" s="46" t="s">
        <v>50</v>
      </c>
      <c r="J25" s="47" t="s">
        <v>30</v>
      </c>
      <c r="K25" s="48">
        <v>0.15</v>
      </c>
      <c r="L25" s="49">
        <f>VLOOKUP(H25,[4]Sheet2!K:P,6,0)</f>
        <v>5.2784999999999996E-4</v>
      </c>
      <c r="M25" s="50">
        <f>VLOOKUP(H25,[4]Sheet2!K:Q,7,0)</f>
        <v>9000</v>
      </c>
      <c r="N25" s="51"/>
      <c r="O25" s="51"/>
      <c r="P25" s="51"/>
      <c r="Q25" s="51"/>
      <c r="R25" s="51"/>
      <c r="S25" s="51"/>
      <c r="T25" s="51"/>
      <c r="U25" s="51"/>
      <c r="V25" s="52">
        <f>VLOOKUP(H25,[4]Sheet2!K:N,4,0)</f>
        <v>9000</v>
      </c>
      <c r="W25" s="52">
        <f t="shared" si="22"/>
        <v>0</v>
      </c>
      <c r="X25" s="52">
        <f>VLOOKUP(H25,[4]Sheet2!K:N,4,0)</f>
        <v>9000</v>
      </c>
      <c r="Y25" s="53">
        <f t="shared" si="23"/>
        <v>1</v>
      </c>
      <c r="Z25" s="53">
        <f t="shared" si="24"/>
        <v>0</v>
      </c>
      <c r="AA25" s="53">
        <f t="shared" si="25"/>
        <v>1</v>
      </c>
    </row>
    <row r="26" spans="1:27" ht="18.75" customHeight="1" outlineLevel="6" x14ac:dyDescent="0.3">
      <c r="B26" s="44"/>
      <c r="C26" s="18"/>
      <c r="D26" s="24"/>
      <c r="E26" s="29"/>
      <c r="F26" s="34"/>
      <c r="G26" s="39"/>
      <c r="H26" s="46" t="s">
        <v>51</v>
      </c>
      <c r="I26" s="46" t="s">
        <v>52</v>
      </c>
      <c r="J26" s="47" t="s">
        <v>30</v>
      </c>
      <c r="K26" s="48">
        <v>0.2</v>
      </c>
      <c r="L26" s="49">
        <f>VLOOKUP(H26,[4]Sheet2!K:P,6,0)</f>
        <v>7.0379999999999998E-4</v>
      </c>
      <c r="M26" s="50">
        <f>VLOOKUP(H26,[4]Sheet2!K:Q,7,0)</f>
        <v>9000</v>
      </c>
      <c r="N26" s="51"/>
      <c r="O26" s="51"/>
      <c r="P26" s="51"/>
      <c r="Q26" s="51"/>
      <c r="R26" s="51"/>
      <c r="S26" s="51"/>
      <c r="T26" s="51"/>
      <c r="U26" s="51"/>
      <c r="V26" s="52">
        <f>VLOOKUP(H26,[4]Sheet2!K:N,4,0)</f>
        <v>9000</v>
      </c>
      <c r="W26" s="52">
        <f t="shared" si="22"/>
        <v>0</v>
      </c>
      <c r="X26" s="52">
        <f>VLOOKUP(H26,[4]Sheet2!K:N,4,0)</f>
        <v>9000</v>
      </c>
      <c r="Y26" s="53">
        <f t="shared" si="23"/>
        <v>1</v>
      </c>
      <c r="Z26" s="53">
        <f t="shared" si="24"/>
        <v>0</v>
      </c>
      <c r="AA26" s="53">
        <f t="shared" si="25"/>
        <v>1</v>
      </c>
    </row>
    <row r="27" spans="1:27" ht="18.75" customHeight="1" outlineLevel="6" x14ac:dyDescent="0.3">
      <c r="B27" s="44"/>
      <c r="C27" s="18"/>
      <c r="D27" s="24"/>
      <c r="E27" s="29"/>
      <c r="F27" s="34"/>
      <c r="G27" s="39"/>
      <c r="H27" s="46" t="s">
        <v>53</v>
      </c>
      <c r="I27" s="46" t="s">
        <v>54</v>
      </c>
      <c r="J27" s="47" t="s">
        <v>30</v>
      </c>
      <c r="K27" s="48">
        <v>0.05</v>
      </c>
      <c r="L27" s="49">
        <f>VLOOKUP(H27,[4]Sheet2!K:P,6,0)</f>
        <v>1.7594999999999999E-4</v>
      </c>
      <c r="M27" s="50">
        <f>VLOOKUP(H27,[4]Sheet2!K:Q,7,0)</f>
        <v>9000</v>
      </c>
      <c r="N27" s="51"/>
      <c r="O27" s="51"/>
      <c r="P27" s="51"/>
      <c r="Q27" s="51"/>
      <c r="R27" s="51"/>
      <c r="S27" s="51"/>
      <c r="T27" s="51"/>
      <c r="U27" s="51"/>
      <c r="V27" s="52">
        <f>VLOOKUP(H27,[4]Sheet2!K:N,4,0)</f>
        <v>9000</v>
      </c>
      <c r="W27" s="52">
        <f t="shared" si="22"/>
        <v>0</v>
      </c>
      <c r="X27" s="52">
        <f>VLOOKUP(H27,[4]Sheet2!K:N,4,0)</f>
        <v>9000</v>
      </c>
      <c r="Y27" s="53">
        <f t="shared" si="23"/>
        <v>1</v>
      </c>
      <c r="Z27" s="53">
        <f t="shared" si="24"/>
        <v>0</v>
      </c>
      <c r="AA27" s="53">
        <f t="shared" si="25"/>
        <v>1</v>
      </c>
    </row>
    <row r="28" spans="1:27" ht="18.75" customHeight="1" outlineLevel="6" x14ac:dyDescent="0.3">
      <c r="B28" s="44"/>
      <c r="C28" s="18"/>
      <c r="D28" s="24"/>
      <c r="E28" s="29"/>
      <c r="F28" s="34"/>
      <c r="G28" s="39"/>
      <c r="H28" s="46" t="s">
        <v>55</v>
      </c>
      <c r="I28" s="46" t="s">
        <v>56</v>
      </c>
      <c r="J28" s="47" t="s">
        <v>30</v>
      </c>
      <c r="K28" s="48">
        <v>0.05</v>
      </c>
      <c r="L28" s="49">
        <f>VLOOKUP(H28,[4]Sheet2!K:P,6,0)</f>
        <v>1.7594999999999999E-4</v>
      </c>
      <c r="M28" s="50">
        <f>VLOOKUP(H28,[4]Sheet2!K:Q,7,0)</f>
        <v>9000</v>
      </c>
      <c r="N28" s="51"/>
      <c r="O28" s="51"/>
      <c r="P28" s="51"/>
      <c r="Q28" s="51"/>
      <c r="R28" s="51"/>
      <c r="S28" s="51"/>
      <c r="T28" s="51"/>
      <c r="U28" s="51"/>
      <c r="V28" s="52">
        <f>VLOOKUP(H28,[4]Sheet2!K:N,4,0)</f>
        <v>9000</v>
      </c>
      <c r="W28" s="52">
        <f t="shared" si="22"/>
        <v>0</v>
      </c>
      <c r="X28" s="52">
        <f>VLOOKUP(H28,[4]Sheet2!K:N,4,0)</f>
        <v>9000</v>
      </c>
      <c r="Y28" s="53">
        <f t="shared" si="23"/>
        <v>1</v>
      </c>
      <c r="Z28" s="53">
        <f t="shared" si="24"/>
        <v>0</v>
      </c>
      <c r="AA28" s="53">
        <f t="shared" si="25"/>
        <v>1</v>
      </c>
    </row>
    <row r="29" spans="1:27" ht="18.75" customHeight="1" outlineLevel="5" x14ac:dyDescent="0.3">
      <c r="B29" s="12"/>
      <c r="C29" s="18"/>
      <c r="D29" s="24"/>
      <c r="E29" s="29"/>
      <c r="F29" s="34"/>
      <c r="G29" s="39" t="s">
        <v>57</v>
      </c>
      <c r="H29" s="58"/>
      <c r="I29" s="58"/>
      <c r="J29" s="58"/>
      <c r="K29" s="58"/>
      <c r="L29" s="41">
        <f>SUM(L30:L37)</f>
        <v>1.7421450000000002E-2</v>
      </c>
      <c r="M29" s="42">
        <f>M30</f>
        <v>40000</v>
      </c>
      <c r="N29" s="40"/>
      <c r="O29" s="40"/>
      <c r="P29" s="40"/>
      <c r="Q29" s="40"/>
      <c r="R29" s="40"/>
      <c r="S29" s="40"/>
      <c r="T29" s="40"/>
      <c r="U29" s="40"/>
      <c r="V29" s="42">
        <f>V30</f>
        <v>40000</v>
      </c>
      <c r="W29" s="42">
        <f t="shared" ref="W29:X29" si="26">W30</f>
        <v>0</v>
      </c>
      <c r="X29" s="42">
        <f t="shared" si="26"/>
        <v>40000</v>
      </c>
      <c r="Y29" s="43">
        <f>SUMPRODUCT(Y30:Y37,$K30:$K37)</f>
        <v>1</v>
      </c>
      <c r="Z29" s="43">
        <f t="shared" ref="Z29:AA29" si="27">SUMPRODUCT(Z30:Z37,$K30:$K37)</f>
        <v>0</v>
      </c>
      <c r="AA29" s="43">
        <f t="shared" si="27"/>
        <v>1</v>
      </c>
    </row>
    <row r="30" spans="1:27" ht="18.75" customHeight="1" outlineLevel="6" x14ac:dyDescent="0.3">
      <c r="B30" s="44"/>
      <c r="C30" s="18"/>
      <c r="D30" s="24"/>
      <c r="E30" s="29"/>
      <c r="F30" s="34"/>
      <c r="G30" s="39"/>
      <c r="H30" s="46" t="s">
        <v>58</v>
      </c>
      <c r="I30" s="46" t="s">
        <v>45</v>
      </c>
      <c r="J30" s="47" t="s">
        <v>59</v>
      </c>
      <c r="K30" s="48">
        <v>0.05</v>
      </c>
      <c r="L30" s="49">
        <f>VLOOKUP(H30,[4]Sheet2!K:P,6,0)</f>
        <v>8.7107250000000003E-4</v>
      </c>
      <c r="M30" s="50">
        <f>VLOOKUP(H30,[4]Sheet2!K:Q,7,0)</f>
        <v>40000</v>
      </c>
      <c r="N30" s="51"/>
      <c r="O30" s="51"/>
      <c r="P30" s="51"/>
      <c r="Q30" s="51"/>
      <c r="R30" s="51"/>
      <c r="S30" s="51"/>
      <c r="T30" s="51"/>
      <c r="U30" s="51"/>
      <c r="V30" s="52">
        <f>VLOOKUP(H30,[4]Sheet2!K:N,4,0)</f>
        <v>40000</v>
      </c>
      <c r="W30" s="52">
        <f t="shared" ref="W30:W37" si="28">X30-V30</f>
        <v>0</v>
      </c>
      <c r="X30" s="52">
        <f>VLOOKUP(H30,[4]Sheet2!K:N,4,0)</f>
        <v>40000</v>
      </c>
      <c r="Y30" s="53">
        <f t="shared" ref="Y30:Y37" si="29">IFERROR(V30/M30,1)</f>
        <v>1</v>
      </c>
      <c r="Z30" s="53">
        <f t="shared" ref="Z30:Z37" si="30">IFERROR(W30/M30,1)</f>
        <v>0</v>
      </c>
      <c r="AA30" s="53">
        <f t="shared" ref="AA30:AA37" si="31">IFERROR(X30/M30,1)</f>
        <v>1</v>
      </c>
    </row>
    <row r="31" spans="1:27" ht="18.75" customHeight="1" outlineLevel="6" x14ac:dyDescent="0.3">
      <c r="B31" s="44"/>
      <c r="C31" s="18"/>
      <c r="D31" s="24"/>
      <c r="E31" s="29"/>
      <c r="F31" s="34"/>
      <c r="G31" s="39"/>
      <c r="H31" s="46" t="s">
        <v>60</v>
      </c>
      <c r="I31" s="46" t="s">
        <v>61</v>
      </c>
      <c r="J31" s="47" t="s">
        <v>59</v>
      </c>
      <c r="K31" s="48">
        <v>0.05</v>
      </c>
      <c r="L31" s="49">
        <f>VLOOKUP(H31,[4]Sheet2!K:P,6,0)</f>
        <v>8.7107250000000003E-4</v>
      </c>
      <c r="M31" s="50">
        <f>VLOOKUP(H31,[4]Sheet2!K:Q,7,0)</f>
        <v>40000</v>
      </c>
      <c r="N31" s="51"/>
      <c r="O31" s="51"/>
      <c r="P31" s="51"/>
      <c r="Q31" s="51"/>
      <c r="R31" s="51"/>
      <c r="S31" s="51"/>
      <c r="T31" s="51"/>
      <c r="U31" s="51"/>
      <c r="V31" s="52">
        <f>VLOOKUP(H31,[4]Sheet2!K:N,4,0)</f>
        <v>40000</v>
      </c>
      <c r="W31" s="52">
        <f t="shared" si="28"/>
        <v>0</v>
      </c>
      <c r="X31" s="52">
        <f>VLOOKUP(H31,[4]Sheet2!K:N,4,0)</f>
        <v>40000</v>
      </c>
      <c r="Y31" s="53">
        <f t="shared" si="29"/>
        <v>1</v>
      </c>
      <c r="Z31" s="53">
        <f t="shared" si="30"/>
        <v>0</v>
      </c>
      <c r="AA31" s="53">
        <f t="shared" si="31"/>
        <v>1</v>
      </c>
    </row>
    <row r="32" spans="1:27" ht="18.75" customHeight="1" outlineLevel="6" x14ac:dyDescent="0.3">
      <c r="A32" s="60" t="s">
        <v>46</v>
      </c>
      <c r="B32" s="44"/>
      <c r="C32" s="18"/>
      <c r="D32" s="24"/>
      <c r="E32" s="29"/>
      <c r="F32" s="34"/>
      <c r="G32" s="39"/>
      <c r="H32" s="46" t="s">
        <v>62</v>
      </c>
      <c r="I32" s="46" t="s">
        <v>63</v>
      </c>
      <c r="J32" s="47" t="s">
        <v>59</v>
      </c>
      <c r="K32" s="48">
        <v>0.5</v>
      </c>
      <c r="L32" s="49">
        <f>VLOOKUP(H32,[4]Sheet2!K:P,6,0)</f>
        <v>8.7107250000000008E-3</v>
      </c>
      <c r="M32" s="50">
        <f>VLOOKUP(H32,[4]Sheet2!K:Q,7,0)</f>
        <v>40000</v>
      </c>
      <c r="N32" s="51"/>
      <c r="O32" s="51"/>
      <c r="P32" s="51"/>
      <c r="Q32" s="51"/>
      <c r="R32" s="51"/>
      <c r="S32" s="51"/>
      <c r="T32" s="51"/>
      <c r="U32" s="51"/>
      <c r="V32" s="52">
        <f>VLOOKUP(H32,[4]Sheet2!K:N,4,0)</f>
        <v>40000</v>
      </c>
      <c r="W32" s="52">
        <f t="shared" si="28"/>
        <v>0</v>
      </c>
      <c r="X32" s="52">
        <f>VLOOKUP(H32,[4]Sheet2!K:N,4,0)</f>
        <v>40000</v>
      </c>
      <c r="Y32" s="53">
        <f t="shared" si="29"/>
        <v>1</v>
      </c>
      <c r="Z32" s="53">
        <f t="shared" si="30"/>
        <v>0</v>
      </c>
      <c r="AA32" s="53">
        <f t="shared" si="31"/>
        <v>1</v>
      </c>
    </row>
    <row r="33" spans="1:27" ht="18.75" customHeight="1" outlineLevel="6" x14ac:dyDescent="0.3">
      <c r="B33" s="44"/>
      <c r="C33" s="18"/>
      <c r="D33" s="24"/>
      <c r="E33" s="29"/>
      <c r="F33" s="34"/>
      <c r="G33" s="39"/>
      <c r="H33" s="46" t="s">
        <v>64</v>
      </c>
      <c r="I33" s="46" t="s">
        <v>65</v>
      </c>
      <c r="J33" s="47" t="s">
        <v>59</v>
      </c>
      <c r="K33" s="48">
        <v>0.1</v>
      </c>
      <c r="L33" s="49">
        <f>VLOOKUP(H33,[4]Sheet2!K:P,6,0)</f>
        <v>1.7421450000000001E-3</v>
      </c>
      <c r="M33" s="50">
        <f>VLOOKUP(H33,[4]Sheet2!K:Q,7,0)</f>
        <v>40000</v>
      </c>
      <c r="N33" s="51"/>
      <c r="O33" s="51"/>
      <c r="P33" s="51"/>
      <c r="Q33" s="51"/>
      <c r="R33" s="51"/>
      <c r="S33" s="51"/>
      <c r="T33" s="51"/>
      <c r="U33" s="51"/>
      <c r="V33" s="52">
        <f>VLOOKUP(H33,[4]Sheet2!K:N,4,0)</f>
        <v>40000</v>
      </c>
      <c r="W33" s="52">
        <f t="shared" si="28"/>
        <v>0</v>
      </c>
      <c r="X33" s="52">
        <f>VLOOKUP(H33,[4]Sheet2!K:N,4,0)</f>
        <v>40000</v>
      </c>
      <c r="Y33" s="53">
        <f t="shared" si="29"/>
        <v>1</v>
      </c>
      <c r="Z33" s="53">
        <f t="shared" si="30"/>
        <v>0</v>
      </c>
      <c r="AA33" s="53">
        <f t="shared" si="31"/>
        <v>1</v>
      </c>
    </row>
    <row r="34" spans="1:27" ht="18.75" customHeight="1" outlineLevel="6" x14ac:dyDescent="0.3">
      <c r="B34" s="44"/>
      <c r="C34" s="18"/>
      <c r="D34" s="24"/>
      <c r="E34" s="29"/>
      <c r="F34" s="34"/>
      <c r="G34" s="39"/>
      <c r="H34" s="46" t="s">
        <v>66</v>
      </c>
      <c r="I34" s="46" t="s">
        <v>67</v>
      </c>
      <c r="J34" s="47" t="s">
        <v>59</v>
      </c>
      <c r="K34" s="48">
        <v>0.15</v>
      </c>
      <c r="L34" s="49">
        <f>VLOOKUP(H34,[4]Sheet2!K:P,6,0)</f>
        <v>2.6132175000000003E-3</v>
      </c>
      <c r="M34" s="50">
        <f>VLOOKUP(H34,[4]Sheet2!K:Q,7,0)</f>
        <v>40000</v>
      </c>
      <c r="N34" s="51"/>
      <c r="O34" s="51"/>
      <c r="P34" s="51"/>
      <c r="Q34" s="51"/>
      <c r="R34" s="51"/>
      <c r="S34" s="51"/>
      <c r="T34" s="51"/>
      <c r="U34" s="51"/>
      <c r="V34" s="52">
        <f>VLOOKUP(H34,[4]Sheet2!K:N,4,0)</f>
        <v>40000</v>
      </c>
      <c r="W34" s="52">
        <f t="shared" si="28"/>
        <v>0</v>
      </c>
      <c r="X34" s="52">
        <f>VLOOKUP(H34,[4]Sheet2!K:N,4,0)</f>
        <v>40000</v>
      </c>
      <c r="Y34" s="53">
        <f t="shared" si="29"/>
        <v>1</v>
      </c>
      <c r="Z34" s="53">
        <f t="shared" si="30"/>
        <v>0</v>
      </c>
      <c r="AA34" s="53">
        <f t="shared" si="31"/>
        <v>1</v>
      </c>
    </row>
    <row r="35" spans="1:27" ht="18.75" customHeight="1" outlineLevel="6" x14ac:dyDescent="0.3">
      <c r="B35" s="44"/>
      <c r="C35" s="18"/>
      <c r="D35" s="24"/>
      <c r="E35" s="29"/>
      <c r="F35" s="34"/>
      <c r="G35" s="39"/>
      <c r="H35" s="46" t="s">
        <v>68</v>
      </c>
      <c r="I35" s="46" t="s">
        <v>69</v>
      </c>
      <c r="J35" s="47" t="s">
        <v>59</v>
      </c>
      <c r="K35" s="48">
        <v>0.05</v>
      </c>
      <c r="L35" s="49">
        <f>VLOOKUP(H35,[4]Sheet2!K:P,6,0)</f>
        <v>8.7107250000000003E-4</v>
      </c>
      <c r="M35" s="50">
        <f>VLOOKUP(H35,[4]Sheet2!K:Q,7,0)</f>
        <v>40000</v>
      </c>
      <c r="N35" s="51"/>
      <c r="O35" s="51"/>
      <c r="P35" s="51"/>
      <c r="Q35" s="51"/>
      <c r="R35" s="51"/>
      <c r="S35" s="51"/>
      <c r="T35" s="51"/>
      <c r="U35" s="51"/>
      <c r="V35" s="52">
        <f>VLOOKUP(H35,[4]Sheet2!K:N,4,0)</f>
        <v>40000</v>
      </c>
      <c r="W35" s="52">
        <f t="shared" si="28"/>
        <v>0</v>
      </c>
      <c r="X35" s="52">
        <f>VLOOKUP(H35,[4]Sheet2!K:N,4,0)</f>
        <v>40000</v>
      </c>
      <c r="Y35" s="53">
        <f t="shared" si="29"/>
        <v>1</v>
      </c>
      <c r="Z35" s="53">
        <f t="shared" si="30"/>
        <v>0</v>
      </c>
      <c r="AA35" s="53">
        <f t="shared" si="31"/>
        <v>1</v>
      </c>
    </row>
    <row r="36" spans="1:27" ht="18.75" customHeight="1" outlineLevel="6" x14ac:dyDescent="0.3">
      <c r="B36" s="44"/>
      <c r="C36" s="18"/>
      <c r="D36" s="24"/>
      <c r="E36" s="29"/>
      <c r="F36" s="34"/>
      <c r="G36" s="39"/>
      <c r="H36" s="46" t="s">
        <v>70</v>
      </c>
      <c r="I36" s="46" t="s">
        <v>71</v>
      </c>
      <c r="J36" s="47" t="s">
        <v>59</v>
      </c>
      <c r="K36" s="48">
        <v>0.05</v>
      </c>
      <c r="L36" s="49">
        <f>VLOOKUP(H36,[4]Sheet2!K:P,6,0)</f>
        <v>8.7107250000000003E-4</v>
      </c>
      <c r="M36" s="50">
        <f>VLOOKUP(H36,[4]Sheet2!K:Q,7,0)</f>
        <v>40000</v>
      </c>
      <c r="N36" s="51"/>
      <c r="O36" s="51"/>
      <c r="P36" s="51"/>
      <c r="Q36" s="51"/>
      <c r="R36" s="51"/>
      <c r="S36" s="51"/>
      <c r="T36" s="51"/>
      <c r="U36" s="51"/>
      <c r="V36" s="52">
        <f>VLOOKUP(H36,[4]Sheet2!K:N,4,0)</f>
        <v>40000</v>
      </c>
      <c r="W36" s="52">
        <f t="shared" si="28"/>
        <v>0</v>
      </c>
      <c r="X36" s="52">
        <f>VLOOKUP(H36,[4]Sheet2!K:N,4,0)</f>
        <v>40000</v>
      </c>
      <c r="Y36" s="53">
        <f t="shared" si="29"/>
        <v>1</v>
      </c>
      <c r="Z36" s="53">
        <f t="shared" si="30"/>
        <v>0</v>
      </c>
      <c r="AA36" s="53">
        <f t="shared" si="31"/>
        <v>1</v>
      </c>
    </row>
    <row r="37" spans="1:27" ht="18.75" customHeight="1" outlineLevel="6" x14ac:dyDescent="0.3">
      <c r="B37" s="44"/>
      <c r="C37" s="18"/>
      <c r="D37" s="24"/>
      <c r="E37" s="29"/>
      <c r="F37" s="34"/>
      <c r="G37" s="39"/>
      <c r="H37" s="46" t="s">
        <v>72</v>
      </c>
      <c r="I37" s="46" t="s">
        <v>73</v>
      </c>
      <c r="J37" s="47" t="s">
        <v>59</v>
      </c>
      <c r="K37" s="48">
        <v>0.05</v>
      </c>
      <c r="L37" s="49">
        <f>VLOOKUP(H37,[4]Sheet2!K:P,6,0)</f>
        <v>8.7107250000000003E-4</v>
      </c>
      <c r="M37" s="50">
        <f>VLOOKUP(H37,[4]Sheet2!K:Q,7,0)</f>
        <v>40000</v>
      </c>
      <c r="N37" s="51"/>
      <c r="O37" s="51"/>
      <c r="P37" s="51"/>
      <c r="Q37" s="51"/>
      <c r="R37" s="51"/>
      <c r="S37" s="51"/>
      <c r="T37" s="51"/>
      <c r="U37" s="51"/>
      <c r="V37" s="52">
        <f>VLOOKUP(H37,[4]Sheet2!K:N,4,0)</f>
        <v>40000</v>
      </c>
      <c r="W37" s="52">
        <f t="shared" si="28"/>
        <v>0</v>
      </c>
      <c r="X37" s="52">
        <f>VLOOKUP(H37,[4]Sheet2!K:N,4,0)</f>
        <v>40000</v>
      </c>
      <c r="Y37" s="53">
        <f t="shared" si="29"/>
        <v>1</v>
      </c>
      <c r="Z37" s="53">
        <f t="shared" si="30"/>
        <v>0</v>
      </c>
      <c r="AA37" s="53">
        <f t="shared" si="31"/>
        <v>1</v>
      </c>
    </row>
    <row r="38" spans="1:27" ht="18.75" customHeight="1" outlineLevel="5" x14ac:dyDescent="0.3">
      <c r="B38" s="12"/>
      <c r="C38" s="18"/>
      <c r="D38" s="24"/>
      <c r="E38" s="29"/>
      <c r="F38" s="34"/>
      <c r="G38" s="39" t="s">
        <v>74</v>
      </c>
      <c r="H38" s="58"/>
      <c r="I38" s="58"/>
      <c r="J38" s="58"/>
      <c r="K38" s="58"/>
      <c r="L38" s="41">
        <f>SUM(L39:L46)</f>
        <v>1.6954199999999999E-2</v>
      </c>
      <c r="M38" s="42">
        <f>M39</f>
        <v>37000</v>
      </c>
      <c r="N38" s="40"/>
      <c r="O38" s="40"/>
      <c r="P38" s="40"/>
      <c r="Q38" s="40"/>
      <c r="R38" s="40"/>
      <c r="S38" s="40"/>
      <c r="T38" s="40"/>
      <c r="U38" s="40"/>
      <c r="V38" s="42">
        <f t="shared" ref="V38:X38" si="32">V39</f>
        <v>37000</v>
      </c>
      <c r="W38" s="42">
        <f t="shared" si="32"/>
        <v>0</v>
      </c>
      <c r="X38" s="42">
        <f t="shared" si="32"/>
        <v>37000</v>
      </c>
      <c r="Y38" s="43">
        <f>SUMPRODUCT(Y39:Y46,$K39:$K46)</f>
        <v>1</v>
      </c>
      <c r="Z38" s="43">
        <f t="shared" ref="Z38:AA38" si="33">SUMPRODUCT(Z39:Z46,$K39:$K46)</f>
        <v>0</v>
      </c>
      <c r="AA38" s="43">
        <f t="shared" si="33"/>
        <v>1</v>
      </c>
    </row>
    <row r="39" spans="1:27" ht="18.75" customHeight="1" outlineLevel="6" x14ac:dyDescent="0.3">
      <c r="B39" s="44"/>
      <c r="C39" s="18"/>
      <c r="D39" s="24"/>
      <c r="E39" s="29"/>
      <c r="F39" s="34"/>
      <c r="G39" s="39"/>
      <c r="H39" s="46" t="s">
        <v>75</v>
      </c>
      <c r="I39" s="46" t="s">
        <v>45</v>
      </c>
      <c r="J39" s="47" t="s">
        <v>59</v>
      </c>
      <c r="K39" s="48">
        <v>0.05</v>
      </c>
      <c r="L39" s="49">
        <f>VLOOKUP(H39,[4]Sheet2!K:P,6,0)</f>
        <v>8.4771E-4</v>
      </c>
      <c r="M39" s="50">
        <f>VLOOKUP(H39,[4]Sheet2!K:Q,7,0)</f>
        <v>37000</v>
      </c>
      <c r="N39" s="51"/>
      <c r="O39" s="51"/>
      <c r="P39" s="51"/>
      <c r="Q39" s="51"/>
      <c r="R39" s="51"/>
      <c r="S39" s="51"/>
      <c r="T39" s="51"/>
      <c r="U39" s="51"/>
      <c r="V39" s="52">
        <f>VLOOKUP(H39,[4]Sheet2!K:N,4,0)</f>
        <v>37000</v>
      </c>
      <c r="W39" s="52">
        <f t="shared" ref="W39:W46" si="34">X39-V39</f>
        <v>0</v>
      </c>
      <c r="X39" s="52">
        <f>VLOOKUP(H39,[4]Sheet2!K:N,4,0)</f>
        <v>37000</v>
      </c>
      <c r="Y39" s="53">
        <f t="shared" ref="Y39:Y46" si="35">IFERROR(V39/M39,1)</f>
        <v>1</v>
      </c>
      <c r="Z39" s="53">
        <f t="shared" ref="Z39:Z46" si="36">IFERROR(W39/M39,1)</f>
        <v>0</v>
      </c>
      <c r="AA39" s="53">
        <f t="shared" ref="AA39:AA46" si="37">IFERROR(X39/M39,1)</f>
        <v>1</v>
      </c>
    </row>
    <row r="40" spans="1:27" ht="18.75" customHeight="1" outlineLevel="6" x14ac:dyDescent="0.3">
      <c r="B40" s="44"/>
      <c r="C40" s="18"/>
      <c r="D40" s="24"/>
      <c r="E40" s="29"/>
      <c r="F40" s="34"/>
      <c r="G40" s="39"/>
      <c r="H40" s="46" t="s">
        <v>76</v>
      </c>
      <c r="I40" s="46" t="s">
        <v>61</v>
      </c>
      <c r="J40" s="47" t="s">
        <v>59</v>
      </c>
      <c r="K40" s="48">
        <v>0.05</v>
      </c>
      <c r="L40" s="49">
        <f>VLOOKUP(H40,[4]Sheet2!K:P,6,0)</f>
        <v>8.4771E-4</v>
      </c>
      <c r="M40" s="50">
        <f>VLOOKUP(H40,[4]Sheet2!K:Q,7,0)</f>
        <v>37000</v>
      </c>
      <c r="N40" s="51"/>
      <c r="O40" s="51"/>
      <c r="P40" s="51"/>
      <c r="Q40" s="51"/>
      <c r="R40" s="51"/>
      <c r="S40" s="51"/>
      <c r="T40" s="51"/>
      <c r="U40" s="51"/>
      <c r="V40" s="52">
        <f>VLOOKUP(H40,[4]Sheet2!K:N,4,0)</f>
        <v>37000</v>
      </c>
      <c r="W40" s="52">
        <f t="shared" si="34"/>
        <v>0</v>
      </c>
      <c r="X40" s="52">
        <f>VLOOKUP(H40,[4]Sheet2!K:N,4,0)</f>
        <v>37000</v>
      </c>
      <c r="Y40" s="53">
        <f t="shared" si="35"/>
        <v>1</v>
      </c>
      <c r="Z40" s="53">
        <f t="shared" si="36"/>
        <v>0</v>
      </c>
      <c r="AA40" s="53">
        <f t="shared" si="37"/>
        <v>1</v>
      </c>
    </row>
    <row r="41" spans="1:27" ht="18.75" customHeight="1" outlineLevel="6" x14ac:dyDescent="0.3">
      <c r="A41" s="60" t="s">
        <v>46</v>
      </c>
      <c r="B41" s="44"/>
      <c r="C41" s="18"/>
      <c r="D41" s="24"/>
      <c r="E41" s="29"/>
      <c r="F41" s="34"/>
      <c r="G41" s="39"/>
      <c r="H41" s="46" t="s">
        <v>77</v>
      </c>
      <c r="I41" s="46" t="s">
        <v>63</v>
      </c>
      <c r="J41" s="47" t="s">
        <v>59</v>
      </c>
      <c r="K41" s="48">
        <v>0.5</v>
      </c>
      <c r="L41" s="49">
        <f>VLOOKUP(H41,[4]Sheet2!K:P,6,0)</f>
        <v>8.4770999999999996E-3</v>
      </c>
      <c r="M41" s="50">
        <f>VLOOKUP(H41,[4]Sheet2!K:Q,7,0)</f>
        <v>37000</v>
      </c>
      <c r="N41" s="51"/>
      <c r="O41" s="51"/>
      <c r="P41" s="51"/>
      <c r="Q41" s="51"/>
      <c r="R41" s="51"/>
      <c r="S41" s="51"/>
      <c r="T41" s="51"/>
      <c r="U41" s="51"/>
      <c r="V41" s="52">
        <f>VLOOKUP(H41,[4]Sheet2!K:N,4,0)</f>
        <v>37000</v>
      </c>
      <c r="W41" s="52">
        <f t="shared" si="34"/>
        <v>0</v>
      </c>
      <c r="X41" s="52">
        <f>VLOOKUP(H41,[4]Sheet2!K:N,4,0)</f>
        <v>37000</v>
      </c>
      <c r="Y41" s="53">
        <f t="shared" si="35"/>
        <v>1</v>
      </c>
      <c r="Z41" s="53">
        <f t="shared" si="36"/>
        <v>0</v>
      </c>
      <c r="AA41" s="53">
        <f t="shared" si="37"/>
        <v>1</v>
      </c>
    </row>
    <row r="42" spans="1:27" ht="18.75" customHeight="1" outlineLevel="6" x14ac:dyDescent="0.3">
      <c r="B42" s="44"/>
      <c r="C42" s="18"/>
      <c r="D42" s="24"/>
      <c r="E42" s="29"/>
      <c r="F42" s="34"/>
      <c r="G42" s="39"/>
      <c r="H42" s="46" t="s">
        <v>78</v>
      </c>
      <c r="I42" s="46" t="s">
        <v>65</v>
      </c>
      <c r="J42" s="47" t="s">
        <v>59</v>
      </c>
      <c r="K42" s="48">
        <v>0.1</v>
      </c>
      <c r="L42" s="49">
        <f>VLOOKUP(H42,[4]Sheet2!K:P,6,0)</f>
        <v>1.69542E-3</v>
      </c>
      <c r="M42" s="50">
        <f>VLOOKUP(H42,[4]Sheet2!K:Q,7,0)</f>
        <v>37000</v>
      </c>
      <c r="N42" s="51"/>
      <c r="O42" s="51"/>
      <c r="P42" s="51"/>
      <c r="Q42" s="51"/>
      <c r="R42" s="51"/>
      <c r="S42" s="51"/>
      <c r="T42" s="51"/>
      <c r="U42" s="51"/>
      <c r="V42" s="52">
        <f>VLOOKUP(H42,[4]Sheet2!K:N,4,0)</f>
        <v>37000</v>
      </c>
      <c r="W42" s="52">
        <f t="shared" si="34"/>
        <v>0</v>
      </c>
      <c r="X42" s="52">
        <f>VLOOKUP(H42,[4]Sheet2!K:N,4,0)</f>
        <v>37000</v>
      </c>
      <c r="Y42" s="53">
        <f t="shared" si="35"/>
        <v>1</v>
      </c>
      <c r="Z42" s="53">
        <f t="shared" si="36"/>
        <v>0</v>
      </c>
      <c r="AA42" s="53">
        <f t="shared" si="37"/>
        <v>1</v>
      </c>
    </row>
    <row r="43" spans="1:27" ht="18.75" customHeight="1" outlineLevel="6" x14ac:dyDescent="0.3">
      <c r="B43" s="44"/>
      <c r="C43" s="18"/>
      <c r="D43" s="24"/>
      <c r="E43" s="29"/>
      <c r="F43" s="34"/>
      <c r="G43" s="39"/>
      <c r="H43" s="46" t="s">
        <v>79</v>
      </c>
      <c r="I43" s="46" t="s">
        <v>67</v>
      </c>
      <c r="J43" s="47" t="s">
        <v>59</v>
      </c>
      <c r="K43" s="48">
        <v>0.15</v>
      </c>
      <c r="L43" s="49">
        <f>VLOOKUP(H43,[4]Sheet2!K:P,6,0)</f>
        <v>2.5431299999999998E-3</v>
      </c>
      <c r="M43" s="50">
        <f>VLOOKUP(H43,[4]Sheet2!K:Q,7,0)</f>
        <v>37000</v>
      </c>
      <c r="N43" s="51"/>
      <c r="O43" s="51"/>
      <c r="P43" s="51"/>
      <c r="Q43" s="51"/>
      <c r="R43" s="51"/>
      <c r="S43" s="51"/>
      <c r="T43" s="51"/>
      <c r="U43" s="51"/>
      <c r="V43" s="52">
        <f>VLOOKUP(H43,[4]Sheet2!K:N,4,0)</f>
        <v>37000</v>
      </c>
      <c r="W43" s="52">
        <f t="shared" si="34"/>
        <v>0</v>
      </c>
      <c r="X43" s="52">
        <f>VLOOKUP(H43,[4]Sheet2!K:N,4,0)</f>
        <v>37000</v>
      </c>
      <c r="Y43" s="53">
        <f t="shared" si="35"/>
        <v>1</v>
      </c>
      <c r="Z43" s="53">
        <f t="shared" si="36"/>
        <v>0</v>
      </c>
      <c r="AA43" s="53">
        <f t="shared" si="37"/>
        <v>1</v>
      </c>
    </row>
    <row r="44" spans="1:27" ht="18.75" customHeight="1" outlineLevel="6" x14ac:dyDescent="0.3">
      <c r="B44" s="44"/>
      <c r="C44" s="18"/>
      <c r="D44" s="24"/>
      <c r="E44" s="29"/>
      <c r="F44" s="34"/>
      <c r="G44" s="39"/>
      <c r="H44" s="46" t="s">
        <v>80</v>
      </c>
      <c r="I44" s="46" t="s">
        <v>69</v>
      </c>
      <c r="J44" s="47" t="s">
        <v>59</v>
      </c>
      <c r="K44" s="48">
        <v>0.05</v>
      </c>
      <c r="L44" s="49">
        <f>VLOOKUP(H44,[4]Sheet2!K:P,6,0)</f>
        <v>8.4771E-4</v>
      </c>
      <c r="M44" s="50">
        <f>VLOOKUP(H44,[4]Sheet2!K:Q,7,0)</f>
        <v>37000</v>
      </c>
      <c r="N44" s="51"/>
      <c r="O44" s="51"/>
      <c r="P44" s="51"/>
      <c r="Q44" s="51"/>
      <c r="R44" s="51"/>
      <c r="S44" s="51"/>
      <c r="T44" s="51"/>
      <c r="U44" s="51"/>
      <c r="V44" s="52">
        <f>VLOOKUP(H44,[4]Sheet2!K:N,4,0)</f>
        <v>37000</v>
      </c>
      <c r="W44" s="52">
        <f t="shared" si="34"/>
        <v>0</v>
      </c>
      <c r="X44" s="52">
        <f>VLOOKUP(H44,[4]Sheet2!K:N,4,0)</f>
        <v>37000</v>
      </c>
      <c r="Y44" s="53">
        <f t="shared" si="35"/>
        <v>1</v>
      </c>
      <c r="Z44" s="53">
        <f t="shared" si="36"/>
        <v>0</v>
      </c>
      <c r="AA44" s="53">
        <f t="shared" si="37"/>
        <v>1</v>
      </c>
    </row>
    <row r="45" spans="1:27" ht="18.75" customHeight="1" outlineLevel="6" x14ac:dyDescent="0.3">
      <c r="B45" s="44"/>
      <c r="C45" s="18"/>
      <c r="D45" s="24"/>
      <c r="E45" s="29"/>
      <c r="F45" s="34"/>
      <c r="G45" s="39"/>
      <c r="H45" s="46" t="s">
        <v>81</v>
      </c>
      <c r="I45" s="46" t="s">
        <v>71</v>
      </c>
      <c r="J45" s="47" t="s">
        <v>59</v>
      </c>
      <c r="K45" s="48">
        <v>0.05</v>
      </c>
      <c r="L45" s="49">
        <f>VLOOKUP(H45,[4]Sheet2!K:P,6,0)</f>
        <v>8.4771E-4</v>
      </c>
      <c r="M45" s="50">
        <f>VLOOKUP(H45,[4]Sheet2!K:Q,7,0)</f>
        <v>37000</v>
      </c>
      <c r="N45" s="51"/>
      <c r="O45" s="51"/>
      <c r="P45" s="51"/>
      <c r="Q45" s="51"/>
      <c r="R45" s="51"/>
      <c r="S45" s="51"/>
      <c r="T45" s="51"/>
      <c r="U45" s="51"/>
      <c r="V45" s="52">
        <f>VLOOKUP(H45,[4]Sheet2!K:N,4,0)</f>
        <v>37000</v>
      </c>
      <c r="W45" s="52">
        <f t="shared" si="34"/>
        <v>0</v>
      </c>
      <c r="X45" s="52">
        <f>VLOOKUP(H45,[4]Sheet2!K:N,4,0)</f>
        <v>37000</v>
      </c>
      <c r="Y45" s="53">
        <f t="shared" si="35"/>
        <v>1</v>
      </c>
      <c r="Z45" s="53">
        <f t="shared" si="36"/>
        <v>0</v>
      </c>
      <c r="AA45" s="53">
        <f t="shared" si="37"/>
        <v>1</v>
      </c>
    </row>
    <row r="46" spans="1:27" ht="18.75" customHeight="1" outlineLevel="6" x14ac:dyDescent="0.3">
      <c r="B46" s="44"/>
      <c r="C46" s="18"/>
      <c r="D46" s="24"/>
      <c r="E46" s="29"/>
      <c r="F46" s="34"/>
      <c r="G46" s="39"/>
      <c r="H46" s="46" t="s">
        <v>82</v>
      </c>
      <c r="I46" s="46" t="s">
        <v>73</v>
      </c>
      <c r="J46" s="47" t="s">
        <v>59</v>
      </c>
      <c r="K46" s="48">
        <v>0.05</v>
      </c>
      <c r="L46" s="49">
        <f>VLOOKUP(H46,[4]Sheet2!K:P,6,0)</f>
        <v>8.4771E-4</v>
      </c>
      <c r="M46" s="50">
        <f>VLOOKUP(H46,[4]Sheet2!K:Q,7,0)</f>
        <v>37000</v>
      </c>
      <c r="N46" s="51"/>
      <c r="O46" s="51"/>
      <c r="P46" s="51"/>
      <c r="Q46" s="51"/>
      <c r="R46" s="51"/>
      <c r="S46" s="51"/>
      <c r="T46" s="51"/>
      <c r="U46" s="51"/>
      <c r="V46" s="52">
        <f>VLOOKUP(H46,[4]Sheet2!K:N,4,0)</f>
        <v>37000</v>
      </c>
      <c r="W46" s="52">
        <f t="shared" si="34"/>
        <v>0</v>
      </c>
      <c r="X46" s="52">
        <f>VLOOKUP(H46,[4]Sheet2!K:N,4,0)</f>
        <v>37000</v>
      </c>
      <c r="Y46" s="53">
        <f t="shared" si="35"/>
        <v>1</v>
      </c>
      <c r="Z46" s="53">
        <f t="shared" si="36"/>
        <v>0</v>
      </c>
      <c r="AA46" s="53">
        <f t="shared" si="37"/>
        <v>1</v>
      </c>
    </row>
    <row r="47" spans="1:27" ht="18.75" customHeight="1" outlineLevel="5" x14ac:dyDescent="0.3">
      <c r="B47" s="12"/>
      <c r="C47" s="18"/>
      <c r="D47" s="24"/>
      <c r="E47" s="29"/>
      <c r="F47" s="34"/>
      <c r="G47" s="39" t="s">
        <v>83</v>
      </c>
      <c r="H47" s="58"/>
      <c r="I47" s="58"/>
      <c r="J47" s="58"/>
      <c r="K47" s="58"/>
      <c r="L47" s="41">
        <f>SUM(L48:L53)</f>
        <v>4.1982999999999994E-3</v>
      </c>
      <c r="M47" s="42">
        <f>M48</f>
        <v>10000</v>
      </c>
      <c r="N47" s="40"/>
      <c r="O47" s="40"/>
      <c r="P47" s="40"/>
      <c r="Q47" s="40"/>
      <c r="R47" s="40"/>
      <c r="S47" s="40"/>
      <c r="T47" s="40"/>
      <c r="U47" s="40"/>
      <c r="V47" s="42">
        <f t="shared" ref="V47:X47" si="38">V48</f>
        <v>10000</v>
      </c>
      <c r="W47" s="42">
        <f t="shared" si="38"/>
        <v>0</v>
      </c>
      <c r="X47" s="42">
        <f t="shared" si="38"/>
        <v>10000</v>
      </c>
      <c r="Y47" s="43">
        <f>SUMPRODUCT(Y48:Y53,$K48:$K53)</f>
        <v>1.0000000000000002</v>
      </c>
      <c r="Z47" s="43">
        <f t="shared" ref="Z47:AA47" si="39">SUMPRODUCT(Z48:Z53,$K48:$K53)</f>
        <v>0</v>
      </c>
      <c r="AA47" s="43">
        <f t="shared" si="39"/>
        <v>1.0000000000000002</v>
      </c>
    </row>
    <row r="48" spans="1:27" ht="18.75" customHeight="1" outlineLevel="6" x14ac:dyDescent="0.3">
      <c r="B48" s="44"/>
      <c r="C48" s="18"/>
      <c r="D48" s="24"/>
      <c r="E48" s="29"/>
      <c r="F48" s="34"/>
      <c r="G48" s="39"/>
      <c r="H48" s="46" t="s">
        <v>84</v>
      </c>
      <c r="I48" s="46" t="s">
        <v>45</v>
      </c>
      <c r="J48" s="47" t="s">
        <v>30</v>
      </c>
      <c r="K48" s="48">
        <v>0.05</v>
      </c>
      <c r="L48" s="49">
        <f>VLOOKUP(H48,[4]Sheet2!K:P,6,0)</f>
        <v>2.0991499999999997E-4</v>
      </c>
      <c r="M48" s="50">
        <f>VLOOKUP(H48,[4]Sheet2!K:Q,7,0)</f>
        <v>10000</v>
      </c>
      <c r="N48" s="51"/>
      <c r="O48" s="51"/>
      <c r="P48" s="51"/>
      <c r="Q48" s="51"/>
      <c r="R48" s="51"/>
      <c r="S48" s="51"/>
      <c r="T48" s="51"/>
      <c r="U48" s="51"/>
      <c r="V48" s="52">
        <f>VLOOKUP(H48,[4]Sheet2!K:N,4,0)</f>
        <v>10000</v>
      </c>
      <c r="W48" s="52">
        <f t="shared" ref="W48:W53" si="40">X48-V48</f>
        <v>0</v>
      </c>
      <c r="X48" s="52">
        <f>VLOOKUP(H48,[4]Sheet2!K:N,4,0)</f>
        <v>10000</v>
      </c>
      <c r="Y48" s="53">
        <f t="shared" ref="Y48:Y53" si="41">IFERROR(V48/M48,1)</f>
        <v>1</v>
      </c>
      <c r="Z48" s="53">
        <f t="shared" ref="Z48:Z53" si="42">IFERROR(W48/M48,1)</f>
        <v>0</v>
      </c>
      <c r="AA48" s="53">
        <f t="shared" ref="AA48:AA53" si="43">IFERROR(X48/M48,1)</f>
        <v>1</v>
      </c>
    </row>
    <row r="49" spans="1:27" ht="18.75" customHeight="1" outlineLevel="6" x14ac:dyDescent="0.3">
      <c r="A49" s="60" t="s">
        <v>46</v>
      </c>
      <c r="B49" s="44"/>
      <c r="C49" s="18"/>
      <c r="D49" s="24"/>
      <c r="E49" s="29"/>
      <c r="F49" s="34"/>
      <c r="G49" s="39"/>
      <c r="H49" s="46" t="s">
        <v>85</v>
      </c>
      <c r="I49" s="46" t="s">
        <v>48</v>
      </c>
      <c r="J49" s="47" t="s">
        <v>30</v>
      </c>
      <c r="K49" s="48">
        <v>0.5</v>
      </c>
      <c r="L49" s="49">
        <f>VLOOKUP(H49,[4]Sheet2!K:P,6,0)</f>
        <v>2.0991499999999997E-3</v>
      </c>
      <c r="M49" s="50">
        <f>VLOOKUP(H49,[4]Sheet2!K:Q,7,0)</f>
        <v>10000</v>
      </c>
      <c r="N49" s="51"/>
      <c r="O49" s="51"/>
      <c r="P49" s="51"/>
      <c r="Q49" s="51"/>
      <c r="R49" s="51"/>
      <c r="S49" s="51"/>
      <c r="T49" s="51"/>
      <c r="U49" s="51"/>
      <c r="V49" s="52">
        <f>VLOOKUP(H49,[4]Sheet2!K:N,4,0)</f>
        <v>10000</v>
      </c>
      <c r="W49" s="52">
        <f t="shared" si="40"/>
        <v>0</v>
      </c>
      <c r="X49" s="52">
        <f>VLOOKUP(H49,[4]Sheet2!K:N,4,0)</f>
        <v>10000</v>
      </c>
      <c r="Y49" s="53">
        <f t="shared" si="41"/>
        <v>1</v>
      </c>
      <c r="Z49" s="53">
        <f t="shared" si="42"/>
        <v>0</v>
      </c>
      <c r="AA49" s="53">
        <f t="shared" si="43"/>
        <v>1</v>
      </c>
    </row>
    <row r="50" spans="1:27" ht="18.75" customHeight="1" outlineLevel="6" x14ac:dyDescent="0.3">
      <c r="B50" s="44"/>
      <c r="C50" s="18"/>
      <c r="D50" s="24"/>
      <c r="E50" s="29"/>
      <c r="F50" s="34"/>
      <c r="G50" s="39"/>
      <c r="H50" s="46" t="s">
        <v>86</v>
      </c>
      <c r="I50" s="46" t="s">
        <v>50</v>
      </c>
      <c r="J50" s="47" t="s">
        <v>30</v>
      </c>
      <c r="K50" s="48">
        <v>0.15</v>
      </c>
      <c r="L50" s="49">
        <f>VLOOKUP(H50,[4]Sheet2!K:P,6,0)</f>
        <v>6.2974499999999991E-4</v>
      </c>
      <c r="M50" s="50">
        <f>VLOOKUP(H50,[4]Sheet2!K:Q,7,0)</f>
        <v>10000</v>
      </c>
      <c r="N50" s="51"/>
      <c r="O50" s="51"/>
      <c r="P50" s="51"/>
      <c r="Q50" s="51"/>
      <c r="R50" s="51"/>
      <c r="S50" s="51"/>
      <c r="T50" s="51"/>
      <c r="U50" s="51"/>
      <c r="V50" s="52">
        <f>VLOOKUP(H50,[4]Sheet2!K:N,4,0)</f>
        <v>10000</v>
      </c>
      <c r="W50" s="52">
        <f t="shared" si="40"/>
        <v>0</v>
      </c>
      <c r="X50" s="52">
        <f>VLOOKUP(H50,[4]Sheet2!K:N,4,0)</f>
        <v>10000</v>
      </c>
      <c r="Y50" s="53">
        <f t="shared" si="41"/>
        <v>1</v>
      </c>
      <c r="Z50" s="53">
        <f t="shared" si="42"/>
        <v>0</v>
      </c>
      <c r="AA50" s="53">
        <f t="shared" si="43"/>
        <v>1</v>
      </c>
    </row>
    <row r="51" spans="1:27" ht="18.75" customHeight="1" outlineLevel="6" x14ac:dyDescent="0.3">
      <c r="B51" s="44"/>
      <c r="C51" s="18"/>
      <c r="D51" s="24"/>
      <c r="E51" s="29"/>
      <c r="F51" s="34"/>
      <c r="G51" s="39"/>
      <c r="H51" s="46" t="s">
        <v>87</v>
      </c>
      <c r="I51" s="46" t="s">
        <v>52</v>
      </c>
      <c r="J51" s="47" t="s">
        <v>30</v>
      </c>
      <c r="K51" s="48">
        <v>0.2</v>
      </c>
      <c r="L51" s="49">
        <f>VLOOKUP(H51,[4]Sheet2!K:P,6,0)</f>
        <v>8.3965999999999989E-4</v>
      </c>
      <c r="M51" s="50">
        <f>VLOOKUP(H51,[4]Sheet2!K:Q,7,0)</f>
        <v>10000</v>
      </c>
      <c r="N51" s="51"/>
      <c r="O51" s="51"/>
      <c r="P51" s="51"/>
      <c r="Q51" s="51"/>
      <c r="R51" s="51"/>
      <c r="S51" s="51"/>
      <c r="T51" s="51"/>
      <c r="U51" s="51"/>
      <c r="V51" s="52">
        <f>VLOOKUP(H51,[4]Sheet2!K:N,4,0)</f>
        <v>10000</v>
      </c>
      <c r="W51" s="52">
        <f t="shared" si="40"/>
        <v>0</v>
      </c>
      <c r="X51" s="52">
        <f>VLOOKUP(H51,[4]Sheet2!K:N,4,0)</f>
        <v>10000</v>
      </c>
      <c r="Y51" s="53">
        <f t="shared" si="41"/>
        <v>1</v>
      </c>
      <c r="Z51" s="53">
        <f t="shared" si="42"/>
        <v>0</v>
      </c>
      <c r="AA51" s="53">
        <f t="shared" si="43"/>
        <v>1</v>
      </c>
    </row>
    <row r="52" spans="1:27" ht="18.75" customHeight="1" outlineLevel="6" x14ac:dyDescent="0.3">
      <c r="B52" s="44"/>
      <c r="C52" s="18"/>
      <c r="D52" s="24"/>
      <c r="E52" s="29"/>
      <c r="F52" s="34"/>
      <c r="G52" s="39"/>
      <c r="H52" s="46" t="s">
        <v>88</v>
      </c>
      <c r="I52" s="46" t="s">
        <v>54</v>
      </c>
      <c r="J52" s="47" t="s">
        <v>30</v>
      </c>
      <c r="K52" s="48">
        <v>0.05</v>
      </c>
      <c r="L52" s="49">
        <f>VLOOKUP(H52,[4]Sheet2!K:P,6,0)</f>
        <v>2.0991499999999997E-4</v>
      </c>
      <c r="M52" s="50">
        <f>VLOOKUP(H52,[4]Sheet2!K:Q,7,0)</f>
        <v>10000</v>
      </c>
      <c r="N52" s="51"/>
      <c r="O52" s="51"/>
      <c r="P52" s="51"/>
      <c r="Q52" s="51"/>
      <c r="R52" s="51"/>
      <c r="S52" s="51"/>
      <c r="T52" s="51"/>
      <c r="U52" s="51"/>
      <c r="V52" s="52">
        <f>VLOOKUP(H52,[4]Sheet2!K:N,4,0)</f>
        <v>10000</v>
      </c>
      <c r="W52" s="52">
        <f t="shared" si="40"/>
        <v>0</v>
      </c>
      <c r="X52" s="52">
        <f>VLOOKUP(H52,[4]Sheet2!K:N,4,0)</f>
        <v>10000</v>
      </c>
      <c r="Y52" s="53">
        <f t="shared" si="41"/>
        <v>1</v>
      </c>
      <c r="Z52" s="53">
        <f t="shared" si="42"/>
        <v>0</v>
      </c>
      <c r="AA52" s="53">
        <f t="shared" si="43"/>
        <v>1</v>
      </c>
    </row>
    <row r="53" spans="1:27" ht="18.75" customHeight="1" outlineLevel="6" x14ac:dyDescent="0.3">
      <c r="B53" s="44"/>
      <c r="C53" s="18"/>
      <c r="D53" s="24"/>
      <c r="E53" s="29"/>
      <c r="F53" s="34"/>
      <c r="G53" s="39"/>
      <c r="H53" s="46" t="s">
        <v>89</v>
      </c>
      <c r="I53" s="46" t="s">
        <v>56</v>
      </c>
      <c r="J53" s="47" t="s">
        <v>30</v>
      </c>
      <c r="K53" s="48">
        <v>0.05</v>
      </c>
      <c r="L53" s="49">
        <f>VLOOKUP(H53,[4]Sheet2!K:P,6,0)</f>
        <v>2.0991499999999997E-4</v>
      </c>
      <c r="M53" s="50">
        <f>VLOOKUP(H53,[4]Sheet2!K:Q,7,0)</f>
        <v>10000</v>
      </c>
      <c r="N53" s="51"/>
      <c r="O53" s="51"/>
      <c r="P53" s="51"/>
      <c r="Q53" s="51"/>
      <c r="R53" s="51"/>
      <c r="S53" s="51"/>
      <c r="T53" s="51"/>
      <c r="U53" s="51"/>
      <c r="V53" s="52">
        <f>VLOOKUP(H53,[4]Sheet2!K:N,4,0)</f>
        <v>10000</v>
      </c>
      <c r="W53" s="52">
        <f t="shared" si="40"/>
        <v>0</v>
      </c>
      <c r="X53" s="52">
        <f>VLOOKUP(H53,[4]Sheet2!K:N,4,0)</f>
        <v>10000</v>
      </c>
      <c r="Y53" s="53">
        <f t="shared" si="41"/>
        <v>1</v>
      </c>
      <c r="Z53" s="53">
        <f t="shared" si="42"/>
        <v>0</v>
      </c>
      <c r="AA53" s="53">
        <f t="shared" si="43"/>
        <v>1</v>
      </c>
    </row>
    <row r="54" spans="1:27" ht="18.75" customHeight="1" outlineLevel="5" x14ac:dyDescent="0.3">
      <c r="B54" s="12"/>
      <c r="C54" s="18"/>
      <c r="D54" s="24"/>
      <c r="E54" s="29"/>
      <c r="F54" s="34"/>
      <c r="G54" s="39" t="s">
        <v>90</v>
      </c>
      <c r="H54" s="58"/>
      <c r="I54" s="58"/>
      <c r="J54" s="58"/>
      <c r="K54" s="58"/>
      <c r="L54" s="41">
        <f>SUM(L55:L60)</f>
        <v>3.6541E-3</v>
      </c>
      <c r="M54" s="42">
        <f>M55</f>
        <v>7000</v>
      </c>
      <c r="N54" s="40"/>
      <c r="O54" s="40"/>
      <c r="P54" s="40"/>
      <c r="Q54" s="40"/>
      <c r="R54" s="40"/>
      <c r="S54" s="40"/>
      <c r="T54" s="40"/>
      <c r="U54" s="40"/>
      <c r="V54" s="42">
        <f t="shared" ref="V54:X54" si="44">V55</f>
        <v>7000</v>
      </c>
      <c r="W54" s="42">
        <f t="shared" si="44"/>
        <v>0</v>
      </c>
      <c r="X54" s="42">
        <f t="shared" si="44"/>
        <v>7000</v>
      </c>
      <c r="Y54" s="43">
        <f>SUMPRODUCT(Y55:Y60,$K55:$K60)</f>
        <v>1.0000000000000002</v>
      </c>
      <c r="Z54" s="43">
        <f t="shared" ref="Z54:AA54" si="45">SUMPRODUCT(Z55:Z60,$K55:$K60)</f>
        <v>0</v>
      </c>
      <c r="AA54" s="43">
        <f t="shared" si="45"/>
        <v>1.0000000000000002</v>
      </c>
    </row>
    <row r="55" spans="1:27" ht="18.75" customHeight="1" outlineLevel="6" x14ac:dyDescent="0.3">
      <c r="B55" s="44"/>
      <c r="C55" s="18"/>
      <c r="D55" s="24"/>
      <c r="E55" s="29"/>
      <c r="F55" s="34"/>
      <c r="G55" s="39"/>
      <c r="H55" s="46" t="s">
        <v>91</v>
      </c>
      <c r="I55" s="46" t="s">
        <v>45</v>
      </c>
      <c r="J55" s="47" t="s">
        <v>30</v>
      </c>
      <c r="K55" s="48">
        <v>0.05</v>
      </c>
      <c r="L55" s="49">
        <f>VLOOKUP(H55,[4]Sheet2!K:P,6,0)</f>
        <v>1.8270499999999999E-4</v>
      </c>
      <c r="M55" s="50">
        <f>VLOOKUP(H55,[4]Sheet2!K:Q,7,0)</f>
        <v>7000</v>
      </c>
      <c r="N55" s="51"/>
      <c r="O55" s="51"/>
      <c r="P55" s="51"/>
      <c r="Q55" s="51"/>
      <c r="R55" s="51"/>
      <c r="S55" s="51"/>
      <c r="T55" s="51"/>
      <c r="U55" s="51"/>
      <c r="V55" s="52">
        <f>VLOOKUP(H55,[4]Sheet2!K:N,4,0)</f>
        <v>7000</v>
      </c>
      <c r="W55" s="52">
        <f t="shared" ref="W55:W60" si="46">X55-V55</f>
        <v>0</v>
      </c>
      <c r="X55" s="52">
        <f>VLOOKUP(H55,[4]Sheet2!K:N,4,0)</f>
        <v>7000</v>
      </c>
      <c r="Y55" s="53">
        <f t="shared" ref="Y55:Y60" si="47">IFERROR(V55/M55,1)</f>
        <v>1</v>
      </c>
      <c r="Z55" s="53">
        <f t="shared" ref="Z55:Z60" si="48">IFERROR(W55/M55,1)</f>
        <v>0</v>
      </c>
      <c r="AA55" s="53">
        <f t="shared" ref="AA55:AA60" si="49">IFERROR(X55/M55,1)</f>
        <v>1</v>
      </c>
    </row>
    <row r="56" spans="1:27" ht="18.75" customHeight="1" outlineLevel="6" x14ac:dyDescent="0.3">
      <c r="A56" s="60" t="s">
        <v>46</v>
      </c>
      <c r="B56" s="44"/>
      <c r="C56" s="18"/>
      <c r="D56" s="24"/>
      <c r="E56" s="29"/>
      <c r="F56" s="34"/>
      <c r="G56" s="39"/>
      <c r="H56" s="46" t="s">
        <v>92</v>
      </c>
      <c r="I56" s="46" t="s">
        <v>48</v>
      </c>
      <c r="J56" s="47" t="s">
        <v>30</v>
      </c>
      <c r="K56" s="48">
        <v>0.5</v>
      </c>
      <c r="L56" s="49">
        <f>VLOOKUP(H56,[4]Sheet2!K:P,6,0)</f>
        <v>1.82705E-3</v>
      </c>
      <c r="M56" s="50">
        <f>VLOOKUP(H56,[4]Sheet2!K:Q,7,0)</f>
        <v>7000</v>
      </c>
      <c r="N56" s="51"/>
      <c r="O56" s="51"/>
      <c r="P56" s="51"/>
      <c r="Q56" s="51"/>
      <c r="R56" s="51"/>
      <c r="S56" s="51"/>
      <c r="T56" s="51"/>
      <c r="U56" s="51"/>
      <c r="V56" s="52">
        <f>VLOOKUP(H56,[4]Sheet2!K:N,4,0)</f>
        <v>7000</v>
      </c>
      <c r="W56" s="52">
        <f t="shared" si="46"/>
        <v>0</v>
      </c>
      <c r="X56" s="52">
        <f>VLOOKUP(H56,[4]Sheet2!K:N,4,0)</f>
        <v>7000</v>
      </c>
      <c r="Y56" s="53">
        <f t="shared" si="47"/>
        <v>1</v>
      </c>
      <c r="Z56" s="53">
        <f t="shared" si="48"/>
        <v>0</v>
      </c>
      <c r="AA56" s="53">
        <f t="shared" si="49"/>
        <v>1</v>
      </c>
    </row>
    <row r="57" spans="1:27" ht="18.75" customHeight="1" outlineLevel="6" x14ac:dyDescent="0.3">
      <c r="B57" s="44"/>
      <c r="C57" s="18"/>
      <c r="D57" s="24"/>
      <c r="E57" s="29"/>
      <c r="F57" s="34"/>
      <c r="G57" s="39"/>
      <c r="H57" s="46" t="s">
        <v>93</v>
      </c>
      <c r="I57" s="46" t="s">
        <v>50</v>
      </c>
      <c r="J57" s="47" t="s">
        <v>30</v>
      </c>
      <c r="K57" s="48">
        <v>0.15</v>
      </c>
      <c r="L57" s="49">
        <f>VLOOKUP(H57,[4]Sheet2!K:P,6,0)</f>
        <v>5.4811499999999995E-4</v>
      </c>
      <c r="M57" s="50">
        <f>VLOOKUP(H57,[4]Sheet2!K:Q,7,0)</f>
        <v>7000</v>
      </c>
      <c r="N57" s="51"/>
      <c r="O57" s="51"/>
      <c r="P57" s="51"/>
      <c r="Q57" s="51"/>
      <c r="R57" s="51"/>
      <c r="S57" s="51"/>
      <c r="T57" s="51"/>
      <c r="U57" s="51"/>
      <c r="V57" s="52">
        <f>VLOOKUP(H57,[4]Sheet2!K:N,4,0)</f>
        <v>7000</v>
      </c>
      <c r="W57" s="52">
        <f t="shared" si="46"/>
        <v>0</v>
      </c>
      <c r="X57" s="52">
        <f>VLOOKUP(H57,[4]Sheet2!K:N,4,0)</f>
        <v>7000</v>
      </c>
      <c r="Y57" s="53">
        <f t="shared" si="47"/>
        <v>1</v>
      </c>
      <c r="Z57" s="53">
        <f t="shared" si="48"/>
        <v>0</v>
      </c>
      <c r="AA57" s="53">
        <f t="shared" si="49"/>
        <v>1</v>
      </c>
    </row>
    <row r="58" spans="1:27" ht="18.75" customHeight="1" outlineLevel="6" x14ac:dyDescent="0.3">
      <c r="B58" s="44"/>
      <c r="C58" s="18"/>
      <c r="D58" s="24"/>
      <c r="E58" s="29"/>
      <c r="F58" s="34"/>
      <c r="G58" s="39"/>
      <c r="H58" s="46" t="s">
        <v>94</v>
      </c>
      <c r="I58" s="46" t="s">
        <v>52</v>
      </c>
      <c r="J58" s="47" t="s">
        <v>30</v>
      </c>
      <c r="K58" s="48">
        <v>0.2</v>
      </c>
      <c r="L58" s="49">
        <f>VLOOKUP(H58,[4]Sheet2!K:P,6,0)</f>
        <v>7.3081999999999997E-4</v>
      </c>
      <c r="M58" s="50">
        <f>VLOOKUP(H58,[4]Sheet2!K:Q,7,0)</f>
        <v>7000</v>
      </c>
      <c r="N58" s="51"/>
      <c r="O58" s="51"/>
      <c r="P58" s="51"/>
      <c r="Q58" s="51"/>
      <c r="R58" s="51"/>
      <c r="S58" s="51"/>
      <c r="T58" s="51"/>
      <c r="U58" s="51"/>
      <c r="V58" s="52">
        <f>VLOOKUP(H58,[4]Sheet2!K:N,4,0)</f>
        <v>7000</v>
      </c>
      <c r="W58" s="52">
        <f t="shared" si="46"/>
        <v>0</v>
      </c>
      <c r="X58" s="52">
        <f>VLOOKUP(H58,[4]Sheet2!K:N,4,0)</f>
        <v>7000</v>
      </c>
      <c r="Y58" s="53">
        <f t="shared" si="47"/>
        <v>1</v>
      </c>
      <c r="Z58" s="53">
        <f t="shared" si="48"/>
        <v>0</v>
      </c>
      <c r="AA58" s="53">
        <f t="shared" si="49"/>
        <v>1</v>
      </c>
    </row>
    <row r="59" spans="1:27" ht="18.75" customHeight="1" outlineLevel="6" x14ac:dyDescent="0.3">
      <c r="B59" s="44"/>
      <c r="C59" s="18"/>
      <c r="D59" s="24"/>
      <c r="E59" s="29"/>
      <c r="F59" s="34"/>
      <c r="G59" s="39"/>
      <c r="H59" s="46" t="s">
        <v>95</v>
      </c>
      <c r="I59" s="46" t="s">
        <v>54</v>
      </c>
      <c r="J59" s="47" t="s">
        <v>30</v>
      </c>
      <c r="K59" s="48">
        <v>0.05</v>
      </c>
      <c r="L59" s="49">
        <f>VLOOKUP(H59,[4]Sheet2!K:P,6,0)</f>
        <v>1.8270499999999999E-4</v>
      </c>
      <c r="M59" s="50">
        <f>VLOOKUP(H59,[4]Sheet2!K:Q,7,0)</f>
        <v>7000</v>
      </c>
      <c r="N59" s="51"/>
      <c r="O59" s="51"/>
      <c r="P59" s="51"/>
      <c r="Q59" s="51"/>
      <c r="R59" s="51"/>
      <c r="S59" s="51"/>
      <c r="T59" s="51"/>
      <c r="U59" s="51"/>
      <c r="V59" s="52">
        <f>VLOOKUP(H59,[4]Sheet2!K:N,4,0)</f>
        <v>7000</v>
      </c>
      <c r="W59" s="52">
        <f t="shared" si="46"/>
        <v>0</v>
      </c>
      <c r="X59" s="52">
        <f>VLOOKUP(H59,[4]Sheet2!K:N,4,0)</f>
        <v>7000</v>
      </c>
      <c r="Y59" s="53">
        <f t="shared" si="47"/>
        <v>1</v>
      </c>
      <c r="Z59" s="53">
        <f t="shared" si="48"/>
        <v>0</v>
      </c>
      <c r="AA59" s="53">
        <f t="shared" si="49"/>
        <v>1</v>
      </c>
    </row>
    <row r="60" spans="1:27" ht="18.75" customHeight="1" outlineLevel="6" x14ac:dyDescent="0.3">
      <c r="B60" s="44"/>
      <c r="C60" s="18"/>
      <c r="D60" s="24"/>
      <c r="E60" s="29"/>
      <c r="F60" s="34"/>
      <c r="G60" s="39"/>
      <c r="H60" s="46" t="s">
        <v>96</v>
      </c>
      <c r="I60" s="46" t="s">
        <v>56</v>
      </c>
      <c r="J60" s="47" t="s">
        <v>30</v>
      </c>
      <c r="K60" s="48">
        <v>0.05</v>
      </c>
      <c r="L60" s="49">
        <f>VLOOKUP(H60,[4]Sheet2!K:P,6,0)</f>
        <v>1.8270499999999999E-4</v>
      </c>
      <c r="M60" s="50">
        <f>VLOOKUP(H60,[4]Sheet2!K:Q,7,0)</f>
        <v>7000</v>
      </c>
      <c r="N60" s="51"/>
      <c r="O60" s="51"/>
      <c r="P60" s="51"/>
      <c r="Q60" s="51"/>
      <c r="R60" s="51"/>
      <c r="S60" s="51"/>
      <c r="T60" s="51"/>
      <c r="U60" s="51"/>
      <c r="V60" s="52">
        <f>VLOOKUP(H60,[4]Sheet2!K:N,4,0)</f>
        <v>7000</v>
      </c>
      <c r="W60" s="52">
        <f t="shared" si="46"/>
        <v>0</v>
      </c>
      <c r="X60" s="52">
        <f>VLOOKUP(H60,[4]Sheet2!K:N,4,0)</f>
        <v>7000</v>
      </c>
      <c r="Y60" s="53">
        <f t="shared" si="47"/>
        <v>1</v>
      </c>
      <c r="Z60" s="53">
        <f t="shared" si="48"/>
        <v>0</v>
      </c>
      <c r="AA60" s="53">
        <f t="shared" si="49"/>
        <v>1</v>
      </c>
    </row>
    <row r="61" spans="1:27" ht="18.75" customHeight="1" outlineLevel="5" x14ac:dyDescent="0.3">
      <c r="B61" s="12"/>
      <c r="C61" s="18"/>
      <c r="D61" s="24"/>
      <c r="E61" s="29"/>
      <c r="F61" s="34"/>
      <c r="G61" s="39" t="s">
        <v>97</v>
      </c>
      <c r="H61" s="58"/>
      <c r="I61" s="58"/>
      <c r="J61" s="58"/>
      <c r="K61" s="58"/>
      <c r="L61" s="41">
        <f>SUM(L62:L67)</f>
        <v>1.0589999999999998E-3</v>
      </c>
      <c r="M61" s="42">
        <f>M62</f>
        <v>2000</v>
      </c>
      <c r="N61" s="40"/>
      <c r="O61" s="40"/>
      <c r="P61" s="40"/>
      <c r="Q61" s="40"/>
      <c r="R61" s="40"/>
      <c r="S61" s="40"/>
      <c r="T61" s="40"/>
      <c r="U61" s="40"/>
      <c r="V61" s="42">
        <f t="shared" ref="V61:X61" si="50">V62</f>
        <v>2000</v>
      </c>
      <c r="W61" s="42">
        <f t="shared" si="50"/>
        <v>0</v>
      </c>
      <c r="X61" s="42">
        <f t="shared" si="50"/>
        <v>2000</v>
      </c>
      <c r="Y61" s="43">
        <f>SUMPRODUCT(Y62:Y67,$K62:$K67)</f>
        <v>1.0000000000000002</v>
      </c>
      <c r="Z61" s="43">
        <f t="shared" ref="Z61:AA61" si="51">SUMPRODUCT(Z62:Z67,$K62:$K67)</f>
        <v>0</v>
      </c>
      <c r="AA61" s="43">
        <f t="shared" si="51"/>
        <v>1.0000000000000002</v>
      </c>
    </row>
    <row r="62" spans="1:27" ht="18.75" customHeight="1" outlineLevel="6" x14ac:dyDescent="0.3">
      <c r="B62" s="44"/>
      <c r="C62" s="18"/>
      <c r="D62" s="24"/>
      <c r="E62" s="29"/>
      <c r="F62" s="34"/>
      <c r="G62" s="39"/>
      <c r="H62" s="46" t="s">
        <v>98</v>
      </c>
      <c r="I62" s="46" t="s">
        <v>45</v>
      </c>
      <c r="J62" s="47" t="s">
        <v>30</v>
      </c>
      <c r="K62" s="48">
        <v>0.05</v>
      </c>
      <c r="L62" s="49">
        <f>VLOOKUP(H62,[4]Sheet2!K:P,6,0)</f>
        <v>5.295E-5</v>
      </c>
      <c r="M62" s="50">
        <f>VLOOKUP(H62,[4]Sheet2!K:Q,7,0)</f>
        <v>2000</v>
      </c>
      <c r="N62" s="51"/>
      <c r="O62" s="51"/>
      <c r="P62" s="51"/>
      <c r="Q62" s="51"/>
      <c r="R62" s="51"/>
      <c r="S62" s="51"/>
      <c r="T62" s="51"/>
      <c r="U62" s="51"/>
      <c r="V62" s="52">
        <f>VLOOKUP(H62,[4]Sheet2!K:N,4,0)</f>
        <v>2000</v>
      </c>
      <c r="W62" s="52">
        <f t="shared" ref="W62:W67" si="52">X62-V62</f>
        <v>0</v>
      </c>
      <c r="X62" s="52">
        <f>VLOOKUP(H62,[4]Sheet2!K:N,4,0)</f>
        <v>2000</v>
      </c>
      <c r="Y62" s="53">
        <f t="shared" ref="Y62:Y67" si="53">IFERROR(V62/M62,1)</f>
        <v>1</v>
      </c>
      <c r="Z62" s="53">
        <f t="shared" ref="Z62:Z67" si="54">IFERROR(W62/M62,1)</f>
        <v>0</v>
      </c>
      <c r="AA62" s="53">
        <f t="shared" ref="AA62:AA67" si="55">IFERROR(X62/M62,1)</f>
        <v>1</v>
      </c>
    </row>
    <row r="63" spans="1:27" ht="18.75" customHeight="1" outlineLevel="6" x14ac:dyDescent="0.3">
      <c r="A63" s="60" t="s">
        <v>46</v>
      </c>
      <c r="B63" s="44"/>
      <c r="C63" s="18"/>
      <c r="D63" s="24"/>
      <c r="E63" s="29"/>
      <c r="F63" s="34"/>
      <c r="G63" s="39"/>
      <c r="H63" s="46" t="s">
        <v>99</v>
      </c>
      <c r="I63" s="46" t="s">
        <v>48</v>
      </c>
      <c r="J63" s="47" t="s">
        <v>30</v>
      </c>
      <c r="K63" s="48">
        <v>0.5</v>
      </c>
      <c r="L63" s="49">
        <f>VLOOKUP(H63,[4]Sheet2!K:P,6,0)</f>
        <v>5.2950000000000002E-4</v>
      </c>
      <c r="M63" s="50">
        <f>VLOOKUP(H63,[4]Sheet2!K:Q,7,0)</f>
        <v>2000</v>
      </c>
      <c r="N63" s="51"/>
      <c r="O63" s="51"/>
      <c r="P63" s="51"/>
      <c r="Q63" s="51"/>
      <c r="R63" s="51"/>
      <c r="S63" s="51"/>
      <c r="T63" s="51"/>
      <c r="U63" s="51"/>
      <c r="V63" s="52">
        <f>VLOOKUP(H63,[4]Sheet2!K:N,4,0)</f>
        <v>2000</v>
      </c>
      <c r="W63" s="52">
        <f t="shared" si="52"/>
        <v>0</v>
      </c>
      <c r="X63" s="52">
        <f>VLOOKUP(H63,[4]Sheet2!K:N,4,0)</f>
        <v>2000</v>
      </c>
      <c r="Y63" s="53">
        <f t="shared" si="53"/>
        <v>1</v>
      </c>
      <c r="Z63" s="53">
        <f t="shared" si="54"/>
        <v>0</v>
      </c>
      <c r="AA63" s="53">
        <f t="shared" si="55"/>
        <v>1</v>
      </c>
    </row>
    <row r="64" spans="1:27" ht="18.75" customHeight="1" outlineLevel="6" x14ac:dyDescent="0.3">
      <c r="B64" s="44"/>
      <c r="C64" s="18"/>
      <c r="D64" s="24"/>
      <c r="E64" s="29"/>
      <c r="F64" s="34"/>
      <c r="G64" s="39"/>
      <c r="H64" s="46" t="s">
        <v>100</v>
      </c>
      <c r="I64" s="46" t="s">
        <v>50</v>
      </c>
      <c r="J64" s="47" t="s">
        <v>30</v>
      </c>
      <c r="K64" s="48">
        <v>0.15</v>
      </c>
      <c r="L64" s="49">
        <f>VLOOKUP(H64,[4]Sheet2!K:P,6,0)</f>
        <v>1.5885000000000001E-4</v>
      </c>
      <c r="M64" s="50">
        <f>VLOOKUP(H64,[4]Sheet2!K:Q,7,0)</f>
        <v>2000</v>
      </c>
      <c r="N64" s="51"/>
      <c r="O64" s="51"/>
      <c r="P64" s="51"/>
      <c r="Q64" s="51"/>
      <c r="R64" s="51"/>
      <c r="S64" s="51"/>
      <c r="T64" s="51"/>
      <c r="U64" s="51"/>
      <c r="V64" s="52">
        <f>VLOOKUP(H64,[4]Sheet2!K:N,4,0)</f>
        <v>2000</v>
      </c>
      <c r="W64" s="52">
        <f t="shared" si="52"/>
        <v>0</v>
      </c>
      <c r="X64" s="52">
        <f>VLOOKUP(H64,[4]Sheet2!K:N,4,0)</f>
        <v>2000</v>
      </c>
      <c r="Y64" s="53">
        <f t="shared" si="53"/>
        <v>1</v>
      </c>
      <c r="Z64" s="53">
        <f t="shared" si="54"/>
        <v>0</v>
      </c>
      <c r="AA64" s="53">
        <f t="shared" si="55"/>
        <v>1</v>
      </c>
    </row>
    <row r="65" spans="1:27" ht="18.75" customHeight="1" outlineLevel="6" x14ac:dyDescent="0.3">
      <c r="B65" s="44"/>
      <c r="C65" s="18"/>
      <c r="D65" s="24"/>
      <c r="E65" s="29"/>
      <c r="F65" s="34"/>
      <c r="G65" s="39"/>
      <c r="H65" s="46" t="s">
        <v>101</v>
      </c>
      <c r="I65" s="46" t="s">
        <v>52</v>
      </c>
      <c r="J65" s="47" t="s">
        <v>30</v>
      </c>
      <c r="K65" s="48">
        <v>0.2</v>
      </c>
      <c r="L65" s="49">
        <f>VLOOKUP(H65,[4]Sheet2!K:P,6,0)</f>
        <v>2.118E-4</v>
      </c>
      <c r="M65" s="50">
        <f>VLOOKUP(H65,[4]Sheet2!K:Q,7,0)</f>
        <v>2000</v>
      </c>
      <c r="N65" s="51"/>
      <c r="O65" s="51"/>
      <c r="P65" s="51"/>
      <c r="Q65" s="51"/>
      <c r="R65" s="51"/>
      <c r="S65" s="51"/>
      <c r="T65" s="51"/>
      <c r="U65" s="51"/>
      <c r="V65" s="52">
        <f>VLOOKUP(H65,[4]Sheet2!K:N,4,0)</f>
        <v>2000</v>
      </c>
      <c r="W65" s="52">
        <f t="shared" si="52"/>
        <v>0</v>
      </c>
      <c r="X65" s="52">
        <f>VLOOKUP(H65,[4]Sheet2!K:N,4,0)</f>
        <v>2000</v>
      </c>
      <c r="Y65" s="53">
        <f t="shared" si="53"/>
        <v>1</v>
      </c>
      <c r="Z65" s="53">
        <f t="shared" si="54"/>
        <v>0</v>
      </c>
      <c r="AA65" s="53">
        <f t="shared" si="55"/>
        <v>1</v>
      </c>
    </row>
    <row r="66" spans="1:27" ht="18.75" customHeight="1" outlineLevel="6" x14ac:dyDescent="0.3">
      <c r="B66" s="44"/>
      <c r="C66" s="18"/>
      <c r="D66" s="24"/>
      <c r="E66" s="29"/>
      <c r="F66" s="34"/>
      <c r="G66" s="39"/>
      <c r="H66" s="46" t="s">
        <v>102</v>
      </c>
      <c r="I66" s="46" t="s">
        <v>54</v>
      </c>
      <c r="J66" s="47" t="s">
        <v>30</v>
      </c>
      <c r="K66" s="48">
        <v>0.05</v>
      </c>
      <c r="L66" s="49">
        <f>VLOOKUP(H66,[4]Sheet2!K:P,6,0)</f>
        <v>5.295E-5</v>
      </c>
      <c r="M66" s="50">
        <f>VLOOKUP(H66,[4]Sheet2!K:Q,7,0)</f>
        <v>2000</v>
      </c>
      <c r="N66" s="51"/>
      <c r="O66" s="51"/>
      <c r="P66" s="51"/>
      <c r="Q66" s="51"/>
      <c r="R66" s="51"/>
      <c r="S66" s="51"/>
      <c r="T66" s="51"/>
      <c r="U66" s="51"/>
      <c r="V66" s="52">
        <f>VLOOKUP(H66,[4]Sheet2!K:N,4,0)</f>
        <v>2000</v>
      </c>
      <c r="W66" s="52">
        <f t="shared" si="52"/>
        <v>0</v>
      </c>
      <c r="X66" s="52">
        <f>VLOOKUP(H66,[4]Sheet2!K:N,4,0)</f>
        <v>2000</v>
      </c>
      <c r="Y66" s="53">
        <f t="shared" si="53"/>
        <v>1</v>
      </c>
      <c r="Z66" s="53">
        <f t="shared" si="54"/>
        <v>0</v>
      </c>
      <c r="AA66" s="53">
        <f t="shared" si="55"/>
        <v>1</v>
      </c>
    </row>
    <row r="67" spans="1:27" ht="18.75" customHeight="1" outlineLevel="6" x14ac:dyDescent="0.3">
      <c r="B67" s="44"/>
      <c r="C67" s="18"/>
      <c r="D67" s="24"/>
      <c r="E67" s="29"/>
      <c r="F67" s="34"/>
      <c r="G67" s="39"/>
      <c r="H67" s="46" t="s">
        <v>103</v>
      </c>
      <c r="I67" s="46" t="s">
        <v>56</v>
      </c>
      <c r="J67" s="47" t="s">
        <v>30</v>
      </c>
      <c r="K67" s="48">
        <v>0.05</v>
      </c>
      <c r="L67" s="49">
        <f>VLOOKUP(H67,[4]Sheet2!K:P,6,0)</f>
        <v>5.295E-5</v>
      </c>
      <c r="M67" s="50">
        <f>VLOOKUP(H67,[4]Sheet2!K:Q,7,0)</f>
        <v>2000</v>
      </c>
      <c r="N67" s="51"/>
      <c r="O67" s="51"/>
      <c r="P67" s="51"/>
      <c r="Q67" s="51"/>
      <c r="R67" s="51"/>
      <c r="S67" s="51"/>
      <c r="T67" s="51"/>
      <c r="U67" s="51"/>
      <c r="V67" s="52">
        <f>VLOOKUP(H67,[4]Sheet2!K:N,4,0)</f>
        <v>2000</v>
      </c>
      <c r="W67" s="52">
        <f t="shared" si="52"/>
        <v>0</v>
      </c>
      <c r="X67" s="52">
        <f>VLOOKUP(H67,[4]Sheet2!K:N,4,0)</f>
        <v>2000</v>
      </c>
      <c r="Y67" s="53">
        <f t="shared" si="53"/>
        <v>1</v>
      </c>
      <c r="Z67" s="53">
        <f t="shared" si="54"/>
        <v>0</v>
      </c>
      <c r="AA67" s="53">
        <f t="shared" si="55"/>
        <v>1</v>
      </c>
    </row>
    <row r="68" spans="1:27" ht="18.75" customHeight="1" outlineLevel="5" x14ac:dyDescent="0.3">
      <c r="B68" s="12"/>
      <c r="C68" s="18"/>
      <c r="D68" s="24"/>
      <c r="E68" s="29"/>
      <c r="F68" s="34"/>
      <c r="G68" s="39" t="s">
        <v>104</v>
      </c>
      <c r="H68" s="58"/>
      <c r="I68" s="58"/>
      <c r="J68" s="58"/>
      <c r="K68" s="58"/>
      <c r="L68" s="41">
        <f>SUM(L69:L74)</f>
        <v>2.1371000000000003E-3</v>
      </c>
      <c r="M68" s="42">
        <f>M69</f>
        <v>5000</v>
      </c>
      <c r="N68" s="40"/>
      <c r="O68" s="40"/>
      <c r="P68" s="40"/>
      <c r="Q68" s="40"/>
      <c r="R68" s="40"/>
      <c r="S68" s="40"/>
      <c r="T68" s="40"/>
      <c r="U68" s="40"/>
      <c r="V68" s="42">
        <f t="shared" ref="V68:X68" si="56">V69</f>
        <v>5000</v>
      </c>
      <c r="W68" s="42">
        <f t="shared" si="56"/>
        <v>0</v>
      </c>
      <c r="X68" s="42">
        <f t="shared" si="56"/>
        <v>5000</v>
      </c>
      <c r="Y68" s="43">
        <f>SUMPRODUCT(Y69:Y74,$K69:$K74)</f>
        <v>1.0000000000000002</v>
      </c>
      <c r="Z68" s="43">
        <f t="shared" ref="Z68:AA68" si="57">SUMPRODUCT(Z69:Z74,$K69:$K74)</f>
        <v>0</v>
      </c>
      <c r="AA68" s="43">
        <f t="shared" si="57"/>
        <v>1.0000000000000002</v>
      </c>
    </row>
    <row r="69" spans="1:27" ht="18.75" customHeight="1" outlineLevel="6" x14ac:dyDescent="0.3">
      <c r="B69" s="44"/>
      <c r="C69" s="18"/>
      <c r="D69" s="24"/>
      <c r="E69" s="29"/>
      <c r="F69" s="34"/>
      <c r="G69" s="39"/>
      <c r="H69" s="46" t="s">
        <v>105</v>
      </c>
      <c r="I69" s="46" t="s">
        <v>45</v>
      </c>
      <c r="J69" s="47" t="s">
        <v>30</v>
      </c>
      <c r="K69" s="48">
        <v>0.05</v>
      </c>
      <c r="L69" s="49">
        <f>VLOOKUP(H69,[4]Sheet2!K:P,6,0)</f>
        <v>1.0685500000000002E-4</v>
      </c>
      <c r="M69" s="50">
        <f>VLOOKUP(H69,[4]Sheet2!K:Q,7,0)</f>
        <v>5000</v>
      </c>
      <c r="N69" s="51"/>
      <c r="O69" s="51"/>
      <c r="P69" s="51"/>
      <c r="Q69" s="51"/>
      <c r="R69" s="51"/>
      <c r="S69" s="51"/>
      <c r="T69" s="51"/>
      <c r="U69" s="51"/>
      <c r="V69" s="52">
        <f>VLOOKUP(H69,[4]Sheet2!K:N,4,0)</f>
        <v>5000</v>
      </c>
      <c r="W69" s="52">
        <f t="shared" ref="W69:W74" si="58">X69-V69</f>
        <v>0</v>
      </c>
      <c r="X69" s="52">
        <f>VLOOKUP(H69,[4]Sheet2!K:N,4,0)</f>
        <v>5000</v>
      </c>
      <c r="Y69" s="53">
        <f t="shared" ref="Y69:Y74" si="59">IFERROR(V69/M69,1)</f>
        <v>1</v>
      </c>
      <c r="Z69" s="53">
        <f t="shared" ref="Z69:Z74" si="60">IFERROR(W69/M69,1)</f>
        <v>0</v>
      </c>
      <c r="AA69" s="53">
        <f t="shared" ref="AA69:AA74" si="61">IFERROR(X69/M69,1)</f>
        <v>1</v>
      </c>
    </row>
    <row r="70" spans="1:27" ht="18.75" customHeight="1" outlineLevel="6" x14ac:dyDescent="0.3">
      <c r="A70" s="60" t="s">
        <v>46</v>
      </c>
      <c r="B70" s="44"/>
      <c r="C70" s="18"/>
      <c r="D70" s="24"/>
      <c r="E70" s="29"/>
      <c r="F70" s="34"/>
      <c r="G70" s="39"/>
      <c r="H70" s="46" t="s">
        <v>106</v>
      </c>
      <c r="I70" s="46" t="s">
        <v>48</v>
      </c>
      <c r="J70" s="47" t="s">
        <v>30</v>
      </c>
      <c r="K70" s="48">
        <v>0.5</v>
      </c>
      <c r="L70" s="49">
        <f>VLOOKUP(H70,[4]Sheet2!K:P,6,0)</f>
        <v>1.0685500000000001E-3</v>
      </c>
      <c r="M70" s="50">
        <f>VLOOKUP(H70,[4]Sheet2!K:Q,7,0)</f>
        <v>5000</v>
      </c>
      <c r="N70" s="51"/>
      <c r="O70" s="51"/>
      <c r="P70" s="51"/>
      <c r="Q70" s="51"/>
      <c r="R70" s="51"/>
      <c r="S70" s="51"/>
      <c r="T70" s="51"/>
      <c r="U70" s="51"/>
      <c r="V70" s="52">
        <f>VLOOKUP(H70,[4]Sheet2!K:N,4,0)</f>
        <v>5000</v>
      </c>
      <c r="W70" s="52">
        <f t="shared" si="58"/>
        <v>0</v>
      </c>
      <c r="X70" s="52">
        <f>VLOOKUP(H70,[4]Sheet2!K:N,4,0)</f>
        <v>5000</v>
      </c>
      <c r="Y70" s="53">
        <f t="shared" si="59"/>
        <v>1</v>
      </c>
      <c r="Z70" s="53">
        <f t="shared" si="60"/>
        <v>0</v>
      </c>
      <c r="AA70" s="53">
        <f t="shared" si="61"/>
        <v>1</v>
      </c>
    </row>
    <row r="71" spans="1:27" ht="18.75" customHeight="1" outlineLevel="6" x14ac:dyDescent="0.3">
      <c r="B71" s="44"/>
      <c r="C71" s="18"/>
      <c r="D71" s="24"/>
      <c r="E71" s="29"/>
      <c r="F71" s="34"/>
      <c r="G71" s="39"/>
      <c r="H71" s="46" t="s">
        <v>107</v>
      </c>
      <c r="I71" s="46" t="s">
        <v>50</v>
      </c>
      <c r="J71" s="47" t="s">
        <v>30</v>
      </c>
      <c r="K71" s="48">
        <v>0.15</v>
      </c>
      <c r="L71" s="49">
        <f>VLOOKUP(H71,[4]Sheet2!K:P,6,0)</f>
        <v>3.2056500000000003E-4</v>
      </c>
      <c r="M71" s="50">
        <f>VLOOKUP(H71,[4]Sheet2!K:Q,7,0)</f>
        <v>5000</v>
      </c>
      <c r="N71" s="51"/>
      <c r="O71" s="51"/>
      <c r="P71" s="51"/>
      <c r="Q71" s="51"/>
      <c r="R71" s="51"/>
      <c r="S71" s="51"/>
      <c r="T71" s="51"/>
      <c r="U71" s="51"/>
      <c r="V71" s="52">
        <f>VLOOKUP(H71,[4]Sheet2!K:N,4,0)</f>
        <v>5000</v>
      </c>
      <c r="W71" s="52">
        <f t="shared" si="58"/>
        <v>0</v>
      </c>
      <c r="X71" s="52">
        <f>VLOOKUP(H71,[4]Sheet2!K:N,4,0)</f>
        <v>5000</v>
      </c>
      <c r="Y71" s="53">
        <f t="shared" si="59"/>
        <v>1</v>
      </c>
      <c r="Z71" s="53">
        <f t="shared" si="60"/>
        <v>0</v>
      </c>
      <c r="AA71" s="53">
        <f t="shared" si="61"/>
        <v>1</v>
      </c>
    </row>
    <row r="72" spans="1:27" ht="18.75" customHeight="1" outlineLevel="6" x14ac:dyDescent="0.3">
      <c r="B72" s="44"/>
      <c r="C72" s="18"/>
      <c r="D72" s="24"/>
      <c r="E72" s="29"/>
      <c r="F72" s="34"/>
      <c r="G72" s="39"/>
      <c r="H72" s="46" t="s">
        <v>108</v>
      </c>
      <c r="I72" s="46" t="s">
        <v>52</v>
      </c>
      <c r="J72" s="47" t="s">
        <v>30</v>
      </c>
      <c r="K72" s="48">
        <v>0.2</v>
      </c>
      <c r="L72" s="49">
        <f>VLOOKUP(H72,[4]Sheet2!K:P,6,0)</f>
        <v>4.2742000000000008E-4</v>
      </c>
      <c r="M72" s="50">
        <f>VLOOKUP(H72,[4]Sheet2!K:Q,7,0)</f>
        <v>5000</v>
      </c>
      <c r="N72" s="51"/>
      <c r="O72" s="51"/>
      <c r="P72" s="51"/>
      <c r="Q72" s="51"/>
      <c r="R72" s="51"/>
      <c r="S72" s="51"/>
      <c r="T72" s="51"/>
      <c r="U72" s="51"/>
      <c r="V72" s="52">
        <f>VLOOKUP(H72,[4]Sheet2!K:N,4,0)</f>
        <v>5000</v>
      </c>
      <c r="W72" s="52">
        <f t="shared" si="58"/>
        <v>0</v>
      </c>
      <c r="X72" s="52">
        <f>VLOOKUP(H72,[4]Sheet2!K:N,4,0)</f>
        <v>5000</v>
      </c>
      <c r="Y72" s="53">
        <f t="shared" si="59"/>
        <v>1</v>
      </c>
      <c r="Z72" s="53">
        <f t="shared" si="60"/>
        <v>0</v>
      </c>
      <c r="AA72" s="53">
        <f t="shared" si="61"/>
        <v>1</v>
      </c>
    </row>
    <row r="73" spans="1:27" ht="18.75" customHeight="1" outlineLevel="6" x14ac:dyDescent="0.3">
      <c r="B73" s="44"/>
      <c r="C73" s="18"/>
      <c r="D73" s="24"/>
      <c r="E73" s="29"/>
      <c r="F73" s="34"/>
      <c r="G73" s="39"/>
      <c r="H73" s="46" t="s">
        <v>109</v>
      </c>
      <c r="I73" s="46" t="s">
        <v>54</v>
      </c>
      <c r="J73" s="47" t="s">
        <v>30</v>
      </c>
      <c r="K73" s="48">
        <v>0.05</v>
      </c>
      <c r="L73" s="49">
        <f>VLOOKUP(H73,[4]Sheet2!K:P,6,0)</f>
        <v>1.0685500000000002E-4</v>
      </c>
      <c r="M73" s="50">
        <f>VLOOKUP(H73,[4]Sheet2!K:Q,7,0)</f>
        <v>5000</v>
      </c>
      <c r="N73" s="51"/>
      <c r="O73" s="51"/>
      <c r="P73" s="51"/>
      <c r="Q73" s="51"/>
      <c r="R73" s="51"/>
      <c r="S73" s="51"/>
      <c r="T73" s="51"/>
      <c r="U73" s="51"/>
      <c r="V73" s="52">
        <f>VLOOKUP(H73,[4]Sheet2!K:N,4,0)</f>
        <v>5000</v>
      </c>
      <c r="W73" s="52">
        <f t="shared" si="58"/>
        <v>0</v>
      </c>
      <c r="X73" s="52">
        <f>VLOOKUP(H73,[4]Sheet2!K:N,4,0)</f>
        <v>5000</v>
      </c>
      <c r="Y73" s="53">
        <f t="shared" si="59"/>
        <v>1</v>
      </c>
      <c r="Z73" s="53">
        <f t="shared" si="60"/>
        <v>0</v>
      </c>
      <c r="AA73" s="53">
        <f t="shared" si="61"/>
        <v>1</v>
      </c>
    </row>
    <row r="74" spans="1:27" ht="18.75" customHeight="1" outlineLevel="6" x14ac:dyDescent="0.3">
      <c r="B74" s="44"/>
      <c r="C74" s="18"/>
      <c r="D74" s="24"/>
      <c r="E74" s="29"/>
      <c r="F74" s="34"/>
      <c r="G74" s="39"/>
      <c r="H74" s="46" t="s">
        <v>110</v>
      </c>
      <c r="I74" s="46" t="s">
        <v>56</v>
      </c>
      <c r="J74" s="47" t="s">
        <v>30</v>
      </c>
      <c r="K74" s="48">
        <v>0.05</v>
      </c>
      <c r="L74" s="49">
        <f>VLOOKUP(H74,[4]Sheet2!K:P,6,0)</f>
        <v>1.0685500000000002E-4</v>
      </c>
      <c r="M74" s="50">
        <f>VLOOKUP(H74,[4]Sheet2!K:Q,7,0)</f>
        <v>5000</v>
      </c>
      <c r="N74" s="51"/>
      <c r="O74" s="51"/>
      <c r="P74" s="51"/>
      <c r="Q74" s="51"/>
      <c r="R74" s="51"/>
      <c r="S74" s="51"/>
      <c r="T74" s="51"/>
      <c r="U74" s="51"/>
      <c r="V74" s="52">
        <f>VLOOKUP(H74,[4]Sheet2!K:N,4,0)</f>
        <v>5000</v>
      </c>
      <c r="W74" s="52">
        <f t="shared" si="58"/>
        <v>0</v>
      </c>
      <c r="X74" s="52">
        <f>VLOOKUP(H74,[4]Sheet2!K:N,4,0)</f>
        <v>5000</v>
      </c>
      <c r="Y74" s="53">
        <f t="shared" si="59"/>
        <v>1</v>
      </c>
      <c r="Z74" s="53">
        <f t="shared" si="60"/>
        <v>0</v>
      </c>
      <c r="AA74" s="53">
        <f t="shared" si="61"/>
        <v>1</v>
      </c>
    </row>
    <row r="75" spans="1:27" ht="18.75" customHeight="1" outlineLevel="4" x14ac:dyDescent="0.3">
      <c r="B75" s="12"/>
      <c r="C75" s="18"/>
      <c r="D75" s="24"/>
      <c r="E75" s="29"/>
      <c r="F75" s="34" t="s">
        <v>111</v>
      </c>
      <c r="G75" s="34"/>
      <c r="H75" s="57"/>
      <c r="I75" s="57"/>
      <c r="J75" s="57"/>
      <c r="K75" s="57"/>
      <c r="L75" s="36">
        <f>L76+L85+L92+L99+L106+L113+L120+L127</f>
        <v>4.1244000000000003E-2</v>
      </c>
      <c r="M75" s="37">
        <f>M76+M85+M92+M99+M106+M113+M120+M127</f>
        <v>102421</v>
      </c>
      <c r="N75" s="35"/>
      <c r="O75" s="35"/>
      <c r="P75" s="35"/>
      <c r="Q75" s="35"/>
      <c r="R75" s="35"/>
      <c r="S75" s="35"/>
      <c r="T75" s="35"/>
      <c r="U75" s="35"/>
      <c r="V75" s="37">
        <f t="shared" ref="V75:X75" si="62">V76+V85+V92+V99+V106+V113+V120+V127</f>
        <v>102421</v>
      </c>
      <c r="W75" s="37">
        <f t="shared" si="62"/>
        <v>0</v>
      </c>
      <c r="X75" s="37">
        <f t="shared" si="62"/>
        <v>102421</v>
      </c>
      <c r="Y75" s="38">
        <f>(Y76*$L76+Y85*$L85+Y92*$L92+Y99*$L99+Y106*$L106+Y113*$L113+Y120*$L120+Y127*$L127)/$L75</f>
        <v>1.0000000000000002</v>
      </c>
      <c r="Z75" s="38">
        <f t="shared" ref="Z75:AA75" si="63">(Z76*$L76+Z85*$L85+Z92*$L92+Z99*$L99+Z106*$L106+Z113*$L113+Z120*$L120+Z127*$L127)/$L75</f>
        <v>0</v>
      </c>
      <c r="AA75" s="38">
        <f t="shared" si="63"/>
        <v>1.0000000000000002</v>
      </c>
    </row>
    <row r="76" spans="1:27" ht="18.75" customHeight="1" outlineLevel="5" x14ac:dyDescent="0.3">
      <c r="B76" s="12"/>
      <c r="C76" s="18"/>
      <c r="D76" s="24"/>
      <c r="E76" s="29"/>
      <c r="F76" s="34"/>
      <c r="G76" s="39" t="s">
        <v>112</v>
      </c>
      <c r="H76" s="58"/>
      <c r="I76" s="58"/>
      <c r="J76" s="58"/>
      <c r="K76" s="58"/>
      <c r="L76" s="41">
        <f>SUM(L77:L84)</f>
        <v>1.6168999999999999E-2</v>
      </c>
      <c r="M76" s="42">
        <f>M77</f>
        <v>36000</v>
      </c>
      <c r="N76" s="40"/>
      <c r="O76" s="40"/>
      <c r="P76" s="40"/>
      <c r="Q76" s="40"/>
      <c r="R76" s="40"/>
      <c r="S76" s="40"/>
      <c r="T76" s="40"/>
      <c r="U76" s="40"/>
      <c r="V76" s="42">
        <f t="shared" ref="V76:X76" si="64">V77</f>
        <v>36000</v>
      </c>
      <c r="W76" s="42">
        <f t="shared" si="64"/>
        <v>0</v>
      </c>
      <c r="X76" s="42">
        <f t="shared" si="64"/>
        <v>36000</v>
      </c>
      <c r="Y76" s="43">
        <f>SUMPRODUCT(Y77:Y84,$K77:$K84)</f>
        <v>1</v>
      </c>
      <c r="Z76" s="43">
        <f t="shared" ref="Z76:AA76" si="65">SUMPRODUCT(Z77:Z84,$K77:$K84)</f>
        <v>0</v>
      </c>
      <c r="AA76" s="43">
        <f t="shared" si="65"/>
        <v>1</v>
      </c>
    </row>
    <row r="77" spans="1:27" ht="18.75" customHeight="1" outlineLevel="6" x14ac:dyDescent="0.3">
      <c r="B77" s="44"/>
      <c r="C77" s="18"/>
      <c r="D77" s="24"/>
      <c r="E77" s="29"/>
      <c r="F77" s="34"/>
      <c r="G77" s="39"/>
      <c r="H77" s="46" t="s">
        <v>113</v>
      </c>
      <c r="I77" s="46" t="s">
        <v>45</v>
      </c>
      <c r="J77" s="47" t="s">
        <v>59</v>
      </c>
      <c r="K77" s="48">
        <v>0.05</v>
      </c>
      <c r="L77" s="49">
        <f>VLOOKUP(H77,[4]Sheet2!K:P,6,0)</f>
        <v>8.0844999999999995E-4</v>
      </c>
      <c r="M77" s="50">
        <f>VLOOKUP(H77,[4]Sheet2!K:Q,7,0)</f>
        <v>36000</v>
      </c>
      <c r="N77" s="51"/>
      <c r="O77" s="51"/>
      <c r="P77" s="51"/>
      <c r="Q77" s="51"/>
      <c r="R77" s="51"/>
      <c r="S77" s="51"/>
      <c r="T77" s="51"/>
      <c r="U77" s="51"/>
      <c r="V77" s="52">
        <f>VLOOKUP(H77,[4]Sheet2!K:N,4,0)</f>
        <v>36000</v>
      </c>
      <c r="W77" s="52">
        <f t="shared" ref="W77:W84" si="66">X77-V77</f>
        <v>0</v>
      </c>
      <c r="X77" s="52">
        <f>VLOOKUP(H77,[4]Sheet2!K:N,4,0)</f>
        <v>36000</v>
      </c>
      <c r="Y77" s="53">
        <f t="shared" ref="Y77:Y84" si="67">IFERROR(V77/M77,1)</f>
        <v>1</v>
      </c>
      <c r="Z77" s="53">
        <f t="shared" ref="Z77:Z84" si="68">IFERROR(W77/M77,1)</f>
        <v>0</v>
      </c>
      <c r="AA77" s="53">
        <f t="shared" ref="AA77:AA84" si="69">IFERROR(X77/M77,1)</f>
        <v>1</v>
      </c>
    </row>
    <row r="78" spans="1:27" ht="18.75" customHeight="1" outlineLevel="6" x14ac:dyDescent="0.3">
      <c r="B78" s="44"/>
      <c r="C78" s="18"/>
      <c r="D78" s="24"/>
      <c r="E78" s="29"/>
      <c r="F78" s="34"/>
      <c r="G78" s="39"/>
      <c r="H78" s="46" t="s">
        <v>114</v>
      </c>
      <c r="I78" s="46" t="s">
        <v>61</v>
      </c>
      <c r="J78" s="47" t="s">
        <v>59</v>
      </c>
      <c r="K78" s="48">
        <v>0.05</v>
      </c>
      <c r="L78" s="49">
        <f>VLOOKUP(H78,[4]Sheet2!K:P,6,0)</f>
        <v>8.0844999999999995E-4</v>
      </c>
      <c r="M78" s="50">
        <f>VLOOKUP(H78,[4]Sheet2!K:Q,7,0)</f>
        <v>36000</v>
      </c>
      <c r="N78" s="51"/>
      <c r="O78" s="51"/>
      <c r="P78" s="51"/>
      <c r="Q78" s="51"/>
      <c r="R78" s="51"/>
      <c r="S78" s="51"/>
      <c r="T78" s="51"/>
      <c r="U78" s="51"/>
      <c r="V78" s="52">
        <f>VLOOKUP(H78,[4]Sheet2!K:N,4,0)</f>
        <v>36000</v>
      </c>
      <c r="W78" s="52">
        <f t="shared" si="66"/>
        <v>0</v>
      </c>
      <c r="X78" s="52">
        <f>VLOOKUP(H78,[4]Sheet2!K:N,4,0)</f>
        <v>36000</v>
      </c>
      <c r="Y78" s="53">
        <f t="shared" si="67"/>
        <v>1</v>
      </c>
      <c r="Z78" s="53">
        <f t="shared" si="68"/>
        <v>0</v>
      </c>
      <c r="AA78" s="53">
        <f t="shared" si="69"/>
        <v>1</v>
      </c>
    </row>
    <row r="79" spans="1:27" ht="18.75" customHeight="1" outlineLevel="6" x14ac:dyDescent="0.3">
      <c r="A79" s="60" t="s">
        <v>46</v>
      </c>
      <c r="B79" s="44"/>
      <c r="C79" s="18"/>
      <c r="D79" s="24"/>
      <c r="E79" s="29"/>
      <c r="F79" s="34"/>
      <c r="G79" s="39"/>
      <c r="H79" s="46" t="s">
        <v>115</v>
      </c>
      <c r="I79" s="46" t="s">
        <v>63</v>
      </c>
      <c r="J79" s="47" t="s">
        <v>59</v>
      </c>
      <c r="K79" s="48">
        <v>0.5</v>
      </c>
      <c r="L79" s="49">
        <f>VLOOKUP(H79,[4]Sheet2!K:P,6,0)</f>
        <v>8.0844999999999997E-3</v>
      </c>
      <c r="M79" s="50">
        <f>VLOOKUP(H79,[4]Sheet2!K:Q,7,0)</f>
        <v>36000</v>
      </c>
      <c r="N79" s="51"/>
      <c r="O79" s="51"/>
      <c r="P79" s="51"/>
      <c r="Q79" s="51"/>
      <c r="R79" s="51"/>
      <c r="S79" s="51"/>
      <c r="T79" s="51"/>
      <c r="U79" s="51"/>
      <c r="V79" s="52">
        <f>VLOOKUP(H79,[4]Sheet2!K:N,4,0)</f>
        <v>36000</v>
      </c>
      <c r="W79" s="52">
        <f t="shared" si="66"/>
        <v>0</v>
      </c>
      <c r="X79" s="52">
        <f>VLOOKUP(H79,[4]Sheet2!K:N,4,0)</f>
        <v>36000</v>
      </c>
      <c r="Y79" s="53">
        <f t="shared" si="67"/>
        <v>1</v>
      </c>
      <c r="Z79" s="53">
        <f t="shared" si="68"/>
        <v>0</v>
      </c>
      <c r="AA79" s="53">
        <f t="shared" si="69"/>
        <v>1</v>
      </c>
    </row>
    <row r="80" spans="1:27" ht="18.75" customHeight="1" outlineLevel="6" x14ac:dyDescent="0.3">
      <c r="B80" s="44"/>
      <c r="C80" s="18"/>
      <c r="D80" s="24"/>
      <c r="E80" s="29"/>
      <c r="F80" s="34"/>
      <c r="G80" s="39"/>
      <c r="H80" s="46" t="s">
        <v>116</v>
      </c>
      <c r="I80" s="46" t="s">
        <v>65</v>
      </c>
      <c r="J80" s="47" t="s">
        <v>59</v>
      </c>
      <c r="K80" s="48">
        <v>0.1</v>
      </c>
      <c r="L80" s="49">
        <f>VLOOKUP(H80,[4]Sheet2!K:P,6,0)</f>
        <v>1.6168999999999999E-3</v>
      </c>
      <c r="M80" s="50">
        <f>VLOOKUP(H80,[4]Sheet2!K:Q,7,0)</f>
        <v>36000</v>
      </c>
      <c r="N80" s="51"/>
      <c r="O80" s="51"/>
      <c r="P80" s="51"/>
      <c r="Q80" s="51"/>
      <c r="R80" s="51"/>
      <c r="S80" s="51"/>
      <c r="T80" s="51"/>
      <c r="U80" s="51"/>
      <c r="V80" s="52">
        <f>VLOOKUP(H80,[4]Sheet2!K:N,4,0)</f>
        <v>36000</v>
      </c>
      <c r="W80" s="52">
        <f t="shared" si="66"/>
        <v>0</v>
      </c>
      <c r="X80" s="52">
        <f>VLOOKUP(H80,[4]Sheet2!K:N,4,0)</f>
        <v>36000</v>
      </c>
      <c r="Y80" s="53">
        <f t="shared" si="67"/>
        <v>1</v>
      </c>
      <c r="Z80" s="53">
        <f t="shared" si="68"/>
        <v>0</v>
      </c>
      <c r="AA80" s="53">
        <f t="shared" si="69"/>
        <v>1</v>
      </c>
    </row>
    <row r="81" spans="1:27" ht="18.75" customHeight="1" outlineLevel="6" x14ac:dyDescent="0.3">
      <c r="B81" s="44"/>
      <c r="C81" s="18"/>
      <c r="D81" s="24"/>
      <c r="E81" s="29"/>
      <c r="F81" s="34"/>
      <c r="G81" s="39"/>
      <c r="H81" s="46" t="s">
        <v>117</v>
      </c>
      <c r="I81" s="46" t="s">
        <v>67</v>
      </c>
      <c r="J81" s="47" t="s">
        <v>59</v>
      </c>
      <c r="K81" s="48">
        <v>0.15</v>
      </c>
      <c r="L81" s="49">
        <f>VLOOKUP(H81,[4]Sheet2!K:P,6,0)</f>
        <v>2.4253499999999997E-3</v>
      </c>
      <c r="M81" s="50">
        <f>VLOOKUP(H81,[4]Sheet2!K:Q,7,0)</f>
        <v>36000</v>
      </c>
      <c r="N81" s="51"/>
      <c r="O81" s="51"/>
      <c r="P81" s="51"/>
      <c r="Q81" s="51"/>
      <c r="R81" s="51"/>
      <c r="S81" s="51"/>
      <c r="T81" s="51"/>
      <c r="U81" s="51"/>
      <c r="V81" s="52">
        <f>VLOOKUP(H81,[4]Sheet2!K:N,4,0)</f>
        <v>36000</v>
      </c>
      <c r="W81" s="52">
        <f t="shared" si="66"/>
        <v>0</v>
      </c>
      <c r="X81" s="52">
        <f>VLOOKUP(H81,[4]Sheet2!K:N,4,0)</f>
        <v>36000</v>
      </c>
      <c r="Y81" s="53">
        <f t="shared" si="67"/>
        <v>1</v>
      </c>
      <c r="Z81" s="53">
        <f t="shared" si="68"/>
        <v>0</v>
      </c>
      <c r="AA81" s="53">
        <f t="shared" si="69"/>
        <v>1</v>
      </c>
    </row>
    <row r="82" spans="1:27" ht="18.75" customHeight="1" outlineLevel="6" x14ac:dyDescent="0.3">
      <c r="B82" s="44"/>
      <c r="C82" s="18"/>
      <c r="D82" s="24"/>
      <c r="E82" s="29"/>
      <c r="F82" s="34"/>
      <c r="G82" s="39"/>
      <c r="H82" s="46" t="s">
        <v>118</v>
      </c>
      <c r="I82" s="46" t="s">
        <v>69</v>
      </c>
      <c r="J82" s="47" t="s">
        <v>59</v>
      </c>
      <c r="K82" s="48">
        <v>0.05</v>
      </c>
      <c r="L82" s="49">
        <f>VLOOKUP(H82,[4]Sheet2!K:P,6,0)</f>
        <v>8.0844999999999995E-4</v>
      </c>
      <c r="M82" s="50">
        <f>VLOOKUP(H82,[4]Sheet2!K:Q,7,0)</f>
        <v>36000</v>
      </c>
      <c r="N82" s="51"/>
      <c r="O82" s="51"/>
      <c r="P82" s="51"/>
      <c r="Q82" s="51"/>
      <c r="R82" s="51"/>
      <c r="S82" s="51"/>
      <c r="T82" s="51"/>
      <c r="U82" s="51"/>
      <c r="V82" s="52">
        <f>VLOOKUP(H82,[4]Sheet2!K:N,4,0)</f>
        <v>36000</v>
      </c>
      <c r="W82" s="52">
        <f t="shared" si="66"/>
        <v>0</v>
      </c>
      <c r="X82" s="52">
        <f>VLOOKUP(H82,[4]Sheet2!K:N,4,0)</f>
        <v>36000</v>
      </c>
      <c r="Y82" s="53">
        <f t="shared" si="67"/>
        <v>1</v>
      </c>
      <c r="Z82" s="53">
        <f t="shared" si="68"/>
        <v>0</v>
      </c>
      <c r="AA82" s="53">
        <f t="shared" si="69"/>
        <v>1</v>
      </c>
    </row>
    <row r="83" spans="1:27" ht="18.75" customHeight="1" outlineLevel="6" x14ac:dyDescent="0.3">
      <c r="B83" s="44"/>
      <c r="C83" s="18"/>
      <c r="D83" s="24"/>
      <c r="E83" s="29"/>
      <c r="F83" s="34"/>
      <c r="G83" s="39"/>
      <c r="H83" s="46" t="s">
        <v>119</v>
      </c>
      <c r="I83" s="46" t="s">
        <v>71</v>
      </c>
      <c r="J83" s="47" t="s">
        <v>59</v>
      </c>
      <c r="K83" s="48">
        <v>0.05</v>
      </c>
      <c r="L83" s="49">
        <f>VLOOKUP(H83,[4]Sheet2!K:P,6,0)</f>
        <v>8.0844999999999995E-4</v>
      </c>
      <c r="M83" s="50">
        <f>VLOOKUP(H83,[4]Sheet2!K:Q,7,0)</f>
        <v>36000</v>
      </c>
      <c r="N83" s="51"/>
      <c r="O83" s="51"/>
      <c r="P83" s="51"/>
      <c r="Q83" s="51"/>
      <c r="R83" s="51"/>
      <c r="S83" s="51"/>
      <c r="T83" s="51"/>
      <c r="U83" s="51"/>
      <c r="V83" s="52">
        <f>VLOOKUP(H83,[4]Sheet2!K:N,4,0)</f>
        <v>36000</v>
      </c>
      <c r="W83" s="52">
        <f t="shared" si="66"/>
        <v>0</v>
      </c>
      <c r="X83" s="52">
        <f>VLOOKUP(H83,[4]Sheet2!K:N,4,0)</f>
        <v>36000</v>
      </c>
      <c r="Y83" s="53">
        <f t="shared" si="67"/>
        <v>1</v>
      </c>
      <c r="Z83" s="53">
        <f t="shared" si="68"/>
        <v>0</v>
      </c>
      <c r="AA83" s="53">
        <f t="shared" si="69"/>
        <v>1</v>
      </c>
    </row>
    <row r="84" spans="1:27" ht="18.75" customHeight="1" outlineLevel="6" x14ac:dyDescent="0.3">
      <c r="B84" s="44"/>
      <c r="C84" s="18"/>
      <c r="D84" s="24"/>
      <c r="E84" s="29"/>
      <c r="F84" s="34"/>
      <c r="G84" s="39"/>
      <c r="H84" s="46" t="s">
        <v>120</v>
      </c>
      <c r="I84" s="46" t="s">
        <v>73</v>
      </c>
      <c r="J84" s="47" t="s">
        <v>59</v>
      </c>
      <c r="K84" s="48">
        <v>0.05</v>
      </c>
      <c r="L84" s="49">
        <f>VLOOKUP(H84,[4]Sheet2!K:P,6,0)</f>
        <v>8.0844999999999995E-4</v>
      </c>
      <c r="M84" s="50">
        <f>VLOOKUP(H84,[4]Sheet2!K:Q,7,0)</f>
        <v>36000</v>
      </c>
      <c r="N84" s="51"/>
      <c r="O84" s="51"/>
      <c r="P84" s="51"/>
      <c r="Q84" s="51"/>
      <c r="R84" s="51"/>
      <c r="S84" s="51"/>
      <c r="T84" s="51"/>
      <c r="U84" s="51"/>
      <c r="V84" s="52">
        <f>VLOOKUP(H84,[4]Sheet2!K:N,4,0)</f>
        <v>36000</v>
      </c>
      <c r="W84" s="52">
        <f t="shared" si="66"/>
        <v>0</v>
      </c>
      <c r="X84" s="52">
        <f>VLOOKUP(H84,[4]Sheet2!K:N,4,0)</f>
        <v>36000</v>
      </c>
      <c r="Y84" s="53">
        <f t="shared" si="67"/>
        <v>1</v>
      </c>
      <c r="Z84" s="53">
        <f t="shared" si="68"/>
        <v>0</v>
      </c>
      <c r="AA84" s="53">
        <f t="shared" si="69"/>
        <v>1</v>
      </c>
    </row>
    <row r="85" spans="1:27" ht="18.75" customHeight="1" outlineLevel="5" x14ac:dyDescent="0.3">
      <c r="B85" s="12"/>
      <c r="C85" s="18"/>
      <c r="D85" s="24"/>
      <c r="E85" s="29"/>
      <c r="F85" s="34"/>
      <c r="G85" s="39" t="s">
        <v>121</v>
      </c>
      <c r="H85" s="58"/>
      <c r="I85" s="58"/>
      <c r="J85" s="58"/>
      <c r="K85" s="58"/>
      <c r="L85" s="41">
        <f>SUM(L86:L91)</f>
        <v>3.921E-3</v>
      </c>
      <c r="M85" s="42">
        <f>M86</f>
        <v>8000</v>
      </c>
      <c r="N85" s="40"/>
      <c r="O85" s="40"/>
      <c r="P85" s="40"/>
      <c r="Q85" s="40"/>
      <c r="R85" s="40"/>
      <c r="S85" s="40"/>
      <c r="T85" s="40"/>
      <c r="U85" s="40"/>
      <c r="V85" s="42">
        <f t="shared" ref="V85:X85" si="70">V86</f>
        <v>8000</v>
      </c>
      <c r="W85" s="42">
        <f t="shared" si="70"/>
        <v>0</v>
      </c>
      <c r="X85" s="42">
        <f t="shared" si="70"/>
        <v>8000</v>
      </c>
      <c r="Y85" s="43">
        <f>SUMPRODUCT(Y86:Y91,$K86:$K91)</f>
        <v>1.0000000000000002</v>
      </c>
      <c r="Z85" s="43">
        <f t="shared" ref="Z85:AA85" si="71">SUMPRODUCT(Z86:Z91,$K86:$K91)</f>
        <v>0</v>
      </c>
      <c r="AA85" s="43">
        <f t="shared" si="71"/>
        <v>1.0000000000000002</v>
      </c>
    </row>
    <row r="86" spans="1:27" ht="18.75" customHeight="1" outlineLevel="6" x14ac:dyDescent="0.3">
      <c r="B86" s="44"/>
      <c r="C86" s="18"/>
      <c r="D86" s="24"/>
      <c r="E86" s="29"/>
      <c r="F86" s="34"/>
      <c r="G86" s="39"/>
      <c r="H86" s="46" t="s">
        <v>122</v>
      </c>
      <c r="I86" s="46" t="s">
        <v>45</v>
      </c>
      <c r="J86" s="47" t="s">
        <v>30</v>
      </c>
      <c r="K86" s="48">
        <v>0.05</v>
      </c>
      <c r="L86" s="49">
        <f>VLOOKUP(H86,[4]Sheet2!K:P,6,0)</f>
        <v>1.9604999999999999E-4</v>
      </c>
      <c r="M86" s="50">
        <f>VLOOKUP(H86,[4]Sheet2!K:Q,7,0)</f>
        <v>8000</v>
      </c>
      <c r="N86" s="51"/>
      <c r="O86" s="51"/>
      <c r="P86" s="51"/>
      <c r="Q86" s="51"/>
      <c r="R86" s="51"/>
      <c r="S86" s="51"/>
      <c r="T86" s="51"/>
      <c r="U86" s="51"/>
      <c r="V86" s="52">
        <f>VLOOKUP(H86,[4]Sheet2!K:N,4,0)</f>
        <v>8000</v>
      </c>
      <c r="W86" s="52">
        <f t="shared" ref="W86:W91" si="72">X86-V86</f>
        <v>0</v>
      </c>
      <c r="X86" s="52">
        <f>VLOOKUP(H86,[4]Sheet2!K:N,4,0)</f>
        <v>8000</v>
      </c>
      <c r="Y86" s="53">
        <f t="shared" ref="Y86:Y91" si="73">IFERROR(V86/M86,1)</f>
        <v>1</v>
      </c>
      <c r="Z86" s="53">
        <f t="shared" ref="Z86:Z91" si="74">IFERROR(W86/M86,1)</f>
        <v>0</v>
      </c>
      <c r="AA86" s="53">
        <f t="shared" ref="AA86:AA91" si="75">IFERROR(X86/M86,1)</f>
        <v>1</v>
      </c>
    </row>
    <row r="87" spans="1:27" ht="18.75" customHeight="1" outlineLevel="6" x14ac:dyDescent="0.3">
      <c r="A87" s="60" t="s">
        <v>46</v>
      </c>
      <c r="B87" s="44"/>
      <c r="C87" s="18"/>
      <c r="D87" s="24"/>
      <c r="E87" s="29"/>
      <c r="F87" s="34"/>
      <c r="G87" s="39"/>
      <c r="H87" s="46" t="s">
        <v>123</v>
      </c>
      <c r="I87" s="46" t="s">
        <v>48</v>
      </c>
      <c r="J87" s="47" t="s">
        <v>30</v>
      </c>
      <c r="K87" s="48">
        <v>0.5</v>
      </c>
      <c r="L87" s="49">
        <f>VLOOKUP(H87,[4]Sheet2!K:P,6,0)</f>
        <v>1.9605E-3</v>
      </c>
      <c r="M87" s="50">
        <f>VLOOKUP(H87,[4]Sheet2!K:Q,7,0)</f>
        <v>8000</v>
      </c>
      <c r="N87" s="51"/>
      <c r="O87" s="51"/>
      <c r="P87" s="51"/>
      <c r="Q87" s="51"/>
      <c r="R87" s="51"/>
      <c r="S87" s="51"/>
      <c r="T87" s="51"/>
      <c r="U87" s="51"/>
      <c r="V87" s="52">
        <f>VLOOKUP(H87,[4]Sheet2!K:N,4,0)</f>
        <v>8000</v>
      </c>
      <c r="W87" s="52">
        <f t="shared" si="72"/>
        <v>0</v>
      </c>
      <c r="X87" s="52">
        <f>VLOOKUP(H87,[4]Sheet2!K:N,4,0)</f>
        <v>8000</v>
      </c>
      <c r="Y87" s="53">
        <f t="shared" si="73"/>
        <v>1</v>
      </c>
      <c r="Z87" s="53">
        <f t="shared" si="74"/>
        <v>0</v>
      </c>
      <c r="AA87" s="53">
        <f t="shared" si="75"/>
        <v>1</v>
      </c>
    </row>
    <row r="88" spans="1:27" ht="18.75" customHeight="1" outlineLevel="6" x14ac:dyDescent="0.3">
      <c r="B88" s="44"/>
      <c r="C88" s="18"/>
      <c r="D88" s="24"/>
      <c r="E88" s="29"/>
      <c r="F88" s="34"/>
      <c r="G88" s="39"/>
      <c r="H88" s="46" t="s">
        <v>124</v>
      </c>
      <c r="I88" s="46" t="s">
        <v>50</v>
      </c>
      <c r="J88" s="47" t="s">
        <v>30</v>
      </c>
      <c r="K88" s="48">
        <v>0.15</v>
      </c>
      <c r="L88" s="49">
        <f>VLOOKUP(H88,[4]Sheet2!K:P,6,0)</f>
        <v>5.8814999999999996E-4</v>
      </c>
      <c r="M88" s="50">
        <f>VLOOKUP(H88,[4]Sheet2!K:Q,7,0)</f>
        <v>8000</v>
      </c>
      <c r="N88" s="51"/>
      <c r="O88" s="51"/>
      <c r="P88" s="51"/>
      <c r="Q88" s="51"/>
      <c r="R88" s="51"/>
      <c r="S88" s="51"/>
      <c r="T88" s="51"/>
      <c r="U88" s="51"/>
      <c r="V88" s="52">
        <f>VLOOKUP(H88,[4]Sheet2!K:N,4,0)</f>
        <v>8000</v>
      </c>
      <c r="W88" s="52">
        <f t="shared" si="72"/>
        <v>0</v>
      </c>
      <c r="X88" s="52">
        <f>VLOOKUP(H88,[4]Sheet2!K:N,4,0)</f>
        <v>8000</v>
      </c>
      <c r="Y88" s="53">
        <f t="shared" si="73"/>
        <v>1</v>
      </c>
      <c r="Z88" s="53">
        <f t="shared" si="74"/>
        <v>0</v>
      </c>
      <c r="AA88" s="53">
        <f t="shared" si="75"/>
        <v>1</v>
      </c>
    </row>
    <row r="89" spans="1:27" ht="18.75" customHeight="1" outlineLevel="6" x14ac:dyDescent="0.3">
      <c r="B89" s="44"/>
      <c r="C89" s="18"/>
      <c r="D89" s="24"/>
      <c r="E89" s="29"/>
      <c r="F89" s="34"/>
      <c r="G89" s="39"/>
      <c r="H89" s="46" t="s">
        <v>125</v>
      </c>
      <c r="I89" s="46" t="s">
        <v>52</v>
      </c>
      <c r="J89" s="47" t="s">
        <v>30</v>
      </c>
      <c r="K89" s="48">
        <v>0.2</v>
      </c>
      <c r="L89" s="49">
        <f>VLOOKUP(H89,[4]Sheet2!K:P,6,0)</f>
        <v>7.8419999999999998E-4</v>
      </c>
      <c r="M89" s="50">
        <f>VLOOKUP(H89,[4]Sheet2!K:Q,7,0)</f>
        <v>8000</v>
      </c>
      <c r="N89" s="51"/>
      <c r="O89" s="51"/>
      <c r="P89" s="51"/>
      <c r="Q89" s="51"/>
      <c r="R89" s="51"/>
      <c r="S89" s="51"/>
      <c r="T89" s="51"/>
      <c r="U89" s="51"/>
      <c r="V89" s="52">
        <f>VLOOKUP(H89,[4]Sheet2!K:N,4,0)</f>
        <v>8000</v>
      </c>
      <c r="W89" s="52">
        <f t="shared" si="72"/>
        <v>0</v>
      </c>
      <c r="X89" s="52">
        <f>VLOOKUP(H89,[4]Sheet2!K:N,4,0)</f>
        <v>8000</v>
      </c>
      <c r="Y89" s="53">
        <f t="shared" si="73"/>
        <v>1</v>
      </c>
      <c r="Z89" s="53">
        <f t="shared" si="74"/>
        <v>0</v>
      </c>
      <c r="AA89" s="53">
        <f t="shared" si="75"/>
        <v>1</v>
      </c>
    </row>
    <row r="90" spans="1:27" ht="18.75" customHeight="1" outlineLevel="6" x14ac:dyDescent="0.3">
      <c r="B90" s="44"/>
      <c r="C90" s="18"/>
      <c r="D90" s="24"/>
      <c r="E90" s="29"/>
      <c r="F90" s="34"/>
      <c r="G90" s="39"/>
      <c r="H90" s="46" t="s">
        <v>126</v>
      </c>
      <c r="I90" s="46" t="s">
        <v>54</v>
      </c>
      <c r="J90" s="47" t="s">
        <v>30</v>
      </c>
      <c r="K90" s="48">
        <v>0.05</v>
      </c>
      <c r="L90" s="49">
        <f>VLOOKUP(H90,[4]Sheet2!K:P,6,0)</f>
        <v>1.9604999999999999E-4</v>
      </c>
      <c r="M90" s="50">
        <f>VLOOKUP(H90,[4]Sheet2!K:Q,7,0)</f>
        <v>8000</v>
      </c>
      <c r="N90" s="51"/>
      <c r="O90" s="51"/>
      <c r="P90" s="51"/>
      <c r="Q90" s="51"/>
      <c r="R90" s="51"/>
      <c r="S90" s="51"/>
      <c r="T90" s="51"/>
      <c r="U90" s="51"/>
      <c r="V90" s="52">
        <f>VLOOKUP(H90,[4]Sheet2!K:N,4,0)</f>
        <v>8000</v>
      </c>
      <c r="W90" s="52">
        <f t="shared" si="72"/>
        <v>0</v>
      </c>
      <c r="X90" s="52">
        <f>VLOOKUP(H90,[4]Sheet2!K:N,4,0)</f>
        <v>8000</v>
      </c>
      <c r="Y90" s="53">
        <f t="shared" si="73"/>
        <v>1</v>
      </c>
      <c r="Z90" s="53">
        <f t="shared" si="74"/>
        <v>0</v>
      </c>
      <c r="AA90" s="53">
        <f t="shared" si="75"/>
        <v>1</v>
      </c>
    </row>
    <row r="91" spans="1:27" ht="18.75" customHeight="1" outlineLevel="6" x14ac:dyDescent="0.3">
      <c r="B91" s="44"/>
      <c r="C91" s="18"/>
      <c r="D91" s="24"/>
      <c r="E91" s="29"/>
      <c r="F91" s="34"/>
      <c r="G91" s="39"/>
      <c r="H91" s="46" t="s">
        <v>127</v>
      </c>
      <c r="I91" s="46" t="s">
        <v>56</v>
      </c>
      <c r="J91" s="47" t="s">
        <v>30</v>
      </c>
      <c r="K91" s="48">
        <v>0.05</v>
      </c>
      <c r="L91" s="49">
        <f>VLOOKUP(H91,[4]Sheet2!K:P,6,0)</f>
        <v>1.9604999999999999E-4</v>
      </c>
      <c r="M91" s="50">
        <f>VLOOKUP(H91,[4]Sheet2!K:Q,7,0)</f>
        <v>8000</v>
      </c>
      <c r="N91" s="51"/>
      <c r="O91" s="51"/>
      <c r="P91" s="51"/>
      <c r="Q91" s="51"/>
      <c r="R91" s="51"/>
      <c r="S91" s="51"/>
      <c r="T91" s="51"/>
      <c r="U91" s="51"/>
      <c r="V91" s="52">
        <f>VLOOKUP(H91,[4]Sheet2!K:N,4,0)</f>
        <v>8000</v>
      </c>
      <c r="W91" s="52">
        <f t="shared" si="72"/>
        <v>0</v>
      </c>
      <c r="X91" s="52">
        <f>VLOOKUP(H91,[4]Sheet2!K:N,4,0)</f>
        <v>8000</v>
      </c>
      <c r="Y91" s="53">
        <f t="shared" si="73"/>
        <v>1</v>
      </c>
      <c r="Z91" s="53">
        <f t="shared" si="74"/>
        <v>0</v>
      </c>
      <c r="AA91" s="53">
        <f t="shared" si="75"/>
        <v>1</v>
      </c>
    </row>
    <row r="92" spans="1:27" ht="18.75" customHeight="1" outlineLevel="5" x14ac:dyDescent="0.3">
      <c r="B92" s="12"/>
      <c r="C92" s="18"/>
      <c r="D92" s="24"/>
      <c r="E92" s="29"/>
      <c r="F92" s="34"/>
      <c r="G92" s="39" t="s">
        <v>128</v>
      </c>
      <c r="H92" s="58"/>
      <c r="I92" s="58"/>
      <c r="J92" s="58"/>
      <c r="K92" s="58"/>
      <c r="L92" s="41">
        <f>SUM(L93:L98)</f>
        <v>3.921E-3</v>
      </c>
      <c r="M92" s="42">
        <f>M93</f>
        <v>8000</v>
      </c>
      <c r="N92" s="40"/>
      <c r="O92" s="40"/>
      <c r="P92" s="40"/>
      <c r="Q92" s="40"/>
      <c r="R92" s="40"/>
      <c r="S92" s="40"/>
      <c r="T92" s="40"/>
      <c r="U92" s="40"/>
      <c r="V92" s="42">
        <f t="shared" ref="V92:X92" si="76">V93</f>
        <v>8000</v>
      </c>
      <c r="W92" s="42">
        <f t="shared" si="76"/>
        <v>0</v>
      </c>
      <c r="X92" s="42">
        <f t="shared" si="76"/>
        <v>8000</v>
      </c>
      <c r="Y92" s="43">
        <f>SUMPRODUCT(Y93:Y98,$K93:$K98)</f>
        <v>1.0000000000000002</v>
      </c>
      <c r="Z92" s="43">
        <f t="shared" ref="Z92:AA92" si="77">SUMPRODUCT(Z93:Z98,$K93:$K98)</f>
        <v>0</v>
      </c>
      <c r="AA92" s="43">
        <f t="shared" si="77"/>
        <v>1.0000000000000002</v>
      </c>
    </row>
    <row r="93" spans="1:27" ht="18.75" customHeight="1" outlineLevel="6" x14ac:dyDescent="0.3">
      <c r="B93" s="44"/>
      <c r="C93" s="18"/>
      <c r="D93" s="24"/>
      <c r="E93" s="29"/>
      <c r="F93" s="34"/>
      <c r="G93" s="39"/>
      <c r="H93" s="46" t="s">
        <v>129</v>
      </c>
      <c r="I93" s="46" t="s">
        <v>45</v>
      </c>
      <c r="J93" s="47" t="s">
        <v>30</v>
      </c>
      <c r="K93" s="48">
        <v>0.05</v>
      </c>
      <c r="L93" s="49">
        <f>VLOOKUP(H93,[4]Sheet2!K:P,6,0)</f>
        <v>1.9604999999999999E-4</v>
      </c>
      <c r="M93" s="50">
        <f>VLOOKUP(H93,[4]Sheet2!K:Q,7,0)</f>
        <v>8000</v>
      </c>
      <c r="N93" s="51"/>
      <c r="O93" s="51"/>
      <c r="P93" s="51"/>
      <c r="Q93" s="51"/>
      <c r="R93" s="51"/>
      <c r="S93" s="51"/>
      <c r="T93" s="51"/>
      <c r="U93" s="51"/>
      <c r="V93" s="52">
        <f>VLOOKUP(H93,[4]Sheet2!K:N,4,0)</f>
        <v>8000</v>
      </c>
      <c r="W93" s="52">
        <f t="shared" ref="W93:W98" si="78">X93-V93</f>
        <v>0</v>
      </c>
      <c r="X93" s="52">
        <f>VLOOKUP(H93,[4]Sheet2!K:N,4,0)</f>
        <v>8000</v>
      </c>
      <c r="Y93" s="53">
        <f t="shared" ref="Y93:Y98" si="79">IFERROR(V93/M93,1)</f>
        <v>1</v>
      </c>
      <c r="Z93" s="53">
        <f t="shared" ref="Z93:Z98" si="80">IFERROR(W93/M93,1)</f>
        <v>0</v>
      </c>
      <c r="AA93" s="53">
        <f t="shared" ref="AA93:AA98" si="81">IFERROR(X93/M93,1)</f>
        <v>1</v>
      </c>
    </row>
    <row r="94" spans="1:27" ht="18.75" customHeight="1" outlineLevel="6" x14ac:dyDescent="0.3">
      <c r="A94" s="60" t="s">
        <v>46</v>
      </c>
      <c r="B94" s="44"/>
      <c r="C94" s="18"/>
      <c r="D94" s="24"/>
      <c r="E94" s="29"/>
      <c r="F94" s="34"/>
      <c r="G94" s="39"/>
      <c r="H94" s="46" t="s">
        <v>130</v>
      </c>
      <c r="I94" s="46" t="s">
        <v>48</v>
      </c>
      <c r="J94" s="47" t="s">
        <v>30</v>
      </c>
      <c r="K94" s="48">
        <v>0.5</v>
      </c>
      <c r="L94" s="49">
        <f>VLOOKUP(H94,[4]Sheet2!K:P,6,0)</f>
        <v>1.9605E-3</v>
      </c>
      <c r="M94" s="50">
        <f>VLOOKUP(H94,[4]Sheet2!K:Q,7,0)</f>
        <v>8000</v>
      </c>
      <c r="N94" s="51"/>
      <c r="O94" s="51"/>
      <c r="P94" s="51"/>
      <c r="Q94" s="51"/>
      <c r="R94" s="51"/>
      <c r="S94" s="51"/>
      <c r="T94" s="51"/>
      <c r="U94" s="51"/>
      <c r="V94" s="52">
        <f>VLOOKUP(H94,[4]Sheet2!K:N,4,0)</f>
        <v>8000</v>
      </c>
      <c r="W94" s="52">
        <f t="shared" si="78"/>
        <v>0</v>
      </c>
      <c r="X94" s="52">
        <f>VLOOKUP(H94,[4]Sheet2!K:N,4,0)</f>
        <v>8000</v>
      </c>
      <c r="Y94" s="53">
        <f t="shared" si="79"/>
        <v>1</v>
      </c>
      <c r="Z94" s="53">
        <f t="shared" si="80"/>
        <v>0</v>
      </c>
      <c r="AA94" s="53">
        <f t="shared" si="81"/>
        <v>1</v>
      </c>
    </row>
    <row r="95" spans="1:27" ht="18.75" customHeight="1" outlineLevel="6" x14ac:dyDescent="0.3">
      <c r="B95" s="44"/>
      <c r="C95" s="18"/>
      <c r="D95" s="24"/>
      <c r="E95" s="29"/>
      <c r="F95" s="34"/>
      <c r="G95" s="39"/>
      <c r="H95" s="46" t="s">
        <v>131</v>
      </c>
      <c r="I95" s="46" t="s">
        <v>50</v>
      </c>
      <c r="J95" s="47" t="s">
        <v>30</v>
      </c>
      <c r="K95" s="48">
        <v>0.15</v>
      </c>
      <c r="L95" s="49">
        <f>VLOOKUP(H95,[4]Sheet2!K:P,6,0)</f>
        <v>5.8814999999999996E-4</v>
      </c>
      <c r="M95" s="50">
        <f>VLOOKUP(H95,[4]Sheet2!K:Q,7,0)</f>
        <v>8000</v>
      </c>
      <c r="N95" s="51"/>
      <c r="O95" s="51"/>
      <c r="P95" s="51"/>
      <c r="Q95" s="51"/>
      <c r="R95" s="51"/>
      <c r="S95" s="51"/>
      <c r="T95" s="51"/>
      <c r="U95" s="51"/>
      <c r="V95" s="52">
        <f>VLOOKUP(H95,[4]Sheet2!K:N,4,0)</f>
        <v>8000</v>
      </c>
      <c r="W95" s="52">
        <f t="shared" si="78"/>
        <v>0</v>
      </c>
      <c r="X95" s="52">
        <f>VLOOKUP(H95,[4]Sheet2!K:N,4,0)</f>
        <v>8000</v>
      </c>
      <c r="Y95" s="53">
        <f t="shared" si="79"/>
        <v>1</v>
      </c>
      <c r="Z95" s="53">
        <f t="shared" si="80"/>
        <v>0</v>
      </c>
      <c r="AA95" s="53">
        <f t="shared" si="81"/>
        <v>1</v>
      </c>
    </row>
    <row r="96" spans="1:27" ht="18.75" customHeight="1" outlineLevel="6" x14ac:dyDescent="0.3">
      <c r="B96" s="44"/>
      <c r="C96" s="18"/>
      <c r="D96" s="24"/>
      <c r="E96" s="29"/>
      <c r="F96" s="34"/>
      <c r="G96" s="39"/>
      <c r="H96" s="46" t="s">
        <v>132</v>
      </c>
      <c r="I96" s="46" t="s">
        <v>52</v>
      </c>
      <c r="J96" s="47" t="s">
        <v>30</v>
      </c>
      <c r="K96" s="48">
        <v>0.2</v>
      </c>
      <c r="L96" s="49">
        <f>VLOOKUP(H96,[4]Sheet2!K:P,6,0)</f>
        <v>7.8419999999999998E-4</v>
      </c>
      <c r="M96" s="50">
        <f>VLOOKUP(H96,[4]Sheet2!K:Q,7,0)</f>
        <v>8000</v>
      </c>
      <c r="N96" s="51"/>
      <c r="O96" s="51"/>
      <c r="P96" s="51"/>
      <c r="Q96" s="51"/>
      <c r="R96" s="51"/>
      <c r="S96" s="51"/>
      <c r="T96" s="51"/>
      <c r="U96" s="51"/>
      <c r="V96" s="52">
        <f>VLOOKUP(H96,[4]Sheet2!K:N,4,0)</f>
        <v>8000</v>
      </c>
      <c r="W96" s="52">
        <f t="shared" si="78"/>
        <v>0</v>
      </c>
      <c r="X96" s="52">
        <f>VLOOKUP(H96,[4]Sheet2!K:N,4,0)</f>
        <v>8000</v>
      </c>
      <c r="Y96" s="53">
        <f t="shared" si="79"/>
        <v>1</v>
      </c>
      <c r="Z96" s="53">
        <f t="shared" si="80"/>
        <v>0</v>
      </c>
      <c r="AA96" s="53">
        <f t="shared" si="81"/>
        <v>1</v>
      </c>
    </row>
    <row r="97" spans="1:27" ht="18.75" customHeight="1" outlineLevel="6" x14ac:dyDescent="0.3">
      <c r="B97" s="44"/>
      <c r="C97" s="18"/>
      <c r="D97" s="24"/>
      <c r="E97" s="29"/>
      <c r="F97" s="34"/>
      <c r="G97" s="39"/>
      <c r="H97" s="46" t="s">
        <v>133</v>
      </c>
      <c r="I97" s="46" t="s">
        <v>54</v>
      </c>
      <c r="J97" s="47" t="s">
        <v>30</v>
      </c>
      <c r="K97" s="48">
        <v>0.05</v>
      </c>
      <c r="L97" s="49">
        <f>VLOOKUP(H97,[4]Sheet2!K:P,6,0)</f>
        <v>1.9604999999999999E-4</v>
      </c>
      <c r="M97" s="50">
        <f>VLOOKUP(H97,[4]Sheet2!K:Q,7,0)</f>
        <v>8000</v>
      </c>
      <c r="N97" s="51"/>
      <c r="O97" s="51"/>
      <c r="P97" s="51"/>
      <c r="Q97" s="51"/>
      <c r="R97" s="51"/>
      <c r="S97" s="51"/>
      <c r="T97" s="51"/>
      <c r="U97" s="51"/>
      <c r="V97" s="52">
        <f>VLOOKUP(H97,[4]Sheet2!K:N,4,0)</f>
        <v>8000</v>
      </c>
      <c r="W97" s="52">
        <f t="shared" si="78"/>
        <v>0</v>
      </c>
      <c r="X97" s="52">
        <f>VLOOKUP(H97,[4]Sheet2!K:N,4,0)</f>
        <v>8000</v>
      </c>
      <c r="Y97" s="53">
        <f t="shared" si="79"/>
        <v>1</v>
      </c>
      <c r="Z97" s="53">
        <f t="shared" si="80"/>
        <v>0</v>
      </c>
      <c r="AA97" s="53">
        <f t="shared" si="81"/>
        <v>1</v>
      </c>
    </row>
    <row r="98" spans="1:27" ht="18.75" customHeight="1" outlineLevel="6" x14ac:dyDescent="0.3">
      <c r="B98" s="44"/>
      <c r="C98" s="18"/>
      <c r="D98" s="24"/>
      <c r="E98" s="29"/>
      <c r="F98" s="34"/>
      <c r="G98" s="39"/>
      <c r="H98" s="46" t="s">
        <v>134</v>
      </c>
      <c r="I98" s="46" t="s">
        <v>56</v>
      </c>
      <c r="J98" s="47" t="s">
        <v>30</v>
      </c>
      <c r="K98" s="48">
        <v>0.05</v>
      </c>
      <c r="L98" s="49">
        <f>VLOOKUP(H98,[4]Sheet2!K:P,6,0)</f>
        <v>1.9604999999999999E-4</v>
      </c>
      <c r="M98" s="50">
        <f>VLOOKUP(H98,[4]Sheet2!K:Q,7,0)</f>
        <v>8000</v>
      </c>
      <c r="N98" s="51"/>
      <c r="O98" s="51"/>
      <c r="P98" s="51"/>
      <c r="Q98" s="51"/>
      <c r="R98" s="51"/>
      <c r="S98" s="51"/>
      <c r="T98" s="51"/>
      <c r="U98" s="51"/>
      <c r="V98" s="52">
        <f>VLOOKUP(H98,[4]Sheet2!K:N,4,0)</f>
        <v>8000</v>
      </c>
      <c r="W98" s="52">
        <f t="shared" si="78"/>
        <v>0</v>
      </c>
      <c r="X98" s="52">
        <f>VLOOKUP(H98,[4]Sheet2!K:N,4,0)</f>
        <v>8000</v>
      </c>
      <c r="Y98" s="53">
        <f t="shared" si="79"/>
        <v>1</v>
      </c>
      <c r="Z98" s="53">
        <f t="shared" si="80"/>
        <v>0</v>
      </c>
      <c r="AA98" s="53">
        <f t="shared" si="81"/>
        <v>1</v>
      </c>
    </row>
    <row r="99" spans="1:27" ht="18.75" customHeight="1" outlineLevel="5" x14ac:dyDescent="0.3">
      <c r="B99" s="12"/>
      <c r="C99" s="18"/>
      <c r="D99" s="24"/>
      <c r="E99" s="29"/>
      <c r="F99" s="34"/>
      <c r="G99" s="39" t="s">
        <v>135</v>
      </c>
      <c r="H99" s="58"/>
      <c r="I99" s="58"/>
      <c r="J99" s="58"/>
      <c r="K99" s="58"/>
      <c r="L99" s="41">
        <f>SUM(L100:L105)</f>
        <v>3.921E-3</v>
      </c>
      <c r="M99" s="42">
        <f>M100</f>
        <v>8000</v>
      </c>
      <c r="N99" s="40"/>
      <c r="O99" s="40"/>
      <c r="P99" s="40"/>
      <c r="Q99" s="40"/>
      <c r="R99" s="40"/>
      <c r="S99" s="40"/>
      <c r="T99" s="40"/>
      <c r="U99" s="40"/>
      <c r="V99" s="42">
        <f t="shared" ref="V99:X99" si="82">V100</f>
        <v>8000</v>
      </c>
      <c r="W99" s="42">
        <f t="shared" si="82"/>
        <v>0</v>
      </c>
      <c r="X99" s="42">
        <f t="shared" si="82"/>
        <v>8000</v>
      </c>
      <c r="Y99" s="43">
        <f>SUMPRODUCT(Y100:Y105,$K100:$K105)</f>
        <v>1.0000000000000002</v>
      </c>
      <c r="Z99" s="43">
        <f t="shared" ref="Z99:AA99" si="83">SUMPRODUCT(Z100:Z105,$K100:$K105)</f>
        <v>0</v>
      </c>
      <c r="AA99" s="43">
        <f t="shared" si="83"/>
        <v>1.0000000000000002</v>
      </c>
    </row>
    <row r="100" spans="1:27" ht="18.75" customHeight="1" outlineLevel="6" x14ac:dyDescent="0.3">
      <c r="B100" s="44"/>
      <c r="C100" s="18"/>
      <c r="D100" s="24"/>
      <c r="E100" s="29"/>
      <c r="F100" s="34"/>
      <c r="G100" s="39"/>
      <c r="H100" s="46" t="s">
        <v>136</v>
      </c>
      <c r="I100" s="46" t="s">
        <v>45</v>
      </c>
      <c r="J100" s="47" t="s">
        <v>30</v>
      </c>
      <c r="K100" s="48">
        <v>0.05</v>
      </c>
      <c r="L100" s="49">
        <f>VLOOKUP(H100,[4]Sheet2!K:P,6,0)</f>
        <v>1.9604999999999999E-4</v>
      </c>
      <c r="M100" s="50">
        <f>VLOOKUP(H100,[4]Sheet2!K:Q,7,0)</f>
        <v>8000</v>
      </c>
      <c r="N100" s="51"/>
      <c r="O100" s="51"/>
      <c r="P100" s="51"/>
      <c r="Q100" s="51"/>
      <c r="R100" s="51"/>
      <c r="S100" s="51"/>
      <c r="T100" s="51"/>
      <c r="U100" s="51"/>
      <c r="V100" s="52">
        <f>VLOOKUP(H100,[4]Sheet2!K:N,4,0)</f>
        <v>8000</v>
      </c>
      <c r="W100" s="52">
        <f t="shared" ref="W100:W105" si="84">X100-V100</f>
        <v>0</v>
      </c>
      <c r="X100" s="52">
        <f>VLOOKUP(H100,[4]Sheet2!K:N,4,0)</f>
        <v>8000</v>
      </c>
      <c r="Y100" s="53">
        <f t="shared" ref="Y100:Y105" si="85">IFERROR(V100/M100,1)</f>
        <v>1</v>
      </c>
      <c r="Z100" s="53">
        <f t="shared" ref="Z100:Z105" si="86">IFERROR(W100/M100,1)</f>
        <v>0</v>
      </c>
      <c r="AA100" s="53">
        <f t="shared" ref="AA100:AA105" si="87">IFERROR(X100/M100,1)</f>
        <v>1</v>
      </c>
    </row>
    <row r="101" spans="1:27" ht="18.75" customHeight="1" outlineLevel="6" x14ac:dyDescent="0.3">
      <c r="A101" s="60" t="s">
        <v>46</v>
      </c>
      <c r="B101" s="44"/>
      <c r="C101" s="18"/>
      <c r="D101" s="24"/>
      <c r="E101" s="29"/>
      <c r="F101" s="34"/>
      <c r="G101" s="39"/>
      <c r="H101" s="46" t="s">
        <v>137</v>
      </c>
      <c r="I101" s="46" t="s">
        <v>48</v>
      </c>
      <c r="J101" s="47" t="s">
        <v>30</v>
      </c>
      <c r="K101" s="48">
        <v>0.5</v>
      </c>
      <c r="L101" s="49">
        <f>VLOOKUP(H101,[4]Sheet2!K:P,6,0)</f>
        <v>1.9605E-3</v>
      </c>
      <c r="M101" s="50">
        <f>VLOOKUP(H101,[4]Sheet2!K:Q,7,0)</f>
        <v>8000</v>
      </c>
      <c r="N101" s="51"/>
      <c r="O101" s="51"/>
      <c r="P101" s="51"/>
      <c r="Q101" s="51"/>
      <c r="R101" s="51"/>
      <c r="S101" s="51"/>
      <c r="T101" s="51"/>
      <c r="U101" s="51"/>
      <c r="V101" s="52">
        <f>VLOOKUP(H101,[4]Sheet2!K:N,4,0)</f>
        <v>8000</v>
      </c>
      <c r="W101" s="52">
        <f t="shared" si="84"/>
        <v>0</v>
      </c>
      <c r="X101" s="52">
        <f>VLOOKUP(H101,[4]Sheet2!K:N,4,0)</f>
        <v>8000</v>
      </c>
      <c r="Y101" s="53">
        <f t="shared" si="85"/>
        <v>1</v>
      </c>
      <c r="Z101" s="53">
        <f t="shared" si="86"/>
        <v>0</v>
      </c>
      <c r="AA101" s="53">
        <f t="shared" si="87"/>
        <v>1</v>
      </c>
    </row>
    <row r="102" spans="1:27" ht="18.75" customHeight="1" outlineLevel="6" x14ac:dyDescent="0.3">
      <c r="B102" s="44"/>
      <c r="C102" s="18"/>
      <c r="D102" s="24"/>
      <c r="E102" s="29"/>
      <c r="F102" s="34"/>
      <c r="G102" s="39"/>
      <c r="H102" s="46" t="s">
        <v>138</v>
      </c>
      <c r="I102" s="46" t="s">
        <v>50</v>
      </c>
      <c r="J102" s="47" t="s">
        <v>30</v>
      </c>
      <c r="K102" s="48">
        <v>0.15</v>
      </c>
      <c r="L102" s="49">
        <f>VLOOKUP(H102,[4]Sheet2!K:P,6,0)</f>
        <v>5.8814999999999996E-4</v>
      </c>
      <c r="M102" s="50">
        <f>VLOOKUP(H102,[4]Sheet2!K:Q,7,0)</f>
        <v>8000</v>
      </c>
      <c r="N102" s="51"/>
      <c r="O102" s="51"/>
      <c r="P102" s="51"/>
      <c r="Q102" s="51"/>
      <c r="R102" s="51"/>
      <c r="S102" s="51"/>
      <c r="T102" s="51"/>
      <c r="U102" s="51"/>
      <c r="V102" s="52">
        <f>VLOOKUP(H102,[4]Sheet2!K:N,4,0)</f>
        <v>8000</v>
      </c>
      <c r="W102" s="52">
        <f t="shared" si="84"/>
        <v>0</v>
      </c>
      <c r="X102" s="52">
        <f>VLOOKUP(H102,[4]Sheet2!K:N,4,0)</f>
        <v>8000</v>
      </c>
      <c r="Y102" s="53">
        <f t="shared" si="85"/>
        <v>1</v>
      </c>
      <c r="Z102" s="53">
        <f t="shared" si="86"/>
        <v>0</v>
      </c>
      <c r="AA102" s="53">
        <f t="shared" si="87"/>
        <v>1</v>
      </c>
    </row>
    <row r="103" spans="1:27" ht="18.75" customHeight="1" outlineLevel="6" x14ac:dyDescent="0.3">
      <c r="B103" s="44"/>
      <c r="C103" s="18"/>
      <c r="D103" s="24"/>
      <c r="E103" s="29"/>
      <c r="F103" s="34"/>
      <c r="G103" s="39"/>
      <c r="H103" s="46" t="s">
        <v>139</v>
      </c>
      <c r="I103" s="46" t="s">
        <v>52</v>
      </c>
      <c r="J103" s="47" t="s">
        <v>30</v>
      </c>
      <c r="K103" s="48">
        <v>0.2</v>
      </c>
      <c r="L103" s="49">
        <f>VLOOKUP(H103,[4]Sheet2!K:P,6,0)</f>
        <v>7.8419999999999998E-4</v>
      </c>
      <c r="M103" s="50">
        <f>VLOOKUP(H103,[4]Sheet2!K:Q,7,0)</f>
        <v>8000</v>
      </c>
      <c r="N103" s="51"/>
      <c r="O103" s="51"/>
      <c r="P103" s="51"/>
      <c r="Q103" s="51"/>
      <c r="R103" s="51"/>
      <c r="S103" s="51"/>
      <c r="T103" s="51"/>
      <c r="U103" s="51"/>
      <c r="V103" s="52">
        <f>VLOOKUP(H103,[4]Sheet2!K:N,4,0)</f>
        <v>8000</v>
      </c>
      <c r="W103" s="52">
        <f t="shared" si="84"/>
        <v>0</v>
      </c>
      <c r="X103" s="52">
        <f>VLOOKUP(H103,[4]Sheet2!K:N,4,0)</f>
        <v>8000</v>
      </c>
      <c r="Y103" s="53">
        <f t="shared" si="85"/>
        <v>1</v>
      </c>
      <c r="Z103" s="53">
        <f t="shared" si="86"/>
        <v>0</v>
      </c>
      <c r="AA103" s="53">
        <f t="shared" si="87"/>
        <v>1</v>
      </c>
    </row>
    <row r="104" spans="1:27" ht="18.75" customHeight="1" outlineLevel="6" x14ac:dyDescent="0.3">
      <c r="B104" s="44"/>
      <c r="C104" s="18"/>
      <c r="D104" s="24"/>
      <c r="E104" s="29"/>
      <c r="F104" s="34"/>
      <c r="G104" s="39"/>
      <c r="H104" s="46" t="s">
        <v>140</v>
      </c>
      <c r="I104" s="46" t="s">
        <v>54</v>
      </c>
      <c r="J104" s="47" t="s">
        <v>30</v>
      </c>
      <c r="K104" s="48">
        <v>0.05</v>
      </c>
      <c r="L104" s="49">
        <f>VLOOKUP(H104,[4]Sheet2!K:P,6,0)</f>
        <v>1.9604999999999999E-4</v>
      </c>
      <c r="M104" s="50">
        <f>VLOOKUP(H104,[4]Sheet2!K:Q,7,0)</f>
        <v>8000</v>
      </c>
      <c r="N104" s="51"/>
      <c r="O104" s="51"/>
      <c r="P104" s="51"/>
      <c r="Q104" s="51"/>
      <c r="R104" s="51"/>
      <c r="S104" s="51"/>
      <c r="T104" s="51"/>
      <c r="U104" s="51"/>
      <c r="V104" s="52">
        <f>VLOOKUP(H104,[4]Sheet2!K:N,4,0)</f>
        <v>8000</v>
      </c>
      <c r="W104" s="52">
        <f t="shared" si="84"/>
        <v>0</v>
      </c>
      <c r="X104" s="52">
        <f>VLOOKUP(H104,[4]Sheet2!K:N,4,0)</f>
        <v>8000</v>
      </c>
      <c r="Y104" s="53">
        <f t="shared" si="85"/>
        <v>1</v>
      </c>
      <c r="Z104" s="53">
        <f t="shared" si="86"/>
        <v>0</v>
      </c>
      <c r="AA104" s="53">
        <f t="shared" si="87"/>
        <v>1</v>
      </c>
    </row>
    <row r="105" spans="1:27" ht="18.75" customHeight="1" outlineLevel="6" x14ac:dyDescent="0.3">
      <c r="B105" s="44"/>
      <c r="C105" s="18"/>
      <c r="D105" s="24"/>
      <c r="E105" s="29"/>
      <c r="F105" s="34"/>
      <c r="G105" s="39"/>
      <c r="H105" s="46" t="s">
        <v>141</v>
      </c>
      <c r="I105" s="46" t="s">
        <v>56</v>
      </c>
      <c r="J105" s="47" t="s">
        <v>30</v>
      </c>
      <c r="K105" s="48">
        <v>0.05</v>
      </c>
      <c r="L105" s="49">
        <f>VLOOKUP(H105,[4]Sheet2!K:P,6,0)</f>
        <v>1.9604999999999999E-4</v>
      </c>
      <c r="M105" s="50">
        <f>VLOOKUP(H105,[4]Sheet2!K:Q,7,0)</f>
        <v>8000</v>
      </c>
      <c r="N105" s="51"/>
      <c r="O105" s="51"/>
      <c r="P105" s="51"/>
      <c r="Q105" s="51"/>
      <c r="R105" s="51"/>
      <c r="S105" s="51"/>
      <c r="T105" s="51"/>
      <c r="U105" s="51"/>
      <c r="V105" s="52">
        <f>VLOOKUP(H105,[4]Sheet2!K:N,4,0)</f>
        <v>8000</v>
      </c>
      <c r="W105" s="52">
        <f t="shared" si="84"/>
        <v>0</v>
      </c>
      <c r="X105" s="52">
        <f>VLOOKUP(H105,[4]Sheet2!K:N,4,0)</f>
        <v>8000</v>
      </c>
      <c r="Y105" s="53">
        <f t="shared" si="85"/>
        <v>1</v>
      </c>
      <c r="Z105" s="53">
        <f t="shared" si="86"/>
        <v>0</v>
      </c>
      <c r="AA105" s="53">
        <f t="shared" si="87"/>
        <v>1</v>
      </c>
    </row>
    <row r="106" spans="1:27" ht="18.75" customHeight="1" outlineLevel="5" x14ac:dyDescent="0.3">
      <c r="B106" s="12"/>
      <c r="C106" s="18"/>
      <c r="D106" s="24"/>
      <c r="E106" s="29"/>
      <c r="F106" s="34"/>
      <c r="G106" s="39" t="s">
        <v>142</v>
      </c>
      <c r="H106" s="58"/>
      <c r="I106" s="58"/>
      <c r="J106" s="58"/>
      <c r="K106" s="58"/>
      <c r="L106" s="41">
        <f>SUM(L107:L112)</f>
        <v>3.921E-3</v>
      </c>
      <c r="M106" s="42">
        <f>M107</f>
        <v>8000</v>
      </c>
      <c r="N106" s="40"/>
      <c r="O106" s="40"/>
      <c r="P106" s="40"/>
      <c r="Q106" s="40"/>
      <c r="R106" s="40"/>
      <c r="S106" s="40"/>
      <c r="T106" s="40"/>
      <c r="U106" s="40"/>
      <c r="V106" s="42">
        <f t="shared" ref="V106:X106" si="88">V107</f>
        <v>8000</v>
      </c>
      <c r="W106" s="42">
        <f t="shared" si="88"/>
        <v>0</v>
      </c>
      <c r="X106" s="42">
        <f t="shared" si="88"/>
        <v>8000</v>
      </c>
      <c r="Y106" s="43">
        <f>SUMPRODUCT(Y107:Y112,$K107:$K112)</f>
        <v>1.0000000000000002</v>
      </c>
      <c r="Z106" s="43">
        <f t="shared" ref="Z106:AA106" si="89">SUMPRODUCT(Z107:Z112,$K107:$K112)</f>
        <v>0</v>
      </c>
      <c r="AA106" s="43">
        <f t="shared" si="89"/>
        <v>1.0000000000000002</v>
      </c>
    </row>
    <row r="107" spans="1:27" ht="18.75" customHeight="1" outlineLevel="6" x14ac:dyDescent="0.3">
      <c r="B107" s="44"/>
      <c r="C107" s="18"/>
      <c r="D107" s="24"/>
      <c r="E107" s="29"/>
      <c r="F107" s="34"/>
      <c r="G107" s="39"/>
      <c r="H107" s="46" t="s">
        <v>143</v>
      </c>
      <c r="I107" s="46" t="s">
        <v>45</v>
      </c>
      <c r="J107" s="47" t="s">
        <v>30</v>
      </c>
      <c r="K107" s="48">
        <v>0.05</v>
      </c>
      <c r="L107" s="49">
        <f>VLOOKUP(H107,[4]Sheet2!K:P,6,0)</f>
        <v>1.9604999999999999E-4</v>
      </c>
      <c r="M107" s="50">
        <f>VLOOKUP(H107,[4]Sheet2!K:Q,7,0)</f>
        <v>8000</v>
      </c>
      <c r="N107" s="51"/>
      <c r="O107" s="51"/>
      <c r="P107" s="51"/>
      <c r="Q107" s="51"/>
      <c r="R107" s="51"/>
      <c r="S107" s="51"/>
      <c r="T107" s="51"/>
      <c r="U107" s="51"/>
      <c r="V107" s="52">
        <f>VLOOKUP(H107,[4]Sheet2!K:N,4,0)</f>
        <v>8000</v>
      </c>
      <c r="W107" s="52">
        <f t="shared" ref="W107:W112" si="90">X107-V107</f>
        <v>0</v>
      </c>
      <c r="X107" s="52">
        <f>VLOOKUP(H107,[4]Sheet2!K:N,4,0)</f>
        <v>8000</v>
      </c>
      <c r="Y107" s="53">
        <f t="shared" ref="Y107:Y112" si="91">IFERROR(V107/M107,1)</f>
        <v>1</v>
      </c>
      <c r="Z107" s="53">
        <f t="shared" ref="Z107:Z112" si="92">IFERROR(W107/M107,1)</f>
        <v>0</v>
      </c>
      <c r="AA107" s="53">
        <f t="shared" ref="AA107:AA112" si="93">IFERROR(X107/M107,1)</f>
        <v>1</v>
      </c>
    </row>
    <row r="108" spans="1:27" ht="18.75" customHeight="1" outlineLevel="6" x14ac:dyDescent="0.3">
      <c r="A108" s="60" t="s">
        <v>46</v>
      </c>
      <c r="B108" s="44"/>
      <c r="C108" s="18"/>
      <c r="D108" s="24"/>
      <c r="E108" s="29"/>
      <c r="F108" s="34"/>
      <c r="G108" s="39"/>
      <c r="H108" s="46" t="s">
        <v>144</v>
      </c>
      <c r="I108" s="46" t="s">
        <v>48</v>
      </c>
      <c r="J108" s="47" t="s">
        <v>30</v>
      </c>
      <c r="K108" s="48">
        <v>0.5</v>
      </c>
      <c r="L108" s="49">
        <f>VLOOKUP(H108,[4]Sheet2!K:P,6,0)</f>
        <v>1.9605E-3</v>
      </c>
      <c r="M108" s="50">
        <f>VLOOKUP(H108,[4]Sheet2!K:Q,7,0)</f>
        <v>8000</v>
      </c>
      <c r="N108" s="51"/>
      <c r="O108" s="51"/>
      <c r="P108" s="51"/>
      <c r="Q108" s="51"/>
      <c r="R108" s="51"/>
      <c r="S108" s="51"/>
      <c r="T108" s="51"/>
      <c r="U108" s="51"/>
      <c r="V108" s="52">
        <f>VLOOKUP(H108,[4]Sheet2!K:N,4,0)</f>
        <v>8000</v>
      </c>
      <c r="W108" s="52">
        <f t="shared" si="90"/>
        <v>0</v>
      </c>
      <c r="X108" s="52">
        <f>VLOOKUP(H108,[4]Sheet2!K:N,4,0)</f>
        <v>8000</v>
      </c>
      <c r="Y108" s="53">
        <f t="shared" si="91"/>
        <v>1</v>
      </c>
      <c r="Z108" s="53">
        <f t="shared" si="92"/>
        <v>0</v>
      </c>
      <c r="AA108" s="53">
        <f t="shared" si="93"/>
        <v>1</v>
      </c>
    </row>
    <row r="109" spans="1:27" ht="18.75" customHeight="1" outlineLevel="6" x14ac:dyDescent="0.3">
      <c r="B109" s="44"/>
      <c r="C109" s="18"/>
      <c r="D109" s="24"/>
      <c r="E109" s="29"/>
      <c r="F109" s="34"/>
      <c r="G109" s="39"/>
      <c r="H109" s="46" t="s">
        <v>145</v>
      </c>
      <c r="I109" s="46" t="s">
        <v>50</v>
      </c>
      <c r="J109" s="47" t="s">
        <v>30</v>
      </c>
      <c r="K109" s="48">
        <v>0.15</v>
      </c>
      <c r="L109" s="49">
        <f>VLOOKUP(H109,[4]Sheet2!K:P,6,0)</f>
        <v>5.8814999999999996E-4</v>
      </c>
      <c r="M109" s="50">
        <f>VLOOKUP(H109,[4]Sheet2!K:Q,7,0)</f>
        <v>8000</v>
      </c>
      <c r="N109" s="51"/>
      <c r="O109" s="51"/>
      <c r="P109" s="51"/>
      <c r="Q109" s="51"/>
      <c r="R109" s="51"/>
      <c r="S109" s="51"/>
      <c r="T109" s="51"/>
      <c r="U109" s="51"/>
      <c r="V109" s="52">
        <f>VLOOKUP(H109,[4]Sheet2!K:N,4,0)</f>
        <v>8000</v>
      </c>
      <c r="W109" s="52">
        <f t="shared" si="90"/>
        <v>0</v>
      </c>
      <c r="X109" s="52">
        <f>VLOOKUP(H109,[4]Sheet2!K:N,4,0)</f>
        <v>8000</v>
      </c>
      <c r="Y109" s="53">
        <f t="shared" si="91"/>
        <v>1</v>
      </c>
      <c r="Z109" s="53">
        <f t="shared" si="92"/>
        <v>0</v>
      </c>
      <c r="AA109" s="53">
        <f t="shared" si="93"/>
        <v>1</v>
      </c>
    </row>
    <row r="110" spans="1:27" ht="18.75" customHeight="1" outlineLevel="6" x14ac:dyDescent="0.3">
      <c r="B110" s="44"/>
      <c r="C110" s="18"/>
      <c r="D110" s="24"/>
      <c r="E110" s="29"/>
      <c r="F110" s="34"/>
      <c r="G110" s="39"/>
      <c r="H110" s="46" t="s">
        <v>146</v>
      </c>
      <c r="I110" s="46" t="s">
        <v>52</v>
      </c>
      <c r="J110" s="47" t="s">
        <v>30</v>
      </c>
      <c r="K110" s="48">
        <v>0.2</v>
      </c>
      <c r="L110" s="49">
        <f>VLOOKUP(H110,[4]Sheet2!K:P,6,0)</f>
        <v>7.8419999999999998E-4</v>
      </c>
      <c r="M110" s="50">
        <f>VLOOKUP(H110,[4]Sheet2!K:Q,7,0)</f>
        <v>8000</v>
      </c>
      <c r="N110" s="51"/>
      <c r="O110" s="51"/>
      <c r="P110" s="51"/>
      <c r="Q110" s="51"/>
      <c r="R110" s="51"/>
      <c r="S110" s="51"/>
      <c r="T110" s="51"/>
      <c r="U110" s="51"/>
      <c r="V110" s="52">
        <f>VLOOKUP(H110,[4]Sheet2!K:N,4,0)</f>
        <v>8000</v>
      </c>
      <c r="W110" s="52">
        <f t="shared" si="90"/>
        <v>0</v>
      </c>
      <c r="X110" s="52">
        <f>VLOOKUP(H110,[4]Sheet2!K:N,4,0)</f>
        <v>8000</v>
      </c>
      <c r="Y110" s="53">
        <f t="shared" si="91"/>
        <v>1</v>
      </c>
      <c r="Z110" s="53">
        <f t="shared" si="92"/>
        <v>0</v>
      </c>
      <c r="AA110" s="53">
        <f t="shared" si="93"/>
        <v>1</v>
      </c>
    </row>
    <row r="111" spans="1:27" ht="18.75" customHeight="1" outlineLevel="6" x14ac:dyDescent="0.3">
      <c r="B111" s="44"/>
      <c r="C111" s="18"/>
      <c r="D111" s="24"/>
      <c r="E111" s="29"/>
      <c r="F111" s="34"/>
      <c r="G111" s="39"/>
      <c r="H111" s="46" t="s">
        <v>147</v>
      </c>
      <c r="I111" s="46" t="s">
        <v>54</v>
      </c>
      <c r="J111" s="47" t="s">
        <v>30</v>
      </c>
      <c r="K111" s="48">
        <v>0.05</v>
      </c>
      <c r="L111" s="49">
        <f>VLOOKUP(H111,[4]Sheet2!K:P,6,0)</f>
        <v>1.9604999999999999E-4</v>
      </c>
      <c r="M111" s="50">
        <f>VLOOKUP(H111,[4]Sheet2!K:Q,7,0)</f>
        <v>8000</v>
      </c>
      <c r="N111" s="51"/>
      <c r="O111" s="51"/>
      <c r="P111" s="51"/>
      <c r="Q111" s="51"/>
      <c r="R111" s="51"/>
      <c r="S111" s="51"/>
      <c r="T111" s="51"/>
      <c r="U111" s="51"/>
      <c r="V111" s="52">
        <f>VLOOKUP(H111,[4]Sheet2!K:N,4,0)</f>
        <v>8000</v>
      </c>
      <c r="W111" s="52">
        <f t="shared" si="90"/>
        <v>0</v>
      </c>
      <c r="X111" s="52">
        <f>VLOOKUP(H111,[4]Sheet2!K:N,4,0)</f>
        <v>8000</v>
      </c>
      <c r="Y111" s="53">
        <f t="shared" si="91"/>
        <v>1</v>
      </c>
      <c r="Z111" s="53">
        <f t="shared" si="92"/>
        <v>0</v>
      </c>
      <c r="AA111" s="53">
        <f t="shared" si="93"/>
        <v>1</v>
      </c>
    </row>
    <row r="112" spans="1:27" ht="18.75" customHeight="1" outlineLevel="6" x14ac:dyDescent="0.3">
      <c r="B112" s="44"/>
      <c r="C112" s="18"/>
      <c r="D112" s="24"/>
      <c r="E112" s="29"/>
      <c r="F112" s="34"/>
      <c r="G112" s="39"/>
      <c r="H112" s="46" t="s">
        <v>148</v>
      </c>
      <c r="I112" s="46" t="s">
        <v>56</v>
      </c>
      <c r="J112" s="47" t="s">
        <v>30</v>
      </c>
      <c r="K112" s="48">
        <v>0.05</v>
      </c>
      <c r="L112" s="49">
        <f>VLOOKUP(H112,[4]Sheet2!K:P,6,0)</f>
        <v>1.9604999999999999E-4</v>
      </c>
      <c r="M112" s="50">
        <f>VLOOKUP(H112,[4]Sheet2!K:Q,7,0)</f>
        <v>8000</v>
      </c>
      <c r="N112" s="51"/>
      <c r="O112" s="51"/>
      <c r="P112" s="51"/>
      <c r="Q112" s="51"/>
      <c r="R112" s="51"/>
      <c r="S112" s="51"/>
      <c r="T112" s="51"/>
      <c r="U112" s="51"/>
      <c r="V112" s="52">
        <f>VLOOKUP(H112,[4]Sheet2!K:N,4,0)</f>
        <v>8000</v>
      </c>
      <c r="W112" s="52">
        <f t="shared" si="90"/>
        <v>0</v>
      </c>
      <c r="X112" s="52">
        <f>VLOOKUP(H112,[4]Sheet2!K:N,4,0)</f>
        <v>8000</v>
      </c>
      <c r="Y112" s="53">
        <f t="shared" si="91"/>
        <v>1</v>
      </c>
      <c r="Z112" s="53">
        <f t="shared" si="92"/>
        <v>0</v>
      </c>
      <c r="AA112" s="53">
        <f t="shared" si="93"/>
        <v>1</v>
      </c>
    </row>
    <row r="113" spans="1:27" ht="18.75" customHeight="1" outlineLevel="5" x14ac:dyDescent="0.3">
      <c r="B113" s="12"/>
      <c r="C113" s="18"/>
      <c r="D113" s="24"/>
      <c r="E113" s="29"/>
      <c r="F113" s="34"/>
      <c r="G113" s="39" t="s">
        <v>149</v>
      </c>
      <c r="H113" s="58"/>
      <c r="I113" s="58"/>
      <c r="J113" s="58"/>
      <c r="K113" s="58"/>
      <c r="L113" s="41">
        <f>SUM(L114:L119)</f>
        <v>4.6160000000000003E-3</v>
      </c>
      <c r="M113" s="42">
        <f>M114</f>
        <v>7750</v>
      </c>
      <c r="N113" s="40"/>
      <c r="O113" s="40"/>
      <c r="P113" s="40"/>
      <c r="Q113" s="40"/>
      <c r="R113" s="40"/>
      <c r="S113" s="40"/>
      <c r="T113" s="40"/>
      <c r="U113" s="40"/>
      <c r="V113" s="42">
        <f t="shared" ref="V113:X113" si="94">V114</f>
        <v>7750</v>
      </c>
      <c r="W113" s="42">
        <f t="shared" si="94"/>
        <v>0</v>
      </c>
      <c r="X113" s="42">
        <f t="shared" si="94"/>
        <v>7750</v>
      </c>
      <c r="Y113" s="43">
        <f>SUMPRODUCT(Y114:Y119,$K114:$K119)</f>
        <v>1.0000000000000002</v>
      </c>
      <c r="Z113" s="43">
        <f t="shared" ref="Z113" si="95">SUMPRODUCT(Z114:Z119,$K114:$K119)</f>
        <v>0</v>
      </c>
      <c r="AA113" s="43">
        <f>SUMPRODUCT(AA114:AA119,$K114:$K119)</f>
        <v>1.0000000000000002</v>
      </c>
    </row>
    <row r="114" spans="1:27" ht="18.75" customHeight="1" outlineLevel="6" x14ac:dyDescent="0.3">
      <c r="B114" s="44"/>
      <c r="C114" s="18"/>
      <c r="D114" s="24"/>
      <c r="E114" s="29"/>
      <c r="F114" s="34"/>
      <c r="G114" s="39"/>
      <c r="H114" s="46" t="s">
        <v>150</v>
      </c>
      <c r="I114" s="46" t="s">
        <v>45</v>
      </c>
      <c r="J114" s="47" t="s">
        <v>30</v>
      </c>
      <c r="K114" s="48">
        <v>0.05</v>
      </c>
      <c r="L114" s="49">
        <f>VLOOKUP(H114,[4]Sheet2!K:P,6,0)</f>
        <v>2.3080000000000003E-4</v>
      </c>
      <c r="M114" s="50">
        <f>VLOOKUP(H114,[4]Sheet2!K:Q,7,0)</f>
        <v>7750</v>
      </c>
      <c r="N114" s="51"/>
      <c r="O114" s="51"/>
      <c r="P114" s="51"/>
      <c r="Q114" s="51"/>
      <c r="R114" s="51"/>
      <c r="S114" s="51"/>
      <c r="T114" s="51"/>
      <c r="U114" s="51"/>
      <c r="V114" s="52">
        <f>VLOOKUP(H114,[4]Sheet2!K:N,4,0)</f>
        <v>7750</v>
      </c>
      <c r="W114" s="52">
        <f t="shared" ref="W114:W119" si="96">X114-V114</f>
        <v>0</v>
      </c>
      <c r="X114" s="52">
        <f>VLOOKUP(H114,[4]Sheet2!K:N,4,0)</f>
        <v>7750</v>
      </c>
      <c r="Y114" s="53">
        <f t="shared" ref="Y114:Y119" si="97">IFERROR(V114/M114,1)</f>
        <v>1</v>
      </c>
      <c r="Z114" s="53">
        <f t="shared" ref="Z114:Z119" si="98">IFERROR(W114/M114,1)</f>
        <v>0</v>
      </c>
      <c r="AA114" s="53">
        <f t="shared" ref="AA114:AA119" si="99">IFERROR(X114/M114,1)</f>
        <v>1</v>
      </c>
    </row>
    <row r="115" spans="1:27" ht="18.75" customHeight="1" outlineLevel="6" x14ac:dyDescent="0.3">
      <c r="A115" s="60" t="s">
        <v>151</v>
      </c>
      <c r="B115" s="44"/>
      <c r="C115" s="18"/>
      <c r="D115" s="24"/>
      <c r="E115" s="29"/>
      <c r="F115" s="34"/>
      <c r="G115" s="39"/>
      <c r="H115" s="46" t="s">
        <v>152</v>
      </c>
      <c r="I115" s="46" t="s">
        <v>48</v>
      </c>
      <c r="J115" s="47" t="s">
        <v>30</v>
      </c>
      <c r="K115" s="48">
        <v>0.5</v>
      </c>
      <c r="L115" s="49">
        <f>VLOOKUP(H115,[4]Sheet2!K:P,6,0)</f>
        <v>2.3080000000000002E-3</v>
      </c>
      <c r="M115" s="50">
        <f>VLOOKUP(H115,[4]Sheet2!K:Q,7,0)</f>
        <v>7750</v>
      </c>
      <c r="N115" s="51"/>
      <c r="O115" s="51"/>
      <c r="P115" s="51"/>
      <c r="Q115" s="51"/>
      <c r="R115" s="51"/>
      <c r="S115" s="51"/>
      <c r="T115" s="51"/>
      <c r="U115" s="51"/>
      <c r="V115" s="52">
        <f>VLOOKUP(H115,[4]Sheet2!K:N,4,0)</f>
        <v>7750</v>
      </c>
      <c r="W115" s="52">
        <f t="shared" si="96"/>
        <v>0</v>
      </c>
      <c r="X115" s="52">
        <f>VLOOKUP(H115,[4]Sheet2!K:N,4,0)</f>
        <v>7750</v>
      </c>
      <c r="Y115" s="53">
        <f t="shared" si="97"/>
        <v>1</v>
      </c>
      <c r="Z115" s="53">
        <f t="shared" si="98"/>
        <v>0</v>
      </c>
      <c r="AA115" s="53">
        <f t="shared" si="99"/>
        <v>1</v>
      </c>
    </row>
    <row r="116" spans="1:27" ht="18.75" customHeight="1" outlineLevel="6" x14ac:dyDescent="0.3">
      <c r="B116" s="44"/>
      <c r="C116" s="18"/>
      <c r="D116" s="24"/>
      <c r="E116" s="29"/>
      <c r="F116" s="34"/>
      <c r="G116" s="39"/>
      <c r="H116" s="46" t="s">
        <v>153</v>
      </c>
      <c r="I116" s="46" t="s">
        <v>50</v>
      </c>
      <c r="J116" s="47" t="s">
        <v>30</v>
      </c>
      <c r="K116" s="48">
        <v>0.15</v>
      </c>
      <c r="L116" s="49">
        <f>VLOOKUP(H116,[4]Sheet2!K:P,6,0)</f>
        <v>6.9240000000000002E-4</v>
      </c>
      <c r="M116" s="50">
        <f>VLOOKUP(H116,[4]Sheet2!K:Q,7,0)</f>
        <v>7750</v>
      </c>
      <c r="N116" s="51"/>
      <c r="O116" s="51"/>
      <c r="P116" s="51"/>
      <c r="Q116" s="51"/>
      <c r="R116" s="51"/>
      <c r="S116" s="51"/>
      <c r="T116" s="51"/>
      <c r="U116" s="51"/>
      <c r="V116" s="52">
        <f>VLOOKUP(H116,[4]Sheet2!K:N,4,0)</f>
        <v>7750</v>
      </c>
      <c r="W116" s="52">
        <f t="shared" si="96"/>
        <v>0</v>
      </c>
      <c r="X116" s="52">
        <f>VLOOKUP(H116,[4]Sheet2!K:N,4,0)</f>
        <v>7750</v>
      </c>
      <c r="Y116" s="53">
        <f t="shared" si="97"/>
        <v>1</v>
      </c>
      <c r="Z116" s="53">
        <f t="shared" si="98"/>
        <v>0</v>
      </c>
      <c r="AA116" s="53">
        <f t="shared" si="99"/>
        <v>1</v>
      </c>
    </row>
    <row r="117" spans="1:27" ht="18.75" customHeight="1" outlineLevel="6" x14ac:dyDescent="0.3">
      <c r="B117" s="44"/>
      <c r="C117" s="18"/>
      <c r="D117" s="24"/>
      <c r="E117" s="29"/>
      <c r="F117" s="34"/>
      <c r="G117" s="39"/>
      <c r="H117" s="46" t="s">
        <v>154</v>
      </c>
      <c r="I117" s="46" t="s">
        <v>52</v>
      </c>
      <c r="J117" s="47" t="s">
        <v>30</v>
      </c>
      <c r="K117" s="48">
        <v>0.2</v>
      </c>
      <c r="L117" s="49">
        <f>VLOOKUP(H117,[4]Sheet2!K:P,6,0)</f>
        <v>9.2320000000000011E-4</v>
      </c>
      <c r="M117" s="50">
        <f>VLOOKUP(H117,[4]Sheet2!K:Q,7,0)</f>
        <v>7750</v>
      </c>
      <c r="N117" s="51"/>
      <c r="O117" s="51"/>
      <c r="P117" s="51"/>
      <c r="Q117" s="51"/>
      <c r="R117" s="51"/>
      <c r="S117" s="51"/>
      <c r="T117" s="51"/>
      <c r="U117" s="51"/>
      <c r="V117" s="52">
        <f>VLOOKUP(H117,[4]Sheet2!K:N,4,0)</f>
        <v>7750</v>
      </c>
      <c r="W117" s="52">
        <f t="shared" si="96"/>
        <v>0</v>
      </c>
      <c r="X117" s="52">
        <f>VLOOKUP(H117,[4]Sheet2!K:N,4,0)</f>
        <v>7750</v>
      </c>
      <c r="Y117" s="53">
        <f t="shared" si="97"/>
        <v>1</v>
      </c>
      <c r="Z117" s="53">
        <f t="shared" si="98"/>
        <v>0</v>
      </c>
      <c r="AA117" s="53">
        <f t="shared" si="99"/>
        <v>1</v>
      </c>
    </row>
    <row r="118" spans="1:27" ht="18.75" customHeight="1" outlineLevel="6" x14ac:dyDescent="0.3">
      <c r="B118" s="44"/>
      <c r="C118" s="18"/>
      <c r="D118" s="24"/>
      <c r="E118" s="29"/>
      <c r="F118" s="34"/>
      <c r="G118" s="39"/>
      <c r="H118" s="46" t="s">
        <v>155</v>
      </c>
      <c r="I118" s="46" t="s">
        <v>54</v>
      </c>
      <c r="J118" s="47" t="s">
        <v>30</v>
      </c>
      <c r="K118" s="48">
        <v>0.05</v>
      </c>
      <c r="L118" s="49">
        <f>VLOOKUP(H118,[4]Sheet2!K:P,6,0)</f>
        <v>2.3080000000000003E-4</v>
      </c>
      <c r="M118" s="50">
        <f>VLOOKUP(H118,[4]Sheet2!K:Q,7,0)</f>
        <v>7750</v>
      </c>
      <c r="N118" s="51"/>
      <c r="O118" s="51"/>
      <c r="P118" s="51"/>
      <c r="Q118" s="51"/>
      <c r="R118" s="51"/>
      <c r="S118" s="51"/>
      <c r="T118" s="51"/>
      <c r="U118" s="51"/>
      <c r="V118" s="52">
        <f>VLOOKUP(H118,[4]Sheet2!K:N,4,0)</f>
        <v>7750</v>
      </c>
      <c r="W118" s="52">
        <f t="shared" si="96"/>
        <v>0</v>
      </c>
      <c r="X118" s="52">
        <f>VLOOKUP(H118,[4]Sheet2!K:N,4,0)</f>
        <v>7750</v>
      </c>
      <c r="Y118" s="53">
        <f t="shared" si="97"/>
        <v>1</v>
      </c>
      <c r="Z118" s="53">
        <f t="shared" si="98"/>
        <v>0</v>
      </c>
      <c r="AA118" s="53">
        <f t="shared" si="99"/>
        <v>1</v>
      </c>
    </row>
    <row r="119" spans="1:27" ht="18.75" customHeight="1" outlineLevel="6" x14ac:dyDescent="0.3">
      <c r="B119" s="44"/>
      <c r="C119" s="18"/>
      <c r="D119" s="24"/>
      <c r="E119" s="29"/>
      <c r="F119" s="34"/>
      <c r="G119" s="39"/>
      <c r="H119" s="46" t="s">
        <v>156</v>
      </c>
      <c r="I119" s="46" t="s">
        <v>56</v>
      </c>
      <c r="J119" s="47" t="s">
        <v>30</v>
      </c>
      <c r="K119" s="48">
        <v>0.05</v>
      </c>
      <c r="L119" s="49">
        <f>VLOOKUP(H119,[4]Sheet2!K:P,6,0)</f>
        <v>2.3080000000000003E-4</v>
      </c>
      <c r="M119" s="50">
        <f>VLOOKUP(H119,[4]Sheet2!K:Q,7,0)</f>
        <v>7750</v>
      </c>
      <c r="N119" s="51"/>
      <c r="O119" s="51"/>
      <c r="P119" s="51"/>
      <c r="Q119" s="51"/>
      <c r="R119" s="51"/>
      <c r="S119" s="51"/>
      <c r="T119" s="51"/>
      <c r="U119" s="51"/>
      <c r="V119" s="52">
        <f>VLOOKUP(H119,[4]Sheet2!K:N,4,0)</f>
        <v>7750</v>
      </c>
      <c r="W119" s="52">
        <f t="shared" si="96"/>
        <v>0</v>
      </c>
      <c r="X119" s="52">
        <f>VLOOKUP(H119,[4]Sheet2!K:N,4,0)</f>
        <v>7750</v>
      </c>
      <c r="Y119" s="53">
        <f t="shared" si="97"/>
        <v>1</v>
      </c>
      <c r="Z119" s="53">
        <f t="shared" si="98"/>
        <v>0</v>
      </c>
      <c r="AA119" s="53">
        <f t="shared" si="99"/>
        <v>1</v>
      </c>
    </row>
    <row r="120" spans="1:27" ht="18.75" customHeight="1" outlineLevel="5" x14ac:dyDescent="0.3">
      <c r="B120" s="12"/>
      <c r="C120" s="18"/>
      <c r="D120" s="24"/>
      <c r="E120" s="29"/>
      <c r="F120" s="34"/>
      <c r="G120" s="39" t="s">
        <v>157</v>
      </c>
      <c r="H120" s="58"/>
      <c r="I120" s="58"/>
      <c r="J120" s="58"/>
      <c r="K120" s="58"/>
      <c r="L120" s="41">
        <f>SUM(L121:L126)</f>
        <v>6.0499999999999996E-4</v>
      </c>
      <c r="M120" s="42">
        <f>M121</f>
        <v>2504</v>
      </c>
      <c r="N120" s="40"/>
      <c r="O120" s="40"/>
      <c r="P120" s="40"/>
      <c r="Q120" s="40"/>
      <c r="R120" s="40"/>
      <c r="S120" s="40"/>
      <c r="T120" s="40"/>
      <c r="U120" s="40"/>
      <c r="V120" s="42">
        <f t="shared" ref="V120:X120" si="100">V121</f>
        <v>2504</v>
      </c>
      <c r="W120" s="42">
        <f t="shared" si="100"/>
        <v>0</v>
      </c>
      <c r="X120" s="42">
        <f t="shared" si="100"/>
        <v>2504</v>
      </c>
      <c r="Y120" s="43">
        <f>SUMPRODUCT(Y121:Y126,$K121:$K126)</f>
        <v>1.0000000000000002</v>
      </c>
      <c r="Z120" s="43">
        <f t="shared" ref="Z120" si="101">SUMPRODUCT(Z121:Z126,$K121:$K126)</f>
        <v>0</v>
      </c>
      <c r="AA120" s="43">
        <f>SUMPRODUCT(AA121:AA126,$K121:$K126)</f>
        <v>1.0000000000000002</v>
      </c>
    </row>
    <row r="121" spans="1:27" ht="18.75" customHeight="1" outlineLevel="6" x14ac:dyDescent="0.3">
      <c r="B121" s="44"/>
      <c r="C121" s="18"/>
      <c r="D121" s="24"/>
      <c r="E121" s="29"/>
      <c r="F121" s="34"/>
      <c r="G121" s="39"/>
      <c r="H121" s="46" t="s">
        <v>158</v>
      </c>
      <c r="I121" s="46" t="s">
        <v>45</v>
      </c>
      <c r="J121" s="47" t="s">
        <v>30</v>
      </c>
      <c r="K121" s="48">
        <v>0.05</v>
      </c>
      <c r="L121" s="49">
        <f>VLOOKUP(H121,[4]Sheet2!K:P,6,0)</f>
        <v>3.0249999999999997E-5</v>
      </c>
      <c r="M121" s="50">
        <f>VLOOKUP(H121,[4]Sheet2!K:Q,7,0)</f>
        <v>2504</v>
      </c>
      <c r="N121" s="51"/>
      <c r="O121" s="51"/>
      <c r="P121" s="51"/>
      <c r="Q121" s="51"/>
      <c r="R121" s="51"/>
      <c r="S121" s="51"/>
      <c r="T121" s="51"/>
      <c r="U121" s="51"/>
      <c r="V121" s="52">
        <f>VLOOKUP(H121,[4]Sheet2!K:N,4,0)</f>
        <v>2504</v>
      </c>
      <c r="W121" s="52">
        <f t="shared" ref="W121:W126" si="102">X121-V121</f>
        <v>0</v>
      </c>
      <c r="X121" s="52">
        <f>VLOOKUP(H121,[4]Sheet2!K:N,4,0)</f>
        <v>2504</v>
      </c>
      <c r="Y121" s="53">
        <f t="shared" ref="Y121:Y126" si="103">IFERROR(V121/M121,1)</f>
        <v>1</v>
      </c>
      <c r="Z121" s="53">
        <f t="shared" ref="Z121:Z126" si="104">IFERROR(W121/M121,1)</f>
        <v>0</v>
      </c>
      <c r="AA121" s="53">
        <f t="shared" ref="AA121:AA126" si="105">IFERROR(X121/M121,1)</f>
        <v>1</v>
      </c>
    </row>
    <row r="122" spans="1:27" ht="18.75" customHeight="1" outlineLevel="6" x14ac:dyDescent="0.3">
      <c r="A122" s="60" t="s">
        <v>151</v>
      </c>
      <c r="B122" s="44"/>
      <c r="C122" s="18"/>
      <c r="D122" s="24"/>
      <c r="E122" s="29"/>
      <c r="F122" s="34"/>
      <c r="G122" s="39"/>
      <c r="H122" s="46" t="s">
        <v>159</v>
      </c>
      <c r="I122" s="46" t="s">
        <v>48</v>
      </c>
      <c r="J122" s="47" t="s">
        <v>30</v>
      </c>
      <c r="K122" s="48">
        <v>0.5</v>
      </c>
      <c r="L122" s="49">
        <f>VLOOKUP(H122,[4]Sheet2!K:P,6,0)</f>
        <v>3.0249999999999998E-4</v>
      </c>
      <c r="M122" s="50">
        <f>VLOOKUP(H122,[4]Sheet2!K:Q,7,0)</f>
        <v>2504</v>
      </c>
      <c r="N122" s="51"/>
      <c r="O122" s="51"/>
      <c r="P122" s="51"/>
      <c r="Q122" s="51"/>
      <c r="R122" s="51"/>
      <c r="S122" s="51"/>
      <c r="T122" s="51"/>
      <c r="U122" s="51"/>
      <c r="V122" s="52">
        <f>VLOOKUP(H122,[4]Sheet2!K:N,4,0)</f>
        <v>2504</v>
      </c>
      <c r="W122" s="52">
        <f t="shared" si="102"/>
        <v>0</v>
      </c>
      <c r="X122" s="52">
        <f>VLOOKUP(H122,[4]Sheet2!K:N,4,0)</f>
        <v>2504</v>
      </c>
      <c r="Y122" s="53">
        <f t="shared" si="103"/>
        <v>1</v>
      </c>
      <c r="Z122" s="53">
        <f t="shared" si="104"/>
        <v>0</v>
      </c>
      <c r="AA122" s="53">
        <f t="shared" si="105"/>
        <v>1</v>
      </c>
    </row>
    <row r="123" spans="1:27" ht="18.75" customHeight="1" outlineLevel="6" x14ac:dyDescent="0.3">
      <c r="B123" s="44"/>
      <c r="C123" s="18"/>
      <c r="D123" s="24"/>
      <c r="E123" s="29"/>
      <c r="F123" s="34"/>
      <c r="G123" s="39"/>
      <c r="H123" s="46" t="s">
        <v>160</v>
      </c>
      <c r="I123" s="46" t="s">
        <v>50</v>
      </c>
      <c r="J123" s="47" t="s">
        <v>30</v>
      </c>
      <c r="K123" s="48">
        <v>0.15</v>
      </c>
      <c r="L123" s="49">
        <f>VLOOKUP(H123,[4]Sheet2!K:P,6,0)</f>
        <v>9.0749999999999997E-5</v>
      </c>
      <c r="M123" s="50">
        <f>VLOOKUP(H123,[4]Sheet2!K:Q,7,0)</f>
        <v>2504</v>
      </c>
      <c r="N123" s="51"/>
      <c r="O123" s="51"/>
      <c r="P123" s="51"/>
      <c r="Q123" s="51"/>
      <c r="R123" s="51"/>
      <c r="S123" s="51"/>
      <c r="T123" s="51"/>
      <c r="U123" s="51"/>
      <c r="V123" s="52">
        <f>VLOOKUP(H123,[4]Sheet2!K:N,4,0)</f>
        <v>2504</v>
      </c>
      <c r="W123" s="52">
        <f t="shared" si="102"/>
        <v>0</v>
      </c>
      <c r="X123" s="52">
        <f>VLOOKUP(H123,[4]Sheet2!K:N,4,0)</f>
        <v>2504</v>
      </c>
      <c r="Y123" s="53">
        <f t="shared" si="103"/>
        <v>1</v>
      </c>
      <c r="Z123" s="53">
        <f t="shared" si="104"/>
        <v>0</v>
      </c>
      <c r="AA123" s="53">
        <f t="shared" si="105"/>
        <v>1</v>
      </c>
    </row>
    <row r="124" spans="1:27" ht="18.75" customHeight="1" outlineLevel="6" x14ac:dyDescent="0.3">
      <c r="B124" s="44"/>
      <c r="C124" s="18"/>
      <c r="D124" s="24"/>
      <c r="E124" s="29"/>
      <c r="F124" s="34"/>
      <c r="G124" s="39"/>
      <c r="H124" s="46" t="s">
        <v>161</v>
      </c>
      <c r="I124" s="46" t="s">
        <v>52</v>
      </c>
      <c r="J124" s="47" t="s">
        <v>30</v>
      </c>
      <c r="K124" s="48">
        <v>0.2</v>
      </c>
      <c r="L124" s="49">
        <f>VLOOKUP(H124,[4]Sheet2!K:P,6,0)</f>
        <v>1.2099999999999999E-4</v>
      </c>
      <c r="M124" s="50">
        <f>VLOOKUP(H124,[4]Sheet2!K:Q,7,0)</f>
        <v>2504</v>
      </c>
      <c r="N124" s="51"/>
      <c r="O124" s="51"/>
      <c r="P124" s="51"/>
      <c r="Q124" s="51"/>
      <c r="R124" s="51"/>
      <c r="S124" s="51"/>
      <c r="T124" s="51"/>
      <c r="U124" s="51"/>
      <c r="V124" s="52">
        <f>VLOOKUP(H124,[4]Sheet2!K:N,4,0)</f>
        <v>2504</v>
      </c>
      <c r="W124" s="52">
        <f t="shared" si="102"/>
        <v>0</v>
      </c>
      <c r="X124" s="52">
        <f>VLOOKUP(H124,[4]Sheet2!K:N,4,0)</f>
        <v>2504</v>
      </c>
      <c r="Y124" s="53">
        <f t="shared" si="103"/>
        <v>1</v>
      </c>
      <c r="Z124" s="53">
        <f t="shared" si="104"/>
        <v>0</v>
      </c>
      <c r="AA124" s="53">
        <f t="shared" si="105"/>
        <v>1</v>
      </c>
    </row>
    <row r="125" spans="1:27" ht="18.75" customHeight="1" outlineLevel="6" x14ac:dyDescent="0.3">
      <c r="B125" s="44"/>
      <c r="C125" s="18"/>
      <c r="D125" s="24"/>
      <c r="E125" s="29"/>
      <c r="F125" s="34"/>
      <c r="G125" s="39"/>
      <c r="H125" s="46" t="s">
        <v>162</v>
      </c>
      <c r="I125" s="46" t="s">
        <v>54</v>
      </c>
      <c r="J125" s="47" t="s">
        <v>30</v>
      </c>
      <c r="K125" s="48">
        <v>0.05</v>
      </c>
      <c r="L125" s="49">
        <f>VLOOKUP(H125,[4]Sheet2!K:P,6,0)</f>
        <v>3.0249999999999997E-5</v>
      </c>
      <c r="M125" s="50">
        <f>VLOOKUP(H125,[4]Sheet2!K:Q,7,0)</f>
        <v>2504</v>
      </c>
      <c r="N125" s="51"/>
      <c r="O125" s="51"/>
      <c r="P125" s="51"/>
      <c r="Q125" s="51"/>
      <c r="R125" s="51"/>
      <c r="S125" s="51"/>
      <c r="T125" s="51"/>
      <c r="U125" s="51"/>
      <c r="V125" s="52">
        <f>VLOOKUP(H125,[4]Sheet2!K:N,4,0)</f>
        <v>2504</v>
      </c>
      <c r="W125" s="52">
        <f t="shared" si="102"/>
        <v>0</v>
      </c>
      <c r="X125" s="52">
        <f>VLOOKUP(H125,[4]Sheet2!K:N,4,0)</f>
        <v>2504</v>
      </c>
      <c r="Y125" s="53">
        <f t="shared" si="103"/>
        <v>1</v>
      </c>
      <c r="Z125" s="53">
        <f t="shared" si="104"/>
        <v>0</v>
      </c>
      <c r="AA125" s="53">
        <f t="shared" si="105"/>
        <v>1</v>
      </c>
    </row>
    <row r="126" spans="1:27" ht="18.75" customHeight="1" outlineLevel="6" x14ac:dyDescent="0.3">
      <c r="B126" s="44"/>
      <c r="C126" s="18"/>
      <c r="D126" s="24"/>
      <c r="E126" s="29"/>
      <c r="F126" s="34"/>
      <c r="G126" s="39"/>
      <c r="H126" s="46" t="s">
        <v>163</v>
      </c>
      <c r="I126" s="46" t="s">
        <v>56</v>
      </c>
      <c r="J126" s="47" t="s">
        <v>30</v>
      </c>
      <c r="K126" s="48">
        <v>0.05</v>
      </c>
      <c r="L126" s="49">
        <f>VLOOKUP(H126,[4]Sheet2!K:P,6,0)</f>
        <v>3.0249999999999997E-5</v>
      </c>
      <c r="M126" s="50">
        <f>VLOOKUP(H126,[4]Sheet2!K:Q,7,0)</f>
        <v>2504</v>
      </c>
      <c r="N126" s="51"/>
      <c r="O126" s="51"/>
      <c r="P126" s="51"/>
      <c r="Q126" s="51"/>
      <c r="R126" s="51"/>
      <c r="S126" s="51"/>
      <c r="T126" s="51"/>
      <c r="U126" s="51"/>
      <c r="V126" s="52">
        <f>VLOOKUP(H126,[4]Sheet2!K:N,4,0)</f>
        <v>2504</v>
      </c>
      <c r="W126" s="52">
        <f t="shared" si="102"/>
        <v>0</v>
      </c>
      <c r="X126" s="52">
        <f>VLOOKUP(H126,[4]Sheet2!K:N,4,0)</f>
        <v>2504</v>
      </c>
      <c r="Y126" s="53">
        <f t="shared" si="103"/>
        <v>1</v>
      </c>
      <c r="Z126" s="53">
        <f t="shared" si="104"/>
        <v>0</v>
      </c>
      <c r="AA126" s="53">
        <f t="shared" si="105"/>
        <v>1</v>
      </c>
    </row>
    <row r="127" spans="1:27" ht="18.75" customHeight="1" outlineLevel="5" x14ac:dyDescent="0.3">
      <c r="B127" s="12"/>
      <c r="C127" s="18"/>
      <c r="D127" s="24"/>
      <c r="E127" s="29"/>
      <c r="F127" s="34"/>
      <c r="G127" s="39" t="s">
        <v>164</v>
      </c>
      <c r="H127" s="58"/>
      <c r="I127" s="58"/>
      <c r="J127" s="58"/>
      <c r="K127" s="58"/>
      <c r="L127" s="41">
        <f>SUM(L128:L132)</f>
        <v>4.170000000000001E-3</v>
      </c>
      <c r="M127" s="42">
        <f>M128</f>
        <v>24167</v>
      </c>
      <c r="N127" s="40"/>
      <c r="O127" s="40"/>
      <c r="P127" s="40"/>
      <c r="Q127" s="40"/>
      <c r="R127" s="40"/>
      <c r="S127" s="40"/>
      <c r="T127" s="40"/>
      <c r="U127" s="40"/>
      <c r="V127" s="42">
        <f t="shared" ref="V127:X127" si="106">V128</f>
        <v>24167</v>
      </c>
      <c r="W127" s="42">
        <f t="shared" si="106"/>
        <v>0</v>
      </c>
      <c r="X127" s="42">
        <f t="shared" si="106"/>
        <v>24167</v>
      </c>
      <c r="Y127" s="43">
        <f>SUMPRODUCT(Y128:Y133,$K128:$K133)</f>
        <v>1.0000000000000002</v>
      </c>
      <c r="Z127" s="43">
        <f t="shared" ref="Z127" si="107">SUMPRODUCT(Z128:Z133,$K128:$K133)</f>
        <v>0</v>
      </c>
      <c r="AA127" s="43">
        <f>SUMPRODUCT(AA128:AA133,$K128:$K133)</f>
        <v>1.0000000000000002</v>
      </c>
    </row>
    <row r="128" spans="1:27" ht="18.75" customHeight="1" outlineLevel="6" x14ac:dyDescent="0.3">
      <c r="B128" s="44"/>
      <c r="C128" s="18"/>
      <c r="D128" s="24"/>
      <c r="E128" s="29"/>
      <c r="F128" s="34"/>
      <c r="G128" s="39"/>
      <c r="H128" s="46" t="s">
        <v>165</v>
      </c>
      <c r="I128" s="46" t="s">
        <v>45</v>
      </c>
      <c r="J128" s="47" t="s">
        <v>59</v>
      </c>
      <c r="K128" s="48">
        <v>0.05</v>
      </c>
      <c r="L128" s="49">
        <f>VLOOKUP(H128,[4]Sheet2!K:P,6,0)</f>
        <v>2.085E-4</v>
      </c>
      <c r="M128" s="50">
        <f>VLOOKUP(H128,[4]Sheet2!K:Q,7,0)</f>
        <v>24167</v>
      </c>
      <c r="N128" s="51"/>
      <c r="O128" s="51"/>
      <c r="P128" s="51"/>
      <c r="Q128" s="51"/>
      <c r="R128" s="51"/>
      <c r="S128" s="51"/>
      <c r="T128" s="51"/>
      <c r="U128" s="51"/>
      <c r="V128" s="52">
        <f>VLOOKUP(H128,[4]Sheet2!K:N,4,0)</f>
        <v>24167</v>
      </c>
      <c r="W128" s="52">
        <f t="shared" ref="W128:W132" si="108">X128-V128</f>
        <v>0</v>
      </c>
      <c r="X128" s="52">
        <f>VLOOKUP(H128,[4]Sheet2!K:N,4,0)</f>
        <v>24167</v>
      </c>
      <c r="Y128" s="53">
        <f t="shared" ref="Y128:Y132" si="109">IFERROR(V128/M128,1)</f>
        <v>1</v>
      </c>
      <c r="Z128" s="53">
        <f t="shared" ref="Z128:Z132" si="110">IFERROR(W128/M128,1)</f>
        <v>0</v>
      </c>
      <c r="AA128" s="53">
        <f t="shared" ref="AA128:AA132" si="111">IFERROR(X128/M128,1)</f>
        <v>1</v>
      </c>
    </row>
    <row r="129" spans="1:27" ht="18.75" customHeight="1" outlineLevel="6" x14ac:dyDescent="0.3">
      <c r="A129" s="60" t="s">
        <v>166</v>
      </c>
      <c r="B129" s="44"/>
      <c r="C129" s="18"/>
      <c r="D129" s="24"/>
      <c r="E129" s="29"/>
      <c r="F129" s="34"/>
      <c r="G129" s="39"/>
      <c r="H129" s="46" t="s">
        <v>167</v>
      </c>
      <c r="I129" s="46" t="s">
        <v>168</v>
      </c>
      <c r="J129" s="47" t="s">
        <v>59</v>
      </c>
      <c r="K129" s="48">
        <v>0.65</v>
      </c>
      <c r="L129" s="49">
        <f>VLOOKUP(H129,[4]Sheet2!K:P,6,0)</f>
        <v>2.7105000000000002E-3</v>
      </c>
      <c r="M129" s="50">
        <f>VLOOKUP(H129,[4]Sheet2!K:Q,7,0)</f>
        <v>24167</v>
      </c>
      <c r="N129" s="51"/>
      <c r="O129" s="51"/>
      <c r="P129" s="51"/>
      <c r="Q129" s="51"/>
      <c r="R129" s="51"/>
      <c r="S129" s="51"/>
      <c r="T129" s="51"/>
      <c r="U129" s="51"/>
      <c r="V129" s="52">
        <f>VLOOKUP(H129,[4]Sheet2!K:N,4,0)</f>
        <v>24167</v>
      </c>
      <c r="W129" s="52">
        <f t="shared" si="108"/>
        <v>0</v>
      </c>
      <c r="X129" s="52">
        <f>VLOOKUP(H129,[4]Sheet2!K:N,4,0)</f>
        <v>24167</v>
      </c>
      <c r="Y129" s="53">
        <f t="shared" si="109"/>
        <v>1</v>
      </c>
      <c r="Z129" s="53">
        <f t="shared" si="110"/>
        <v>0</v>
      </c>
      <c r="AA129" s="53">
        <f t="shared" si="111"/>
        <v>1</v>
      </c>
    </row>
    <row r="130" spans="1:27" ht="18.75" customHeight="1" outlineLevel="6" x14ac:dyDescent="0.3">
      <c r="B130" s="44"/>
      <c r="C130" s="18"/>
      <c r="D130" s="24"/>
      <c r="E130" s="29"/>
      <c r="F130" s="34"/>
      <c r="G130" s="39"/>
      <c r="H130" s="46" t="s">
        <v>169</v>
      </c>
      <c r="I130" s="46" t="s">
        <v>170</v>
      </c>
      <c r="J130" s="47" t="s">
        <v>59</v>
      </c>
      <c r="K130" s="48">
        <v>0.2</v>
      </c>
      <c r="L130" s="49">
        <f>VLOOKUP(H130,[4]Sheet2!K:P,6,0)</f>
        <v>8.34E-4</v>
      </c>
      <c r="M130" s="50">
        <f>VLOOKUP(H130,[4]Sheet2!K:Q,7,0)</f>
        <v>24167</v>
      </c>
      <c r="N130" s="51"/>
      <c r="O130" s="51"/>
      <c r="P130" s="51"/>
      <c r="Q130" s="51"/>
      <c r="R130" s="51"/>
      <c r="S130" s="51"/>
      <c r="T130" s="51"/>
      <c r="U130" s="51"/>
      <c r="V130" s="52">
        <f>VLOOKUP(H130,[4]Sheet2!K:N,4,0)</f>
        <v>24167</v>
      </c>
      <c r="W130" s="52">
        <f t="shared" si="108"/>
        <v>0</v>
      </c>
      <c r="X130" s="52">
        <f>VLOOKUP(H130,[4]Sheet2!K:N,4,0)</f>
        <v>24167</v>
      </c>
      <c r="Y130" s="53">
        <f t="shared" si="109"/>
        <v>1</v>
      </c>
      <c r="Z130" s="53">
        <f t="shared" si="110"/>
        <v>0</v>
      </c>
      <c r="AA130" s="53">
        <f t="shared" si="111"/>
        <v>1</v>
      </c>
    </row>
    <row r="131" spans="1:27" ht="18.75" customHeight="1" outlineLevel="6" x14ac:dyDescent="0.3">
      <c r="B131" s="44"/>
      <c r="C131" s="18"/>
      <c r="D131" s="24"/>
      <c r="E131" s="29"/>
      <c r="F131" s="34"/>
      <c r="G131" s="39"/>
      <c r="H131" s="46" t="s">
        <v>171</v>
      </c>
      <c r="I131" s="46" t="s">
        <v>172</v>
      </c>
      <c r="J131" s="47" t="s">
        <v>59</v>
      </c>
      <c r="K131" s="48">
        <v>0.05</v>
      </c>
      <c r="L131" s="49">
        <f>VLOOKUP(H131,[4]Sheet2!K:P,6,0)</f>
        <v>2.085E-4</v>
      </c>
      <c r="M131" s="50">
        <f>VLOOKUP(H131,[4]Sheet2!K:Q,7,0)</f>
        <v>24167</v>
      </c>
      <c r="N131" s="51"/>
      <c r="O131" s="51"/>
      <c r="P131" s="51"/>
      <c r="Q131" s="51"/>
      <c r="R131" s="51"/>
      <c r="S131" s="51"/>
      <c r="T131" s="51"/>
      <c r="U131" s="51"/>
      <c r="V131" s="52">
        <f>VLOOKUP(H131,[4]Sheet2!K:N,4,0)</f>
        <v>24167</v>
      </c>
      <c r="W131" s="52">
        <f t="shared" si="108"/>
        <v>0</v>
      </c>
      <c r="X131" s="52">
        <f>VLOOKUP(H131,[4]Sheet2!K:N,4,0)</f>
        <v>24167</v>
      </c>
      <c r="Y131" s="53">
        <f t="shared" si="109"/>
        <v>1</v>
      </c>
      <c r="Z131" s="53">
        <f t="shared" si="110"/>
        <v>0</v>
      </c>
      <c r="AA131" s="53">
        <f t="shared" si="111"/>
        <v>1</v>
      </c>
    </row>
    <row r="132" spans="1:27" ht="18.75" customHeight="1" outlineLevel="6" x14ac:dyDescent="0.3">
      <c r="B132" s="44"/>
      <c r="C132" s="18"/>
      <c r="D132" s="24"/>
      <c r="E132" s="29"/>
      <c r="F132" s="34"/>
      <c r="G132" s="39"/>
      <c r="H132" s="46" t="s">
        <v>173</v>
      </c>
      <c r="I132" s="46" t="s">
        <v>56</v>
      </c>
      <c r="J132" s="47" t="s">
        <v>59</v>
      </c>
      <c r="K132" s="48">
        <v>0.05</v>
      </c>
      <c r="L132" s="49">
        <f>VLOOKUP(H132,[4]Sheet2!K:P,6,0)</f>
        <v>2.085E-4</v>
      </c>
      <c r="M132" s="50">
        <f>VLOOKUP(H132,[4]Sheet2!K:Q,7,0)</f>
        <v>24167</v>
      </c>
      <c r="N132" s="51"/>
      <c r="O132" s="51"/>
      <c r="P132" s="51"/>
      <c r="Q132" s="51"/>
      <c r="R132" s="51"/>
      <c r="S132" s="51"/>
      <c r="T132" s="51"/>
      <c r="U132" s="51"/>
      <c r="V132" s="52">
        <f>VLOOKUP(H132,[4]Sheet2!K:N,4,0)</f>
        <v>24167</v>
      </c>
      <c r="W132" s="52">
        <f t="shared" si="108"/>
        <v>0</v>
      </c>
      <c r="X132" s="52">
        <f>VLOOKUP(H132,[4]Sheet2!K:N,4,0)</f>
        <v>24167</v>
      </c>
      <c r="Y132" s="53">
        <f t="shared" si="109"/>
        <v>1</v>
      </c>
      <c r="Z132" s="53">
        <f t="shared" si="110"/>
        <v>0</v>
      </c>
      <c r="AA132" s="53">
        <f t="shared" si="111"/>
        <v>1</v>
      </c>
    </row>
    <row r="133" spans="1:27" ht="18.75" customHeight="1" outlineLevel="4" x14ac:dyDescent="0.3">
      <c r="B133" s="12"/>
      <c r="C133" s="18"/>
      <c r="D133" s="24"/>
      <c r="E133" s="29"/>
      <c r="F133" s="34" t="s">
        <v>174</v>
      </c>
      <c r="G133" s="34"/>
      <c r="H133" s="57"/>
      <c r="I133" s="57"/>
      <c r="J133" s="57"/>
      <c r="K133" s="57"/>
      <c r="L133" s="36">
        <f>L134+L141+L148+L155+L162</f>
        <v>2.5221299999999999E-2</v>
      </c>
      <c r="M133" s="37">
        <f>M134+M141+M148+M155+M162</f>
        <v>57000</v>
      </c>
      <c r="N133" s="35"/>
      <c r="O133" s="35"/>
      <c r="P133" s="35"/>
      <c r="Q133" s="35"/>
      <c r="R133" s="35"/>
      <c r="S133" s="35"/>
      <c r="T133" s="35"/>
      <c r="U133" s="35"/>
      <c r="V133" s="37">
        <f t="shared" ref="V133:X133" si="112">V134+V141+V148+V155+V162</f>
        <v>44000</v>
      </c>
      <c r="W133" s="37">
        <f t="shared" si="112"/>
        <v>0</v>
      </c>
      <c r="X133" s="37">
        <f t="shared" si="112"/>
        <v>44000</v>
      </c>
      <c r="Y133" s="38">
        <f>(Y134*$L134+Y141*$L141+Y148*$L148+Y155*$L155+Y162*$L162)/$L133</f>
        <v>0.77540412270580839</v>
      </c>
      <c r="Z133" s="38">
        <f t="shared" ref="Z133:AA133" si="113">(Z134*$L134+Z141*$L141+Z148*$L148+Z155*$L155+Z162*$L162)/$L133</f>
        <v>0</v>
      </c>
      <c r="AA133" s="38">
        <f t="shared" si="113"/>
        <v>0.77540412270580839</v>
      </c>
    </row>
    <row r="134" spans="1:27" ht="18.75" customHeight="1" outlineLevel="5" x14ac:dyDescent="0.3">
      <c r="B134" s="12"/>
      <c r="C134" s="18"/>
      <c r="D134" s="24"/>
      <c r="E134" s="29"/>
      <c r="F134" s="34"/>
      <c r="G134" s="39" t="s">
        <v>175</v>
      </c>
      <c r="H134" s="58"/>
      <c r="I134" s="58"/>
      <c r="J134" s="58"/>
      <c r="K134" s="58"/>
      <c r="L134" s="41">
        <f>SUM(L135:L140)</f>
        <v>1.8115000000000002E-3</v>
      </c>
      <c r="M134" s="42">
        <f>M135</f>
        <v>4000</v>
      </c>
      <c r="N134" s="40"/>
      <c r="O134" s="40"/>
      <c r="P134" s="40"/>
      <c r="Q134" s="40"/>
      <c r="R134" s="40"/>
      <c r="S134" s="40"/>
      <c r="T134" s="40"/>
      <c r="U134" s="40"/>
      <c r="V134" s="42">
        <f t="shared" ref="V134:X134" si="114">V135</f>
        <v>4000</v>
      </c>
      <c r="W134" s="42">
        <f t="shared" si="114"/>
        <v>0</v>
      </c>
      <c r="X134" s="42">
        <f t="shared" si="114"/>
        <v>4000</v>
      </c>
      <c r="Y134" s="43">
        <f>SUMPRODUCT(Y135:Y140,$K135:$K140)</f>
        <v>1.0000000000000002</v>
      </c>
      <c r="Z134" s="43">
        <f t="shared" ref="Z134:AA134" si="115">SUMPRODUCT(Z135:Z140,$K135:$K140)</f>
        <v>0</v>
      </c>
      <c r="AA134" s="43">
        <f t="shared" si="115"/>
        <v>1.0000000000000002</v>
      </c>
    </row>
    <row r="135" spans="1:27" ht="18.75" customHeight="1" outlineLevel="6" x14ac:dyDescent="0.3">
      <c r="B135" s="44"/>
      <c r="C135" s="18"/>
      <c r="D135" s="24"/>
      <c r="E135" s="29"/>
      <c r="F135" s="34"/>
      <c r="G135" s="39"/>
      <c r="H135" s="46" t="s">
        <v>176</v>
      </c>
      <c r="I135" s="46" t="s">
        <v>45</v>
      </c>
      <c r="J135" s="47" t="s">
        <v>30</v>
      </c>
      <c r="K135" s="48">
        <v>0.05</v>
      </c>
      <c r="L135" s="49">
        <f>VLOOKUP(H135,[4]Sheet2!K:P,6,0)</f>
        <v>9.0574999999999993E-5</v>
      </c>
      <c r="M135" s="50">
        <f>VLOOKUP(H135,[4]Sheet2!K:Q,7,0)</f>
        <v>4000</v>
      </c>
      <c r="N135" s="51"/>
      <c r="O135" s="51"/>
      <c r="P135" s="51"/>
      <c r="Q135" s="51"/>
      <c r="R135" s="51"/>
      <c r="S135" s="51"/>
      <c r="T135" s="51"/>
      <c r="U135" s="51"/>
      <c r="V135" s="52">
        <f>VLOOKUP(H135,[4]Sheet2!K:N,4,0)</f>
        <v>4000</v>
      </c>
      <c r="W135" s="52">
        <f t="shared" ref="W135:W140" si="116">X135-V135</f>
        <v>0</v>
      </c>
      <c r="X135" s="52">
        <f>VLOOKUP(H135,[4]Sheet2!K:N,4,0)</f>
        <v>4000</v>
      </c>
      <c r="Y135" s="53">
        <f t="shared" ref="Y135:Y140" si="117">IFERROR(V135/M135,1)</f>
        <v>1</v>
      </c>
      <c r="Z135" s="53">
        <f t="shared" ref="Z135:Z140" si="118">IFERROR(W135/M135,1)</f>
        <v>0</v>
      </c>
      <c r="AA135" s="53">
        <f t="shared" ref="AA135:AA140" si="119">IFERROR(X135/M135,1)</f>
        <v>1</v>
      </c>
    </row>
    <row r="136" spans="1:27" ht="18.75" customHeight="1" outlineLevel="6" x14ac:dyDescent="0.3">
      <c r="A136" s="60" t="s">
        <v>46</v>
      </c>
      <c r="B136" s="44"/>
      <c r="C136" s="18"/>
      <c r="D136" s="24"/>
      <c r="E136" s="29"/>
      <c r="F136" s="34"/>
      <c r="G136" s="39"/>
      <c r="H136" s="46" t="s">
        <v>177</v>
      </c>
      <c r="I136" s="46" t="s">
        <v>48</v>
      </c>
      <c r="J136" s="47" t="s">
        <v>30</v>
      </c>
      <c r="K136" s="48">
        <v>0.5</v>
      </c>
      <c r="L136" s="49">
        <f>VLOOKUP(H136,[4]Sheet2!K:P,6,0)</f>
        <v>9.0574999999999998E-4</v>
      </c>
      <c r="M136" s="50">
        <f>VLOOKUP(H136,[4]Sheet2!K:Q,7,0)</f>
        <v>4000</v>
      </c>
      <c r="N136" s="51"/>
      <c r="O136" s="51"/>
      <c r="P136" s="51"/>
      <c r="Q136" s="51"/>
      <c r="R136" s="51"/>
      <c r="S136" s="51"/>
      <c r="T136" s="51"/>
      <c r="U136" s="51"/>
      <c r="V136" s="52">
        <f>VLOOKUP(H136,[4]Sheet2!K:N,4,0)</f>
        <v>4000</v>
      </c>
      <c r="W136" s="52">
        <f t="shared" si="116"/>
        <v>0</v>
      </c>
      <c r="X136" s="52">
        <f>VLOOKUP(H136,[4]Sheet2!K:N,4,0)</f>
        <v>4000</v>
      </c>
      <c r="Y136" s="53">
        <f t="shared" si="117"/>
        <v>1</v>
      </c>
      <c r="Z136" s="53">
        <f t="shared" si="118"/>
        <v>0</v>
      </c>
      <c r="AA136" s="53">
        <f t="shared" si="119"/>
        <v>1</v>
      </c>
    </row>
    <row r="137" spans="1:27" ht="18.75" customHeight="1" outlineLevel="6" x14ac:dyDescent="0.3">
      <c r="B137" s="44"/>
      <c r="C137" s="18"/>
      <c r="D137" s="24"/>
      <c r="E137" s="29"/>
      <c r="F137" s="34"/>
      <c r="G137" s="39"/>
      <c r="H137" s="46" t="s">
        <v>178</v>
      </c>
      <c r="I137" s="46" t="s">
        <v>50</v>
      </c>
      <c r="J137" s="47" t="s">
        <v>30</v>
      </c>
      <c r="K137" s="48">
        <v>0.15</v>
      </c>
      <c r="L137" s="49">
        <f>VLOOKUP(H137,[4]Sheet2!K:P,6,0)</f>
        <v>2.71725E-4</v>
      </c>
      <c r="M137" s="50">
        <f>VLOOKUP(H137,[4]Sheet2!K:Q,7,0)</f>
        <v>4000</v>
      </c>
      <c r="N137" s="51"/>
      <c r="O137" s="51"/>
      <c r="P137" s="51"/>
      <c r="Q137" s="51"/>
      <c r="R137" s="51"/>
      <c r="S137" s="51"/>
      <c r="T137" s="51"/>
      <c r="U137" s="51"/>
      <c r="V137" s="52">
        <f>VLOOKUP(H137,[4]Sheet2!K:N,4,0)</f>
        <v>4000</v>
      </c>
      <c r="W137" s="52">
        <f t="shared" si="116"/>
        <v>0</v>
      </c>
      <c r="X137" s="52">
        <f>VLOOKUP(H137,[4]Sheet2!K:N,4,0)</f>
        <v>4000</v>
      </c>
      <c r="Y137" s="53">
        <f t="shared" si="117"/>
        <v>1</v>
      </c>
      <c r="Z137" s="53">
        <f t="shared" si="118"/>
        <v>0</v>
      </c>
      <c r="AA137" s="53">
        <f t="shared" si="119"/>
        <v>1</v>
      </c>
    </row>
    <row r="138" spans="1:27" ht="18.75" customHeight="1" outlineLevel="6" x14ac:dyDescent="0.3">
      <c r="B138" s="44"/>
      <c r="C138" s="18"/>
      <c r="D138" s="24"/>
      <c r="E138" s="29"/>
      <c r="F138" s="34"/>
      <c r="G138" s="39"/>
      <c r="H138" s="46" t="s">
        <v>179</v>
      </c>
      <c r="I138" s="46" t="s">
        <v>52</v>
      </c>
      <c r="J138" s="47" t="s">
        <v>30</v>
      </c>
      <c r="K138" s="48">
        <v>0.2</v>
      </c>
      <c r="L138" s="49">
        <f>VLOOKUP(H138,[4]Sheet2!K:P,6,0)</f>
        <v>3.6229999999999997E-4</v>
      </c>
      <c r="M138" s="50">
        <f>VLOOKUP(H138,[4]Sheet2!K:Q,7,0)</f>
        <v>4000</v>
      </c>
      <c r="N138" s="51"/>
      <c r="O138" s="51"/>
      <c r="P138" s="51"/>
      <c r="Q138" s="51"/>
      <c r="R138" s="51"/>
      <c r="S138" s="51"/>
      <c r="T138" s="51"/>
      <c r="U138" s="51"/>
      <c r="V138" s="52">
        <f>VLOOKUP(H138,[4]Sheet2!K:N,4,0)</f>
        <v>4000</v>
      </c>
      <c r="W138" s="52">
        <f t="shared" si="116"/>
        <v>0</v>
      </c>
      <c r="X138" s="52">
        <f>VLOOKUP(H138,[4]Sheet2!K:N,4,0)</f>
        <v>4000</v>
      </c>
      <c r="Y138" s="53">
        <f t="shared" si="117"/>
        <v>1</v>
      </c>
      <c r="Z138" s="53">
        <f t="shared" si="118"/>
        <v>0</v>
      </c>
      <c r="AA138" s="53">
        <f t="shared" si="119"/>
        <v>1</v>
      </c>
    </row>
    <row r="139" spans="1:27" ht="18.75" customHeight="1" outlineLevel="6" x14ac:dyDescent="0.3">
      <c r="B139" s="44"/>
      <c r="C139" s="18"/>
      <c r="D139" s="24"/>
      <c r="E139" s="29"/>
      <c r="F139" s="34"/>
      <c r="G139" s="39"/>
      <c r="H139" s="46" t="s">
        <v>180</v>
      </c>
      <c r="I139" s="46" t="s">
        <v>54</v>
      </c>
      <c r="J139" s="47" t="s">
        <v>30</v>
      </c>
      <c r="K139" s="48">
        <v>0.05</v>
      </c>
      <c r="L139" s="49">
        <f>VLOOKUP(H139,[4]Sheet2!K:P,6,0)</f>
        <v>9.0574999999999993E-5</v>
      </c>
      <c r="M139" s="50">
        <f>VLOOKUP(H139,[4]Sheet2!K:Q,7,0)</f>
        <v>4000</v>
      </c>
      <c r="N139" s="51"/>
      <c r="O139" s="51"/>
      <c r="P139" s="51"/>
      <c r="Q139" s="51"/>
      <c r="R139" s="51"/>
      <c r="S139" s="51"/>
      <c r="T139" s="51"/>
      <c r="U139" s="51"/>
      <c r="V139" s="52">
        <f>VLOOKUP(H139,[4]Sheet2!K:N,4,0)</f>
        <v>4000</v>
      </c>
      <c r="W139" s="52">
        <f t="shared" si="116"/>
        <v>0</v>
      </c>
      <c r="X139" s="52">
        <f>VLOOKUP(H139,[4]Sheet2!K:N,4,0)</f>
        <v>4000</v>
      </c>
      <c r="Y139" s="53">
        <f t="shared" si="117"/>
        <v>1</v>
      </c>
      <c r="Z139" s="53">
        <f t="shared" si="118"/>
        <v>0</v>
      </c>
      <c r="AA139" s="53">
        <f t="shared" si="119"/>
        <v>1</v>
      </c>
    </row>
    <row r="140" spans="1:27" ht="18.75" customHeight="1" outlineLevel="6" x14ac:dyDescent="0.3">
      <c r="B140" s="44"/>
      <c r="C140" s="18"/>
      <c r="D140" s="24"/>
      <c r="E140" s="29"/>
      <c r="F140" s="34"/>
      <c r="G140" s="39"/>
      <c r="H140" s="46" t="s">
        <v>181</v>
      </c>
      <c r="I140" s="46" t="s">
        <v>56</v>
      </c>
      <c r="J140" s="47" t="s">
        <v>30</v>
      </c>
      <c r="K140" s="48">
        <v>0.05</v>
      </c>
      <c r="L140" s="49">
        <f>VLOOKUP(H140,[4]Sheet2!K:P,6,0)</f>
        <v>9.0574999999999993E-5</v>
      </c>
      <c r="M140" s="50">
        <f>VLOOKUP(H140,[4]Sheet2!K:Q,7,0)</f>
        <v>4000</v>
      </c>
      <c r="N140" s="51"/>
      <c r="O140" s="51"/>
      <c r="P140" s="51"/>
      <c r="Q140" s="51"/>
      <c r="R140" s="51"/>
      <c r="S140" s="51"/>
      <c r="T140" s="51"/>
      <c r="U140" s="51"/>
      <c r="V140" s="52">
        <f>VLOOKUP(H140,[4]Sheet2!K:N,4,0)</f>
        <v>4000</v>
      </c>
      <c r="W140" s="52">
        <f t="shared" si="116"/>
        <v>0</v>
      </c>
      <c r="X140" s="52">
        <f>VLOOKUP(H140,[4]Sheet2!K:N,4,0)</f>
        <v>4000</v>
      </c>
      <c r="Y140" s="53">
        <f t="shared" si="117"/>
        <v>1</v>
      </c>
      <c r="Z140" s="53">
        <f t="shared" si="118"/>
        <v>0</v>
      </c>
      <c r="AA140" s="53">
        <f t="shared" si="119"/>
        <v>1</v>
      </c>
    </row>
    <row r="141" spans="1:27" ht="18.75" customHeight="1" outlineLevel="5" x14ac:dyDescent="0.3">
      <c r="B141" s="12"/>
      <c r="C141" s="18"/>
      <c r="D141" s="24"/>
      <c r="E141" s="29"/>
      <c r="F141" s="34"/>
      <c r="G141" s="39" t="s">
        <v>182</v>
      </c>
      <c r="H141" s="58"/>
      <c r="I141" s="58"/>
      <c r="J141" s="58"/>
      <c r="K141" s="58"/>
      <c r="L141" s="41">
        <f>SUM(L142:L147)</f>
        <v>1.0394700000000002E-2</v>
      </c>
      <c r="M141" s="42">
        <f>M142</f>
        <v>24000</v>
      </c>
      <c r="N141" s="40"/>
      <c r="O141" s="40"/>
      <c r="P141" s="40"/>
      <c r="Q141" s="40"/>
      <c r="R141" s="40"/>
      <c r="S141" s="40"/>
      <c r="T141" s="40"/>
      <c r="U141" s="40"/>
      <c r="V141" s="42">
        <f t="shared" ref="V141:X141" si="120">V142</f>
        <v>24000</v>
      </c>
      <c r="W141" s="42">
        <f t="shared" si="120"/>
        <v>0</v>
      </c>
      <c r="X141" s="42">
        <f t="shared" si="120"/>
        <v>24000</v>
      </c>
      <c r="Y141" s="43">
        <f>SUMPRODUCT(Y142:Y147,$K142:$K147)</f>
        <v>1.0000000000000002</v>
      </c>
      <c r="Z141" s="43">
        <f t="shared" ref="Z141:AA141" si="121">SUMPRODUCT(Z142:Z147,$K142:$K147)</f>
        <v>0</v>
      </c>
      <c r="AA141" s="43">
        <f t="shared" si="121"/>
        <v>1.0000000000000002</v>
      </c>
    </row>
    <row r="142" spans="1:27" ht="18.75" customHeight="1" outlineLevel="6" x14ac:dyDescent="0.3">
      <c r="B142" s="44"/>
      <c r="C142" s="18"/>
      <c r="D142" s="24"/>
      <c r="E142" s="29"/>
      <c r="F142" s="34"/>
      <c r="G142" s="39"/>
      <c r="H142" s="46" t="s">
        <v>183</v>
      </c>
      <c r="I142" s="46" t="s">
        <v>45</v>
      </c>
      <c r="J142" s="47" t="s">
        <v>30</v>
      </c>
      <c r="K142" s="48">
        <v>0.05</v>
      </c>
      <c r="L142" s="49">
        <f>VLOOKUP(H142,[4]Sheet2!K:P,6,0)</f>
        <v>5.1973500000000001E-4</v>
      </c>
      <c r="M142" s="50">
        <f>VLOOKUP(H142,[4]Sheet2!K:Q,7,0)</f>
        <v>24000</v>
      </c>
      <c r="N142" s="51"/>
      <c r="O142" s="51"/>
      <c r="P142" s="51"/>
      <c r="Q142" s="51"/>
      <c r="R142" s="51"/>
      <c r="S142" s="51"/>
      <c r="T142" s="51"/>
      <c r="U142" s="51"/>
      <c r="V142" s="52">
        <f>VLOOKUP(H142,[4]Sheet2!K:N,4,0)</f>
        <v>24000</v>
      </c>
      <c r="W142" s="52">
        <f t="shared" ref="W142:W147" si="122">X142-V142</f>
        <v>0</v>
      </c>
      <c r="X142" s="52">
        <f>VLOOKUP(H142,[4]Sheet2!K:N,4,0)</f>
        <v>24000</v>
      </c>
      <c r="Y142" s="53">
        <f t="shared" ref="Y142:Y147" si="123">IFERROR(V142/M142,1)</f>
        <v>1</v>
      </c>
      <c r="Z142" s="53">
        <f t="shared" ref="Z142:Z147" si="124">IFERROR(W142/M142,1)</f>
        <v>0</v>
      </c>
      <c r="AA142" s="53">
        <f t="shared" ref="AA142:AA147" si="125">IFERROR(X142/M142,1)</f>
        <v>1</v>
      </c>
    </row>
    <row r="143" spans="1:27" ht="18.75" customHeight="1" outlineLevel="6" x14ac:dyDescent="0.3">
      <c r="A143" s="60" t="s">
        <v>46</v>
      </c>
      <c r="B143" s="44"/>
      <c r="C143" s="18"/>
      <c r="D143" s="24"/>
      <c r="E143" s="29"/>
      <c r="F143" s="34"/>
      <c r="G143" s="39"/>
      <c r="H143" s="46" t="s">
        <v>184</v>
      </c>
      <c r="I143" s="46" t="s">
        <v>48</v>
      </c>
      <c r="J143" s="47" t="s">
        <v>30</v>
      </c>
      <c r="K143" s="48">
        <v>0.5</v>
      </c>
      <c r="L143" s="49">
        <f>VLOOKUP(H143,[4]Sheet2!K:P,6,0)</f>
        <v>5.1973499999999999E-3</v>
      </c>
      <c r="M143" s="50">
        <f>VLOOKUP(H143,[4]Sheet2!K:Q,7,0)</f>
        <v>24000</v>
      </c>
      <c r="N143" s="51"/>
      <c r="O143" s="51"/>
      <c r="P143" s="51"/>
      <c r="Q143" s="51"/>
      <c r="R143" s="51"/>
      <c r="S143" s="51"/>
      <c r="T143" s="51"/>
      <c r="U143" s="51"/>
      <c r="V143" s="52">
        <f>VLOOKUP(H143,[4]Sheet2!K:N,4,0)</f>
        <v>24000</v>
      </c>
      <c r="W143" s="52">
        <f t="shared" si="122"/>
        <v>0</v>
      </c>
      <c r="X143" s="52">
        <f>VLOOKUP(H143,[4]Sheet2!K:N,4,0)</f>
        <v>24000</v>
      </c>
      <c r="Y143" s="53">
        <f t="shared" si="123"/>
        <v>1</v>
      </c>
      <c r="Z143" s="53">
        <f t="shared" si="124"/>
        <v>0</v>
      </c>
      <c r="AA143" s="53">
        <f t="shared" si="125"/>
        <v>1</v>
      </c>
    </row>
    <row r="144" spans="1:27" ht="18.75" customHeight="1" outlineLevel="6" x14ac:dyDescent="0.3">
      <c r="B144" s="44"/>
      <c r="C144" s="18"/>
      <c r="D144" s="24"/>
      <c r="E144" s="29"/>
      <c r="F144" s="34"/>
      <c r="G144" s="39"/>
      <c r="H144" s="46" t="s">
        <v>185</v>
      </c>
      <c r="I144" s="46" t="s">
        <v>50</v>
      </c>
      <c r="J144" s="47" t="s">
        <v>30</v>
      </c>
      <c r="K144" s="48">
        <v>0.15</v>
      </c>
      <c r="L144" s="49">
        <f>VLOOKUP(H144,[4]Sheet2!K:P,6,0)</f>
        <v>1.5592049999999999E-3</v>
      </c>
      <c r="M144" s="50">
        <f>VLOOKUP(H144,[4]Sheet2!K:Q,7,0)</f>
        <v>24000</v>
      </c>
      <c r="N144" s="51"/>
      <c r="O144" s="51"/>
      <c r="P144" s="51"/>
      <c r="Q144" s="51"/>
      <c r="R144" s="51"/>
      <c r="S144" s="51"/>
      <c r="T144" s="51"/>
      <c r="U144" s="51"/>
      <c r="V144" s="52">
        <f>VLOOKUP(H144,[4]Sheet2!K:N,4,0)</f>
        <v>24000</v>
      </c>
      <c r="W144" s="52">
        <f t="shared" si="122"/>
        <v>0</v>
      </c>
      <c r="X144" s="52">
        <f>VLOOKUP(H144,[4]Sheet2!K:N,4,0)</f>
        <v>24000</v>
      </c>
      <c r="Y144" s="53">
        <f t="shared" si="123"/>
        <v>1</v>
      </c>
      <c r="Z144" s="53">
        <f t="shared" si="124"/>
        <v>0</v>
      </c>
      <c r="AA144" s="53">
        <f t="shared" si="125"/>
        <v>1</v>
      </c>
    </row>
    <row r="145" spans="1:27" ht="18.75" customHeight="1" outlineLevel="6" x14ac:dyDescent="0.3">
      <c r="B145" s="44"/>
      <c r="C145" s="18"/>
      <c r="D145" s="24"/>
      <c r="E145" s="29"/>
      <c r="F145" s="34"/>
      <c r="G145" s="39"/>
      <c r="H145" s="46" t="s">
        <v>186</v>
      </c>
      <c r="I145" s="46" t="s">
        <v>52</v>
      </c>
      <c r="J145" s="47" t="s">
        <v>30</v>
      </c>
      <c r="K145" s="48">
        <v>0.2</v>
      </c>
      <c r="L145" s="49">
        <f>VLOOKUP(H145,[4]Sheet2!K:P,6,0)</f>
        <v>2.07894E-3</v>
      </c>
      <c r="M145" s="50">
        <f>VLOOKUP(H145,[4]Sheet2!K:Q,7,0)</f>
        <v>24000</v>
      </c>
      <c r="N145" s="51"/>
      <c r="O145" s="51"/>
      <c r="P145" s="51"/>
      <c r="Q145" s="51"/>
      <c r="R145" s="51"/>
      <c r="S145" s="51"/>
      <c r="T145" s="51"/>
      <c r="U145" s="51"/>
      <c r="V145" s="52">
        <f>VLOOKUP(H145,[4]Sheet2!K:N,4,0)</f>
        <v>24000</v>
      </c>
      <c r="W145" s="52">
        <f t="shared" si="122"/>
        <v>0</v>
      </c>
      <c r="X145" s="52">
        <f>VLOOKUP(H145,[4]Sheet2!K:N,4,0)</f>
        <v>24000</v>
      </c>
      <c r="Y145" s="53">
        <f t="shared" si="123"/>
        <v>1</v>
      </c>
      <c r="Z145" s="53">
        <f t="shared" si="124"/>
        <v>0</v>
      </c>
      <c r="AA145" s="53">
        <f t="shared" si="125"/>
        <v>1</v>
      </c>
    </row>
    <row r="146" spans="1:27" ht="18.75" customHeight="1" outlineLevel="6" x14ac:dyDescent="0.3">
      <c r="B146" s="44"/>
      <c r="C146" s="18"/>
      <c r="D146" s="24"/>
      <c r="E146" s="29"/>
      <c r="F146" s="34"/>
      <c r="G146" s="39"/>
      <c r="H146" s="46" t="s">
        <v>187</v>
      </c>
      <c r="I146" s="46" t="s">
        <v>54</v>
      </c>
      <c r="J146" s="47" t="s">
        <v>30</v>
      </c>
      <c r="K146" s="48">
        <v>0.05</v>
      </c>
      <c r="L146" s="49">
        <f>VLOOKUP(H146,[4]Sheet2!K:P,6,0)</f>
        <v>5.1973500000000001E-4</v>
      </c>
      <c r="M146" s="50">
        <f>VLOOKUP(H146,[4]Sheet2!K:Q,7,0)</f>
        <v>24000</v>
      </c>
      <c r="N146" s="51"/>
      <c r="O146" s="51"/>
      <c r="P146" s="51"/>
      <c r="Q146" s="51"/>
      <c r="R146" s="51"/>
      <c r="S146" s="51"/>
      <c r="T146" s="51"/>
      <c r="U146" s="51"/>
      <c r="V146" s="52">
        <f>VLOOKUP(H146,[4]Sheet2!K:N,4,0)</f>
        <v>24000</v>
      </c>
      <c r="W146" s="52">
        <f t="shared" si="122"/>
        <v>0</v>
      </c>
      <c r="X146" s="52">
        <f>VLOOKUP(H146,[4]Sheet2!K:N,4,0)</f>
        <v>24000</v>
      </c>
      <c r="Y146" s="53">
        <f t="shared" si="123"/>
        <v>1</v>
      </c>
      <c r="Z146" s="53">
        <f t="shared" si="124"/>
        <v>0</v>
      </c>
      <c r="AA146" s="53">
        <f t="shared" si="125"/>
        <v>1</v>
      </c>
    </row>
    <row r="147" spans="1:27" ht="18.75" customHeight="1" outlineLevel="6" x14ac:dyDescent="0.3">
      <c r="B147" s="44"/>
      <c r="C147" s="18"/>
      <c r="D147" s="24"/>
      <c r="E147" s="29"/>
      <c r="F147" s="34"/>
      <c r="G147" s="39"/>
      <c r="H147" s="46" t="s">
        <v>188</v>
      </c>
      <c r="I147" s="46" t="s">
        <v>56</v>
      </c>
      <c r="J147" s="47" t="s">
        <v>30</v>
      </c>
      <c r="K147" s="48">
        <v>0.05</v>
      </c>
      <c r="L147" s="49">
        <f>VLOOKUP(H147,[4]Sheet2!K:P,6,0)</f>
        <v>5.1973500000000001E-4</v>
      </c>
      <c r="M147" s="50">
        <f>VLOOKUP(H147,[4]Sheet2!K:Q,7,0)</f>
        <v>24000</v>
      </c>
      <c r="N147" s="51"/>
      <c r="O147" s="51"/>
      <c r="P147" s="51"/>
      <c r="Q147" s="51"/>
      <c r="R147" s="51"/>
      <c r="S147" s="51"/>
      <c r="T147" s="51"/>
      <c r="U147" s="51"/>
      <c r="V147" s="52">
        <f>VLOOKUP(H147,[4]Sheet2!K:N,4,0)</f>
        <v>24000</v>
      </c>
      <c r="W147" s="52">
        <f t="shared" si="122"/>
        <v>0</v>
      </c>
      <c r="X147" s="52">
        <f>VLOOKUP(H147,[4]Sheet2!K:N,4,0)</f>
        <v>24000</v>
      </c>
      <c r="Y147" s="53">
        <f t="shared" si="123"/>
        <v>1</v>
      </c>
      <c r="Z147" s="53">
        <f t="shared" si="124"/>
        <v>0</v>
      </c>
      <c r="AA147" s="53">
        <f t="shared" si="125"/>
        <v>1</v>
      </c>
    </row>
    <row r="148" spans="1:27" ht="18.75" customHeight="1" outlineLevel="5" x14ac:dyDescent="0.3">
      <c r="B148" s="12"/>
      <c r="C148" s="18"/>
      <c r="D148" s="24"/>
      <c r="E148" s="29"/>
      <c r="F148" s="34"/>
      <c r="G148" s="39" t="s">
        <v>189</v>
      </c>
      <c r="H148" s="58"/>
      <c r="I148" s="58"/>
      <c r="J148" s="58"/>
      <c r="K148" s="58"/>
      <c r="L148" s="41">
        <f>SUM(L149:L154)</f>
        <v>7.3504999999999977E-3</v>
      </c>
      <c r="M148" s="42">
        <f>M149</f>
        <v>16000</v>
      </c>
      <c r="N148" s="40"/>
      <c r="O148" s="40"/>
      <c r="P148" s="40"/>
      <c r="Q148" s="40"/>
      <c r="R148" s="40"/>
      <c r="S148" s="40"/>
      <c r="T148" s="40"/>
      <c r="U148" s="40"/>
      <c r="V148" s="42">
        <f t="shared" ref="V148:X148" si="126">V149</f>
        <v>16000</v>
      </c>
      <c r="W148" s="42">
        <f t="shared" si="126"/>
        <v>0</v>
      </c>
      <c r="X148" s="42">
        <f t="shared" si="126"/>
        <v>16000</v>
      </c>
      <c r="Y148" s="43">
        <f>SUMPRODUCT(Y149:Y154,$K149:$K154)</f>
        <v>1.0000000000000002</v>
      </c>
      <c r="Z148" s="43">
        <f t="shared" ref="Z148:AA148" si="127">SUMPRODUCT(Z149:Z154,$K149:$K154)</f>
        <v>0</v>
      </c>
      <c r="AA148" s="43">
        <f t="shared" si="127"/>
        <v>1.0000000000000002</v>
      </c>
    </row>
    <row r="149" spans="1:27" ht="18.75" customHeight="1" outlineLevel="6" x14ac:dyDescent="0.3">
      <c r="B149" s="44"/>
      <c r="C149" s="18"/>
      <c r="D149" s="24"/>
      <c r="E149" s="29"/>
      <c r="F149" s="34"/>
      <c r="G149" s="39"/>
      <c r="H149" s="46" t="s">
        <v>190</v>
      </c>
      <c r="I149" s="46" t="s">
        <v>45</v>
      </c>
      <c r="J149" s="47" t="s">
        <v>30</v>
      </c>
      <c r="K149" s="48">
        <v>0.05</v>
      </c>
      <c r="L149" s="49">
        <f>VLOOKUP(H149,[4]Sheet2!K:P,6,0)</f>
        <v>3.6752499999999995E-4</v>
      </c>
      <c r="M149" s="50">
        <f>VLOOKUP(H149,[4]Sheet2!K:Q,7,0)</f>
        <v>16000</v>
      </c>
      <c r="N149" s="51"/>
      <c r="O149" s="51"/>
      <c r="P149" s="51"/>
      <c r="Q149" s="51"/>
      <c r="R149" s="51"/>
      <c r="S149" s="51"/>
      <c r="T149" s="51"/>
      <c r="U149" s="51"/>
      <c r="V149" s="52">
        <f>VLOOKUP(H149,[4]Sheet2!K:N,4,0)</f>
        <v>16000</v>
      </c>
      <c r="W149" s="52">
        <f t="shared" ref="W149:W154" si="128">X149-V149</f>
        <v>0</v>
      </c>
      <c r="X149" s="52">
        <f>VLOOKUP(H149,[4]Sheet2!K:N,4,0)</f>
        <v>16000</v>
      </c>
      <c r="Y149" s="53">
        <f t="shared" ref="Y149:Y154" si="129">IFERROR(V149/M149,1)</f>
        <v>1</v>
      </c>
      <c r="Z149" s="53">
        <f t="shared" ref="Z149:Z154" si="130">IFERROR(W149/M149,1)</f>
        <v>0</v>
      </c>
      <c r="AA149" s="53">
        <f t="shared" ref="AA149:AA154" si="131">IFERROR(X149/M149,1)</f>
        <v>1</v>
      </c>
    </row>
    <row r="150" spans="1:27" ht="18.75" customHeight="1" outlineLevel="6" x14ac:dyDescent="0.3">
      <c r="A150" s="60" t="s">
        <v>46</v>
      </c>
      <c r="B150" s="44"/>
      <c r="C150" s="18"/>
      <c r="D150" s="24"/>
      <c r="E150" s="29"/>
      <c r="F150" s="34"/>
      <c r="G150" s="39"/>
      <c r="H150" s="46" t="s">
        <v>191</v>
      </c>
      <c r="I150" s="46" t="s">
        <v>48</v>
      </c>
      <c r="J150" s="47" t="s">
        <v>30</v>
      </c>
      <c r="K150" s="48">
        <v>0.5</v>
      </c>
      <c r="L150" s="49">
        <f>VLOOKUP(H150,[4]Sheet2!K:P,6,0)</f>
        <v>3.6752499999999997E-3</v>
      </c>
      <c r="M150" s="50">
        <f>VLOOKUP(H150,[4]Sheet2!K:Q,7,0)</f>
        <v>16000</v>
      </c>
      <c r="N150" s="51"/>
      <c r="O150" s="51"/>
      <c r="P150" s="51"/>
      <c r="Q150" s="51"/>
      <c r="R150" s="51"/>
      <c r="S150" s="51"/>
      <c r="T150" s="51"/>
      <c r="U150" s="51"/>
      <c r="V150" s="52">
        <f>VLOOKUP(H150,[4]Sheet2!K:N,4,0)</f>
        <v>16000</v>
      </c>
      <c r="W150" s="52">
        <f t="shared" si="128"/>
        <v>0</v>
      </c>
      <c r="X150" s="52">
        <f>VLOOKUP(H150,[4]Sheet2!K:N,4,0)</f>
        <v>16000</v>
      </c>
      <c r="Y150" s="53">
        <f t="shared" si="129"/>
        <v>1</v>
      </c>
      <c r="Z150" s="53">
        <f t="shared" si="130"/>
        <v>0</v>
      </c>
      <c r="AA150" s="53">
        <f t="shared" si="131"/>
        <v>1</v>
      </c>
    </row>
    <row r="151" spans="1:27" ht="18.75" customHeight="1" outlineLevel="6" x14ac:dyDescent="0.3">
      <c r="B151" s="44"/>
      <c r="C151" s="18"/>
      <c r="D151" s="24"/>
      <c r="E151" s="29"/>
      <c r="F151" s="34"/>
      <c r="G151" s="39"/>
      <c r="H151" s="46" t="s">
        <v>192</v>
      </c>
      <c r="I151" s="46" t="s">
        <v>50</v>
      </c>
      <c r="J151" s="47" t="s">
        <v>30</v>
      </c>
      <c r="K151" s="48">
        <v>0.15</v>
      </c>
      <c r="L151" s="49">
        <f>VLOOKUP(H151,[4]Sheet2!K:P,6,0)</f>
        <v>1.102575E-3</v>
      </c>
      <c r="M151" s="50">
        <f>VLOOKUP(H151,[4]Sheet2!K:Q,7,0)</f>
        <v>16000</v>
      </c>
      <c r="N151" s="51"/>
      <c r="O151" s="51"/>
      <c r="P151" s="51"/>
      <c r="Q151" s="51"/>
      <c r="R151" s="51"/>
      <c r="S151" s="51"/>
      <c r="T151" s="51"/>
      <c r="U151" s="51"/>
      <c r="V151" s="52">
        <f>VLOOKUP(H151,[4]Sheet2!K:N,4,0)</f>
        <v>16000</v>
      </c>
      <c r="W151" s="52">
        <f t="shared" si="128"/>
        <v>0</v>
      </c>
      <c r="X151" s="52">
        <f>VLOOKUP(H151,[4]Sheet2!K:N,4,0)</f>
        <v>16000</v>
      </c>
      <c r="Y151" s="53">
        <f t="shared" si="129"/>
        <v>1</v>
      </c>
      <c r="Z151" s="53">
        <f t="shared" si="130"/>
        <v>0</v>
      </c>
      <c r="AA151" s="53">
        <f t="shared" si="131"/>
        <v>1</v>
      </c>
    </row>
    <row r="152" spans="1:27" ht="18.75" customHeight="1" outlineLevel="6" x14ac:dyDescent="0.3">
      <c r="B152" s="44"/>
      <c r="C152" s="18"/>
      <c r="D152" s="24"/>
      <c r="E152" s="29"/>
      <c r="F152" s="34"/>
      <c r="G152" s="39"/>
      <c r="H152" s="46" t="s">
        <v>193</v>
      </c>
      <c r="I152" s="46" t="s">
        <v>52</v>
      </c>
      <c r="J152" s="47" t="s">
        <v>30</v>
      </c>
      <c r="K152" s="48">
        <v>0.2</v>
      </c>
      <c r="L152" s="49">
        <f>VLOOKUP(H152,[4]Sheet2!K:P,6,0)</f>
        <v>1.4700999999999998E-3</v>
      </c>
      <c r="M152" s="50">
        <f>VLOOKUP(H152,[4]Sheet2!K:Q,7,0)</f>
        <v>16000</v>
      </c>
      <c r="N152" s="51"/>
      <c r="O152" s="51"/>
      <c r="P152" s="51"/>
      <c r="Q152" s="51"/>
      <c r="R152" s="51"/>
      <c r="S152" s="51"/>
      <c r="T152" s="51"/>
      <c r="U152" s="51"/>
      <c r="V152" s="52">
        <f>VLOOKUP(H152,[4]Sheet2!K:N,4,0)</f>
        <v>16000</v>
      </c>
      <c r="W152" s="52">
        <f t="shared" si="128"/>
        <v>0</v>
      </c>
      <c r="X152" s="52">
        <f>VLOOKUP(H152,[4]Sheet2!K:N,4,0)</f>
        <v>16000</v>
      </c>
      <c r="Y152" s="53">
        <f t="shared" si="129"/>
        <v>1</v>
      </c>
      <c r="Z152" s="53">
        <f t="shared" si="130"/>
        <v>0</v>
      </c>
      <c r="AA152" s="53">
        <f t="shared" si="131"/>
        <v>1</v>
      </c>
    </row>
    <row r="153" spans="1:27" ht="18.75" customHeight="1" outlineLevel="6" x14ac:dyDescent="0.3">
      <c r="B153" s="44"/>
      <c r="C153" s="18"/>
      <c r="D153" s="24"/>
      <c r="E153" s="29"/>
      <c r="F153" s="34"/>
      <c r="G153" s="39"/>
      <c r="H153" s="46" t="s">
        <v>194</v>
      </c>
      <c r="I153" s="46" t="s">
        <v>54</v>
      </c>
      <c r="J153" s="47" t="s">
        <v>30</v>
      </c>
      <c r="K153" s="48">
        <v>0.05</v>
      </c>
      <c r="L153" s="49">
        <f>VLOOKUP(H153,[4]Sheet2!K:P,6,0)</f>
        <v>3.6752499999999995E-4</v>
      </c>
      <c r="M153" s="50">
        <f>VLOOKUP(H153,[4]Sheet2!K:Q,7,0)</f>
        <v>16000</v>
      </c>
      <c r="N153" s="51"/>
      <c r="O153" s="51"/>
      <c r="P153" s="51"/>
      <c r="Q153" s="51"/>
      <c r="R153" s="51"/>
      <c r="S153" s="51"/>
      <c r="T153" s="51"/>
      <c r="U153" s="51"/>
      <c r="V153" s="52">
        <f>VLOOKUP(H153,[4]Sheet2!K:N,4,0)</f>
        <v>16000</v>
      </c>
      <c r="W153" s="52">
        <f t="shared" si="128"/>
        <v>0</v>
      </c>
      <c r="X153" s="52">
        <f>VLOOKUP(H153,[4]Sheet2!K:N,4,0)</f>
        <v>16000</v>
      </c>
      <c r="Y153" s="53">
        <f t="shared" si="129"/>
        <v>1</v>
      </c>
      <c r="Z153" s="53">
        <f t="shared" si="130"/>
        <v>0</v>
      </c>
      <c r="AA153" s="53">
        <f t="shared" si="131"/>
        <v>1</v>
      </c>
    </row>
    <row r="154" spans="1:27" ht="18.75" customHeight="1" outlineLevel="6" x14ac:dyDescent="0.3">
      <c r="B154" s="44"/>
      <c r="C154" s="18"/>
      <c r="D154" s="24"/>
      <c r="E154" s="29"/>
      <c r="F154" s="34"/>
      <c r="G154" s="39"/>
      <c r="H154" s="46" t="s">
        <v>195</v>
      </c>
      <c r="I154" s="46" t="s">
        <v>56</v>
      </c>
      <c r="J154" s="47" t="s">
        <v>30</v>
      </c>
      <c r="K154" s="48">
        <v>0.05</v>
      </c>
      <c r="L154" s="49">
        <f>VLOOKUP(H154,[4]Sheet2!K:P,6,0)</f>
        <v>3.6752499999999995E-4</v>
      </c>
      <c r="M154" s="50">
        <f>VLOOKUP(H154,[4]Sheet2!K:Q,7,0)</f>
        <v>16000</v>
      </c>
      <c r="N154" s="51"/>
      <c r="O154" s="51"/>
      <c r="P154" s="51"/>
      <c r="Q154" s="51"/>
      <c r="R154" s="51"/>
      <c r="S154" s="51"/>
      <c r="T154" s="51"/>
      <c r="U154" s="51"/>
      <c r="V154" s="52">
        <f>VLOOKUP(H154,[4]Sheet2!K:N,4,0)</f>
        <v>16000</v>
      </c>
      <c r="W154" s="52">
        <f t="shared" si="128"/>
        <v>0</v>
      </c>
      <c r="X154" s="52">
        <f>VLOOKUP(H154,[4]Sheet2!K:N,4,0)</f>
        <v>16000</v>
      </c>
      <c r="Y154" s="53">
        <f t="shared" si="129"/>
        <v>1</v>
      </c>
      <c r="Z154" s="53">
        <f t="shared" si="130"/>
        <v>0</v>
      </c>
      <c r="AA154" s="53">
        <f t="shared" si="131"/>
        <v>1</v>
      </c>
    </row>
    <row r="155" spans="1:27" ht="18.75" customHeight="1" outlineLevel="5" x14ac:dyDescent="0.3">
      <c r="B155" s="12"/>
      <c r="C155" s="18"/>
      <c r="D155" s="24"/>
      <c r="E155" s="29"/>
      <c r="F155" s="34"/>
      <c r="G155" s="39" t="s">
        <v>196</v>
      </c>
      <c r="H155" s="58"/>
      <c r="I155" s="58"/>
      <c r="J155" s="58"/>
      <c r="K155" s="58"/>
      <c r="L155" s="41">
        <f>SUM(L156:L161)</f>
        <v>3.5258999999999998E-3</v>
      </c>
      <c r="M155" s="42">
        <f>M156</f>
        <v>8000</v>
      </c>
      <c r="N155" s="40"/>
      <c r="O155" s="40"/>
      <c r="P155" s="40"/>
      <c r="Q155" s="40"/>
      <c r="R155" s="40"/>
      <c r="S155" s="40"/>
      <c r="T155" s="40"/>
      <c r="U155" s="40"/>
      <c r="V155" s="42">
        <f t="shared" ref="V155:X155" si="132">V156</f>
        <v>0</v>
      </c>
      <c r="W155" s="42">
        <f t="shared" si="132"/>
        <v>0</v>
      </c>
      <c r="X155" s="42">
        <f t="shared" si="132"/>
        <v>0</v>
      </c>
      <c r="Y155" s="43">
        <f>SUMPRODUCT(Y156:Y161,$K156:$K161)</f>
        <v>0</v>
      </c>
      <c r="Z155" s="43">
        <f t="shared" ref="Z155:AA155" si="133">SUMPRODUCT(Z156:Z161,$K156:$K161)</f>
        <v>0</v>
      </c>
      <c r="AA155" s="43">
        <f t="shared" si="133"/>
        <v>0</v>
      </c>
    </row>
    <row r="156" spans="1:27" ht="18.75" customHeight="1" outlineLevel="6" x14ac:dyDescent="0.3">
      <c r="B156" s="44"/>
      <c r="C156" s="18"/>
      <c r="D156" s="24"/>
      <c r="E156" s="29"/>
      <c r="F156" s="34"/>
      <c r="G156" s="39"/>
      <c r="H156" s="46" t="s">
        <v>197</v>
      </c>
      <c r="I156" s="46" t="s">
        <v>45</v>
      </c>
      <c r="J156" s="47" t="s">
        <v>30</v>
      </c>
      <c r="K156" s="48">
        <v>0.05</v>
      </c>
      <c r="L156" s="49">
        <f>VLOOKUP(H156,[4]Sheet2!K:P,6,0)</f>
        <v>1.7629500000000001E-4</v>
      </c>
      <c r="M156" s="50">
        <f>VLOOKUP(H156,[4]Sheet2!K:Q,7,0)</f>
        <v>8000</v>
      </c>
      <c r="N156" s="51"/>
      <c r="O156" s="51"/>
      <c r="P156" s="51"/>
      <c r="Q156" s="51"/>
      <c r="R156" s="51"/>
      <c r="S156" s="51"/>
      <c r="T156" s="51"/>
      <c r="U156" s="51"/>
      <c r="V156" s="52">
        <f>VLOOKUP(H156,[4]Sheet2!K:N,4,0)</f>
        <v>0</v>
      </c>
      <c r="W156" s="52">
        <f t="shared" ref="W156:W161" si="134">X156-V156</f>
        <v>0</v>
      </c>
      <c r="X156" s="52">
        <f>VLOOKUP(H156,[4]Sheet2!K:N,4,0)</f>
        <v>0</v>
      </c>
      <c r="Y156" s="53">
        <f t="shared" ref="Y156:Y161" si="135">IFERROR(V156/M156,1)</f>
        <v>0</v>
      </c>
      <c r="Z156" s="53">
        <f t="shared" ref="Z156:Z161" si="136">IFERROR(W156/M156,1)</f>
        <v>0</v>
      </c>
      <c r="AA156" s="53">
        <f t="shared" ref="AA156:AA161" si="137">IFERROR(X156/M156,1)</f>
        <v>0</v>
      </c>
    </row>
    <row r="157" spans="1:27" ht="18.75" customHeight="1" outlineLevel="6" x14ac:dyDescent="0.3">
      <c r="A157" s="60" t="s">
        <v>46</v>
      </c>
      <c r="B157" s="44"/>
      <c r="C157" s="18"/>
      <c r="D157" s="24"/>
      <c r="E157" s="29"/>
      <c r="F157" s="34"/>
      <c r="G157" s="39"/>
      <c r="H157" s="46" t="s">
        <v>198</v>
      </c>
      <c r="I157" s="46" t="s">
        <v>48</v>
      </c>
      <c r="J157" s="47" t="s">
        <v>30</v>
      </c>
      <c r="K157" s="48">
        <v>0.5</v>
      </c>
      <c r="L157" s="49">
        <f>VLOOKUP(H157,[4]Sheet2!K:P,6,0)</f>
        <v>1.7629500000000001E-3</v>
      </c>
      <c r="M157" s="50">
        <f>VLOOKUP(H157,[4]Sheet2!K:Q,7,0)</f>
        <v>8000</v>
      </c>
      <c r="N157" s="51"/>
      <c r="O157" s="51"/>
      <c r="P157" s="51"/>
      <c r="Q157" s="51"/>
      <c r="R157" s="51"/>
      <c r="S157" s="51"/>
      <c r="T157" s="51"/>
      <c r="U157" s="51"/>
      <c r="V157" s="52">
        <f>VLOOKUP(H157,[4]Sheet2!K:N,4,0)</f>
        <v>0</v>
      </c>
      <c r="W157" s="52">
        <f t="shared" si="134"/>
        <v>0</v>
      </c>
      <c r="X157" s="52">
        <f>VLOOKUP(H157,[4]Sheet2!K:N,4,0)</f>
        <v>0</v>
      </c>
      <c r="Y157" s="53">
        <f t="shared" si="135"/>
        <v>0</v>
      </c>
      <c r="Z157" s="53">
        <f t="shared" si="136"/>
        <v>0</v>
      </c>
      <c r="AA157" s="53">
        <f t="shared" si="137"/>
        <v>0</v>
      </c>
    </row>
    <row r="158" spans="1:27" ht="18.75" customHeight="1" outlineLevel="6" x14ac:dyDescent="0.3">
      <c r="B158" s="44"/>
      <c r="C158" s="18"/>
      <c r="D158" s="24"/>
      <c r="E158" s="29"/>
      <c r="F158" s="34"/>
      <c r="G158" s="39"/>
      <c r="H158" s="46" t="s">
        <v>199</v>
      </c>
      <c r="I158" s="46" t="s">
        <v>50</v>
      </c>
      <c r="J158" s="47" t="s">
        <v>30</v>
      </c>
      <c r="K158" s="48">
        <v>0.15</v>
      </c>
      <c r="L158" s="49">
        <f>VLOOKUP(H158,[4]Sheet2!K:P,6,0)</f>
        <v>5.2888499999999999E-4</v>
      </c>
      <c r="M158" s="50">
        <f>VLOOKUP(H158,[4]Sheet2!K:Q,7,0)</f>
        <v>8000</v>
      </c>
      <c r="N158" s="51"/>
      <c r="O158" s="51"/>
      <c r="P158" s="51"/>
      <c r="Q158" s="51"/>
      <c r="R158" s="51"/>
      <c r="S158" s="51"/>
      <c r="T158" s="51"/>
      <c r="U158" s="51"/>
      <c r="V158" s="52">
        <f>VLOOKUP(H158,[4]Sheet2!K:N,4,0)</f>
        <v>0</v>
      </c>
      <c r="W158" s="52">
        <f t="shared" si="134"/>
        <v>0</v>
      </c>
      <c r="X158" s="52">
        <f>VLOOKUP(H158,[4]Sheet2!K:N,4,0)</f>
        <v>0</v>
      </c>
      <c r="Y158" s="53">
        <f t="shared" si="135"/>
        <v>0</v>
      </c>
      <c r="Z158" s="53">
        <f t="shared" si="136"/>
        <v>0</v>
      </c>
      <c r="AA158" s="53">
        <f t="shared" si="137"/>
        <v>0</v>
      </c>
    </row>
    <row r="159" spans="1:27" ht="18.75" customHeight="1" outlineLevel="6" x14ac:dyDescent="0.3">
      <c r="B159" s="44"/>
      <c r="C159" s="18"/>
      <c r="D159" s="24"/>
      <c r="E159" s="29"/>
      <c r="F159" s="34"/>
      <c r="G159" s="39"/>
      <c r="H159" s="46" t="s">
        <v>200</v>
      </c>
      <c r="I159" s="46" t="s">
        <v>52</v>
      </c>
      <c r="J159" s="47" t="s">
        <v>30</v>
      </c>
      <c r="K159" s="48">
        <v>0.2</v>
      </c>
      <c r="L159" s="49">
        <f>VLOOKUP(H159,[4]Sheet2!K:P,6,0)</f>
        <v>7.0518000000000002E-4</v>
      </c>
      <c r="M159" s="50">
        <f>VLOOKUP(H159,[4]Sheet2!K:Q,7,0)</f>
        <v>8000</v>
      </c>
      <c r="N159" s="51"/>
      <c r="O159" s="51"/>
      <c r="P159" s="51"/>
      <c r="Q159" s="51"/>
      <c r="R159" s="51"/>
      <c r="S159" s="51"/>
      <c r="T159" s="51"/>
      <c r="U159" s="51"/>
      <c r="V159" s="52">
        <f>VLOOKUP(H159,[4]Sheet2!K:N,4,0)</f>
        <v>0</v>
      </c>
      <c r="W159" s="52">
        <f t="shared" si="134"/>
        <v>0</v>
      </c>
      <c r="X159" s="52">
        <f>VLOOKUP(H159,[4]Sheet2!K:N,4,0)</f>
        <v>0</v>
      </c>
      <c r="Y159" s="53">
        <f t="shared" si="135"/>
        <v>0</v>
      </c>
      <c r="Z159" s="53">
        <f t="shared" si="136"/>
        <v>0</v>
      </c>
      <c r="AA159" s="53">
        <f t="shared" si="137"/>
        <v>0</v>
      </c>
    </row>
    <row r="160" spans="1:27" ht="18.75" customHeight="1" outlineLevel="6" x14ac:dyDescent="0.3">
      <c r="B160" s="44"/>
      <c r="C160" s="18"/>
      <c r="D160" s="24"/>
      <c r="E160" s="29"/>
      <c r="F160" s="34"/>
      <c r="G160" s="39"/>
      <c r="H160" s="46" t="s">
        <v>201</v>
      </c>
      <c r="I160" s="46" t="s">
        <v>54</v>
      </c>
      <c r="J160" s="47" t="s">
        <v>30</v>
      </c>
      <c r="K160" s="48">
        <v>0.05</v>
      </c>
      <c r="L160" s="49">
        <f>VLOOKUP(H160,[4]Sheet2!K:P,6,0)</f>
        <v>1.7629500000000001E-4</v>
      </c>
      <c r="M160" s="50">
        <f>VLOOKUP(H160,[4]Sheet2!K:Q,7,0)</f>
        <v>8000</v>
      </c>
      <c r="N160" s="51"/>
      <c r="O160" s="51"/>
      <c r="P160" s="51"/>
      <c r="Q160" s="51"/>
      <c r="R160" s="51"/>
      <c r="S160" s="51"/>
      <c r="T160" s="51"/>
      <c r="U160" s="51"/>
      <c r="V160" s="52">
        <f>VLOOKUP(H160,[4]Sheet2!K:N,4,0)</f>
        <v>0</v>
      </c>
      <c r="W160" s="52">
        <f t="shared" si="134"/>
        <v>0</v>
      </c>
      <c r="X160" s="52">
        <f>VLOOKUP(H160,[4]Sheet2!K:N,4,0)</f>
        <v>0</v>
      </c>
      <c r="Y160" s="53">
        <f t="shared" si="135"/>
        <v>0</v>
      </c>
      <c r="Z160" s="53">
        <f t="shared" si="136"/>
        <v>0</v>
      </c>
      <c r="AA160" s="53">
        <f t="shared" si="137"/>
        <v>0</v>
      </c>
    </row>
    <row r="161" spans="1:27" ht="18.75" customHeight="1" outlineLevel="6" x14ac:dyDescent="0.3">
      <c r="B161" s="44"/>
      <c r="C161" s="18"/>
      <c r="D161" s="24"/>
      <c r="E161" s="29"/>
      <c r="F161" s="34"/>
      <c r="G161" s="39"/>
      <c r="H161" s="46" t="s">
        <v>202</v>
      </c>
      <c r="I161" s="46" t="s">
        <v>56</v>
      </c>
      <c r="J161" s="47" t="s">
        <v>30</v>
      </c>
      <c r="K161" s="48">
        <v>0.05</v>
      </c>
      <c r="L161" s="49">
        <f>VLOOKUP(H161,[4]Sheet2!K:P,6,0)</f>
        <v>1.7629500000000001E-4</v>
      </c>
      <c r="M161" s="50">
        <f>VLOOKUP(H161,[4]Sheet2!K:Q,7,0)</f>
        <v>8000</v>
      </c>
      <c r="N161" s="51"/>
      <c r="O161" s="51"/>
      <c r="P161" s="51"/>
      <c r="Q161" s="51"/>
      <c r="R161" s="51"/>
      <c r="S161" s="51"/>
      <c r="T161" s="51"/>
      <c r="U161" s="51"/>
      <c r="V161" s="52">
        <f>VLOOKUP(H161,[4]Sheet2!K:N,4,0)</f>
        <v>0</v>
      </c>
      <c r="W161" s="52">
        <f t="shared" si="134"/>
        <v>0</v>
      </c>
      <c r="X161" s="52">
        <f>VLOOKUP(H161,[4]Sheet2!K:N,4,0)</f>
        <v>0</v>
      </c>
      <c r="Y161" s="53">
        <f t="shared" si="135"/>
        <v>0</v>
      </c>
      <c r="Z161" s="53">
        <f t="shared" si="136"/>
        <v>0</v>
      </c>
      <c r="AA161" s="53">
        <f t="shared" si="137"/>
        <v>0</v>
      </c>
    </row>
    <row r="162" spans="1:27" ht="18.75" customHeight="1" outlineLevel="5" x14ac:dyDescent="0.3">
      <c r="B162" s="12"/>
      <c r="C162" s="18"/>
      <c r="D162" s="24"/>
      <c r="E162" s="29"/>
      <c r="F162" s="34"/>
      <c r="G162" s="39" t="s">
        <v>203</v>
      </c>
      <c r="H162" s="58"/>
      <c r="I162" s="58"/>
      <c r="J162" s="58"/>
      <c r="K162" s="58"/>
      <c r="L162" s="41">
        <f>SUM(L163:L168)</f>
        <v>2.1386999999999999E-3</v>
      </c>
      <c r="M162" s="42">
        <f>M163</f>
        <v>5000</v>
      </c>
      <c r="N162" s="40"/>
      <c r="O162" s="40"/>
      <c r="P162" s="40"/>
      <c r="Q162" s="40"/>
      <c r="R162" s="40"/>
      <c r="S162" s="40"/>
      <c r="T162" s="40"/>
      <c r="U162" s="40"/>
      <c r="V162" s="42">
        <f t="shared" ref="V162:X162" si="138">V163</f>
        <v>0</v>
      </c>
      <c r="W162" s="42">
        <f t="shared" si="138"/>
        <v>0</v>
      </c>
      <c r="X162" s="42">
        <f t="shared" si="138"/>
        <v>0</v>
      </c>
      <c r="Y162" s="43">
        <f>SUMPRODUCT(Y163:Y168,$K163:$K168)</f>
        <v>0</v>
      </c>
      <c r="Z162" s="43">
        <f t="shared" ref="Z162:AA162" si="139">SUMPRODUCT(Z163:Z168,$K163:$K168)</f>
        <v>0</v>
      </c>
      <c r="AA162" s="43">
        <f t="shared" si="139"/>
        <v>0</v>
      </c>
    </row>
    <row r="163" spans="1:27" ht="18.75" customHeight="1" outlineLevel="6" x14ac:dyDescent="0.3">
      <c r="B163" s="44"/>
      <c r="C163" s="18"/>
      <c r="D163" s="24"/>
      <c r="E163" s="29"/>
      <c r="F163" s="34"/>
      <c r="G163" s="39"/>
      <c r="H163" s="46" t="s">
        <v>204</v>
      </c>
      <c r="I163" s="46" t="s">
        <v>45</v>
      </c>
      <c r="J163" s="47" t="s">
        <v>30</v>
      </c>
      <c r="K163" s="48">
        <v>0.05</v>
      </c>
      <c r="L163" s="49">
        <f>VLOOKUP(H163,[4]Sheet2!K:P,6,0)</f>
        <v>1.0693499999999999E-4</v>
      </c>
      <c r="M163" s="50">
        <f>VLOOKUP(H163,[4]Sheet2!K:Q,7,0)</f>
        <v>5000</v>
      </c>
      <c r="N163" s="51"/>
      <c r="O163" s="51"/>
      <c r="P163" s="51"/>
      <c r="Q163" s="51"/>
      <c r="R163" s="51"/>
      <c r="S163" s="51"/>
      <c r="T163" s="51"/>
      <c r="U163" s="51"/>
      <c r="V163" s="52">
        <f>VLOOKUP(H163,[4]Sheet2!K:N,4,0)</f>
        <v>0</v>
      </c>
      <c r="W163" s="52">
        <f t="shared" ref="W163:W168" si="140">X163-V163</f>
        <v>0</v>
      </c>
      <c r="X163" s="52">
        <f>VLOOKUP(H163,[4]Sheet2!K:N,4,0)</f>
        <v>0</v>
      </c>
      <c r="Y163" s="53">
        <f t="shared" ref="Y163:Y168" si="141">IFERROR(V163/M163,1)</f>
        <v>0</v>
      </c>
      <c r="Z163" s="53">
        <f t="shared" ref="Z163:Z168" si="142">IFERROR(W163/M163,1)</f>
        <v>0</v>
      </c>
      <c r="AA163" s="53">
        <f t="shared" ref="AA163:AA168" si="143">IFERROR(X163/M163,1)</f>
        <v>0</v>
      </c>
    </row>
    <row r="164" spans="1:27" ht="18.75" customHeight="1" outlineLevel="6" x14ac:dyDescent="0.3">
      <c r="A164" s="60" t="s">
        <v>46</v>
      </c>
      <c r="B164" s="44"/>
      <c r="C164" s="18"/>
      <c r="D164" s="24"/>
      <c r="E164" s="29"/>
      <c r="F164" s="34"/>
      <c r="G164" s="39"/>
      <c r="H164" s="46" t="s">
        <v>205</v>
      </c>
      <c r="I164" s="46" t="s">
        <v>48</v>
      </c>
      <c r="J164" s="47" t="s">
        <v>30</v>
      </c>
      <c r="K164" s="48">
        <v>0.5</v>
      </c>
      <c r="L164" s="49">
        <f>VLOOKUP(H164,[4]Sheet2!K:P,6,0)</f>
        <v>1.0693499999999999E-3</v>
      </c>
      <c r="M164" s="50">
        <f>VLOOKUP(H164,[4]Sheet2!K:Q,7,0)</f>
        <v>5000</v>
      </c>
      <c r="N164" s="51"/>
      <c r="O164" s="51"/>
      <c r="P164" s="51"/>
      <c r="Q164" s="51"/>
      <c r="R164" s="51"/>
      <c r="S164" s="51"/>
      <c r="T164" s="51"/>
      <c r="U164" s="51"/>
      <c r="V164" s="52">
        <f>VLOOKUP(H164,[4]Sheet2!K:N,4,0)</f>
        <v>0</v>
      </c>
      <c r="W164" s="52">
        <f t="shared" si="140"/>
        <v>0</v>
      </c>
      <c r="X164" s="52">
        <f>VLOOKUP(H164,[4]Sheet2!K:N,4,0)</f>
        <v>0</v>
      </c>
      <c r="Y164" s="53">
        <f t="shared" si="141"/>
        <v>0</v>
      </c>
      <c r="Z164" s="53">
        <f t="shared" si="142"/>
        <v>0</v>
      </c>
      <c r="AA164" s="53">
        <f t="shared" si="143"/>
        <v>0</v>
      </c>
    </row>
    <row r="165" spans="1:27" ht="18.75" customHeight="1" outlineLevel="6" x14ac:dyDescent="0.3">
      <c r="B165" s="44"/>
      <c r="C165" s="18"/>
      <c r="D165" s="24"/>
      <c r="E165" s="29"/>
      <c r="F165" s="34"/>
      <c r="G165" s="39"/>
      <c r="H165" s="46" t="s">
        <v>206</v>
      </c>
      <c r="I165" s="46" t="s">
        <v>50</v>
      </c>
      <c r="J165" s="47" t="s">
        <v>30</v>
      </c>
      <c r="K165" s="48">
        <v>0.15</v>
      </c>
      <c r="L165" s="49">
        <f>VLOOKUP(H165,[4]Sheet2!K:P,6,0)</f>
        <v>3.2080499999999996E-4</v>
      </c>
      <c r="M165" s="50">
        <f>VLOOKUP(H165,[4]Sheet2!K:Q,7,0)</f>
        <v>5000</v>
      </c>
      <c r="N165" s="51"/>
      <c r="O165" s="51"/>
      <c r="P165" s="51"/>
      <c r="Q165" s="51"/>
      <c r="R165" s="51"/>
      <c r="S165" s="51"/>
      <c r="T165" s="51"/>
      <c r="U165" s="51"/>
      <c r="V165" s="52">
        <f>VLOOKUP(H165,[4]Sheet2!K:N,4,0)</f>
        <v>0</v>
      </c>
      <c r="W165" s="52">
        <f t="shared" si="140"/>
        <v>0</v>
      </c>
      <c r="X165" s="52">
        <f>VLOOKUP(H165,[4]Sheet2!K:N,4,0)</f>
        <v>0</v>
      </c>
      <c r="Y165" s="53">
        <f t="shared" si="141"/>
        <v>0</v>
      </c>
      <c r="Z165" s="53">
        <f t="shared" si="142"/>
        <v>0</v>
      </c>
      <c r="AA165" s="53">
        <f t="shared" si="143"/>
        <v>0</v>
      </c>
    </row>
    <row r="166" spans="1:27" ht="18.75" customHeight="1" outlineLevel="6" x14ac:dyDescent="0.3">
      <c r="B166" s="44"/>
      <c r="C166" s="18"/>
      <c r="D166" s="24"/>
      <c r="E166" s="29"/>
      <c r="F166" s="34"/>
      <c r="G166" s="39"/>
      <c r="H166" s="46" t="s">
        <v>207</v>
      </c>
      <c r="I166" s="46" t="s">
        <v>52</v>
      </c>
      <c r="J166" s="47" t="s">
        <v>30</v>
      </c>
      <c r="K166" s="48">
        <v>0.2</v>
      </c>
      <c r="L166" s="49">
        <f>VLOOKUP(H166,[4]Sheet2!K:P,6,0)</f>
        <v>4.2773999999999997E-4</v>
      </c>
      <c r="M166" s="50">
        <f>VLOOKUP(H166,[4]Sheet2!K:Q,7,0)</f>
        <v>5000</v>
      </c>
      <c r="N166" s="51"/>
      <c r="O166" s="51"/>
      <c r="P166" s="51"/>
      <c r="Q166" s="51"/>
      <c r="R166" s="51"/>
      <c r="S166" s="51"/>
      <c r="T166" s="51"/>
      <c r="U166" s="51"/>
      <c r="V166" s="52">
        <f>VLOOKUP(H166,[4]Sheet2!K:N,4,0)</f>
        <v>0</v>
      </c>
      <c r="W166" s="52">
        <f t="shared" si="140"/>
        <v>0</v>
      </c>
      <c r="X166" s="52">
        <f>VLOOKUP(H166,[4]Sheet2!K:N,4,0)</f>
        <v>0</v>
      </c>
      <c r="Y166" s="53">
        <f t="shared" si="141"/>
        <v>0</v>
      </c>
      <c r="Z166" s="53">
        <f t="shared" si="142"/>
        <v>0</v>
      </c>
      <c r="AA166" s="53">
        <f t="shared" si="143"/>
        <v>0</v>
      </c>
    </row>
    <row r="167" spans="1:27" ht="18.75" customHeight="1" outlineLevel="6" x14ac:dyDescent="0.3">
      <c r="B167" s="44"/>
      <c r="C167" s="18"/>
      <c r="D167" s="24"/>
      <c r="E167" s="29"/>
      <c r="F167" s="34"/>
      <c r="G167" s="39"/>
      <c r="H167" s="46" t="s">
        <v>208</v>
      </c>
      <c r="I167" s="46" t="s">
        <v>54</v>
      </c>
      <c r="J167" s="47" t="s">
        <v>30</v>
      </c>
      <c r="K167" s="48">
        <v>0.05</v>
      </c>
      <c r="L167" s="49">
        <f>VLOOKUP(H167,[4]Sheet2!K:P,6,0)</f>
        <v>1.0693499999999999E-4</v>
      </c>
      <c r="M167" s="50">
        <f>VLOOKUP(H167,[4]Sheet2!K:Q,7,0)</f>
        <v>5000</v>
      </c>
      <c r="N167" s="51"/>
      <c r="O167" s="51"/>
      <c r="P167" s="51"/>
      <c r="Q167" s="51"/>
      <c r="R167" s="51"/>
      <c r="S167" s="51"/>
      <c r="T167" s="51"/>
      <c r="U167" s="51"/>
      <c r="V167" s="52">
        <f>VLOOKUP(H167,[4]Sheet2!K:N,4,0)</f>
        <v>0</v>
      </c>
      <c r="W167" s="52">
        <f t="shared" si="140"/>
        <v>0</v>
      </c>
      <c r="X167" s="52">
        <f>VLOOKUP(H167,[4]Sheet2!K:N,4,0)</f>
        <v>0</v>
      </c>
      <c r="Y167" s="53">
        <f t="shared" si="141"/>
        <v>0</v>
      </c>
      <c r="Z167" s="53">
        <f t="shared" si="142"/>
        <v>0</v>
      </c>
      <c r="AA167" s="53">
        <f t="shared" si="143"/>
        <v>0</v>
      </c>
    </row>
    <row r="168" spans="1:27" ht="18.75" customHeight="1" outlineLevel="6" x14ac:dyDescent="0.3">
      <c r="B168" s="44"/>
      <c r="C168" s="18"/>
      <c r="D168" s="24"/>
      <c r="E168" s="29"/>
      <c r="F168" s="34"/>
      <c r="G168" s="39"/>
      <c r="H168" s="46" t="s">
        <v>209</v>
      </c>
      <c r="I168" s="46" t="s">
        <v>56</v>
      </c>
      <c r="J168" s="47" t="s">
        <v>30</v>
      </c>
      <c r="K168" s="48">
        <v>0.05</v>
      </c>
      <c r="L168" s="49">
        <f>VLOOKUP(H168,[4]Sheet2!K:P,6,0)</f>
        <v>1.0693499999999999E-4</v>
      </c>
      <c r="M168" s="50">
        <f>VLOOKUP(H168,[4]Sheet2!K:Q,7,0)</f>
        <v>5000</v>
      </c>
      <c r="N168" s="51"/>
      <c r="O168" s="51"/>
      <c r="P168" s="51"/>
      <c r="Q168" s="51"/>
      <c r="R168" s="51"/>
      <c r="S168" s="51"/>
      <c r="T168" s="51"/>
      <c r="U168" s="51"/>
      <c r="V168" s="52">
        <f>VLOOKUP(H168,[4]Sheet2!K:N,4,0)</f>
        <v>0</v>
      </c>
      <c r="W168" s="52">
        <f t="shared" si="140"/>
        <v>0</v>
      </c>
      <c r="X168" s="52">
        <f>VLOOKUP(H168,[4]Sheet2!K:N,4,0)</f>
        <v>0</v>
      </c>
      <c r="Y168" s="53">
        <f t="shared" si="141"/>
        <v>0</v>
      </c>
      <c r="Z168" s="53">
        <f t="shared" si="142"/>
        <v>0</v>
      </c>
      <c r="AA168" s="53">
        <f t="shared" si="143"/>
        <v>0</v>
      </c>
    </row>
    <row r="169" spans="1:27" ht="18.75" customHeight="1" outlineLevel="4" x14ac:dyDescent="0.3">
      <c r="B169" s="12"/>
      <c r="C169" s="18"/>
      <c r="D169" s="24"/>
      <c r="E169" s="29"/>
      <c r="F169" s="34" t="s">
        <v>210</v>
      </c>
      <c r="G169" s="34"/>
      <c r="H169" s="57"/>
      <c r="I169" s="57"/>
      <c r="J169" s="57"/>
      <c r="K169" s="57"/>
      <c r="L169" s="36">
        <f>L170+L177</f>
        <v>9.6269999999999993E-4</v>
      </c>
      <c r="M169" s="37">
        <f>M170+M177</f>
        <v>2510</v>
      </c>
      <c r="N169" s="35"/>
      <c r="O169" s="35"/>
      <c r="P169" s="35"/>
      <c r="Q169" s="35"/>
      <c r="R169" s="35"/>
      <c r="S169" s="35"/>
      <c r="T169" s="35"/>
      <c r="U169" s="35"/>
      <c r="V169" s="37">
        <f t="shared" ref="V169:X169" si="144">V170+V177</f>
        <v>0</v>
      </c>
      <c r="W169" s="37">
        <f t="shared" si="144"/>
        <v>0</v>
      </c>
      <c r="X169" s="37">
        <f t="shared" si="144"/>
        <v>0</v>
      </c>
      <c r="Y169" s="38">
        <f>(Y170*$L170+Y177*$L177)/$L169</f>
        <v>0</v>
      </c>
      <c r="Z169" s="38">
        <f t="shared" ref="Z169:AA169" si="145">(Z170*$L170+Z177*$L177)/$L169</f>
        <v>0</v>
      </c>
      <c r="AA169" s="38">
        <f t="shared" si="145"/>
        <v>0</v>
      </c>
    </row>
    <row r="170" spans="1:27" ht="18.75" customHeight="1" outlineLevel="5" x14ac:dyDescent="0.3">
      <c r="B170" s="12"/>
      <c r="C170" s="18"/>
      <c r="D170" s="24"/>
      <c r="E170" s="29"/>
      <c r="F170" s="34"/>
      <c r="G170" s="39" t="s">
        <v>211</v>
      </c>
      <c r="H170" s="58"/>
      <c r="I170" s="58"/>
      <c r="J170" s="58"/>
      <c r="K170" s="58"/>
      <c r="L170" s="41">
        <f>SUM(L171:L176)</f>
        <v>6.198E-4</v>
      </c>
      <c r="M170" s="42">
        <f>M171</f>
        <v>1600</v>
      </c>
      <c r="N170" s="40"/>
      <c r="O170" s="40"/>
      <c r="P170" s="40"/>
      <c r="Q170" s="40"/>
      <c r="R170" s="40"/>
      <c r="S170" s="40"/>
      <c r="T170" s="40"/>
      <c r="U170" s="40"/>
      <c r="V170" s="42">
        <f t="shared" ref="V170:X170" si="146">V171</f>
        <v>0</v>
      </c>
      <c r="W170" s="42">
        <f t="shared" si="146"/>
        <v>0</v>
      </c>
      <c r="X170" s="42">
        <f t="shared" si="146"/>
        <v>0</v>
      </c>
      <c r="Y170" s="43">
        <f>SUMPRODUCT(Y171:Y176,$K171:$K176)</f>
        <v>0</v>
      </c>
      <c r="Z170" s="43">
        <f t="shared" ref="Z170:AA170" si="147">SUMPRODUCT(Z171:Z176,$K171:$K176)</f>
        <v>0</v>
      </c>
      <c r="AA170" s="43">
        <f t="shared" si="147"/>
        <v>0</v>
      </c>
    </row>
    <row r="171" spans="1:27" ht="18.75" customHeight="1" outlineLevel="6" x14ac:dyDescent="0.3">
      <c r="B171" s="44"/>
      <c r="C171" s="18"/>
      <c r="D171" s="24"/>
      <c r="E171" s="29"/>
      <c r="F171" s="34"/>
      <c r="G171" s="39"/>
      <c r="H171" s="46" t="s">
        <v>212</v>
      </c>
      <c r="I171" s="46" t="s">
        <v>45</v>
      </c>
      <c r="J171" s="47" t="s">
        <v>30</v>
      </c>
      <c r="K171" s="48">
        <v>0.05</v>
      </c>
      <c r="L171" s="49">
        <f>VLOOKUP(H171,[4]Sheet2!K:P,6,0)</f>
        <v>3.099E-5</v>
      </c>
      <c r="M171" s="50">
        <f>VLOOKUP(H171,[4]Sheet2!K:Q,7,0)</f>
        <v>1600</v>
      </c>
      <c r="N171" s="51"/>
      <c r="O171" s="51"/>
      <c r="P171" s="51"/>
      <c r="Q171" s="51"/>
      <c r="R171" s="51"/>
      <c r="S171" s="51"/>
      <c r="T171" s="51"/>
      <c r="U171" s="51"/>
      <c r="V171" s="52">
        <f>VLOOKUP(H171,[4]Sheet2!K:N,4,0)</f>
        <v>0</v>
      </c>
      <c r="W171" s="52">
        <f t="shared" ref="W171:W176" si="148">X171-V171</f>
        <v>0</v>
      </c>
      <c r="X171" s="52">
        <f>VLOOKUP(H171,[4]Sheet2!K:N,4,0)</f>
        <v>0</v>
      </c>
      <c r="Y171" s="53">
        <f t="shared" ref="Y171:Y176" si="149">IFERROR(V171/M171,1)</f>
        <v>0</v>
      </c>
      <c r="Z171" s="53">
        <f t="shared" ref="Z171:Z176" si="150">IFERROR(W171/M171,1)</f>
        <v>0</v>
      </c>
      <c r="AA171" s="53">
        <f t="shared" ref="AA171:AA176" si="151">IFERROR(X171/M171,1)</f>
        <v>0</v>
      </c>
    </row>
    <row r="172" spans="1:27" ht="18.75" customHeight="1" outlineLevel="6" x14ac:dyDescent="0.3">
      <c r="A172" s="60" t="s">
        <v>46</v>
      </c>
      <c r="B172" s="44"/>
      <c r="C172" s="18"/>
      <c r="D172" s="24"/>
      <c r="E172" s="29"/>
      <c r="F172" s="34"/>
      <c r="G172" s="39"/>
      <c r="H172" s="46" t="s">
        <v>213</v>
      </c>
      <c r="I172" s="46" t="s">
        <v>48</v>
      </c>
      <c r="J172" s="47" t="s">
        <v>30</v>
      </c>
      <c r="K172" s="48">
        <v>0.5</v>
      </c>
      <c r="L172" s="49">
        <f>VLOOKUP(H172,[4]Sheet2!K:P,6,0)</f>
        <v>3.099E-4</v>
      </c>
      <c r="M172" s="50">
        <f>VLOOKUP(H172,[4]Sheet2!K:Q,7,0)</f>
        <v>1600</v>
      </c>
      <c r="N172" s="51"/>
      <c r="O172" s="51"/>
      <c r="P172" s="51"/>
      <c r="Q172" s="51"/>
      <c r="R172" s="51"/>
      <c r="S172" s="51"/>
      <c r="T172" s="51"/>
      <c r="U172" s="51"/>
      <c r="V172" s="52">
        <f>VLOOKUP(H172,[4]Sheet2!K:N,4,0)</f>
        <v>0</v>
      </c>
      <c r="W172" s="52">
        <f t="shared" si="148"/>
        <v>0</v>
      </c>
      <c r="X172" s="52">
        <f>VLOOKUP(H172,[4]Sheet2!K:N,4,0)</f>
        <v>0</v>
      </c>
      <c r="Y172" s="53">
        <f t="shared" si="149"/>
        <v>0</v>
      </c>
      <c r="Z172" s="53">
        <f t="shared" si="150"/>
        <v>0</v>
      </c>
      <c r="AA172" s="53">
        <f t="shared" si="151"/>
        <v>0</v>
      </c>
    </row>
    <row r="173" spans="1:27" ht="18.75" customHeight="1" outlineLevel="6" x14ac:dyDescent="0.3">
      <c r="B173" s="44"/>
      <c r="C173" s="18"/>
      <c r="D173" s="24"/>
      <c r="E173" s="29"/>
      <c r="F173" s="34"/>
      <c r="G173" s="39"/>
      <c r="H173" s="46" t="s">
        <v>214</v>
      </c>
      <c r="I173" s="46" t="s">
        <v>50</v>
      </c>
      <c r="J173" s="47" t="s">
        <v>30</v>
      </c>
      <c r="K173" s="48">
        <v>0.15</v>
      </c>
      <c r="L173" s="49">
        <f>VLOOKUP(H173,[4]Sheet2!K:P,6,0)</f>
        <v>9.2969999999999999E-5</v>
      </c>
      <c r="M173" s="50">
        <f>VLOOKUP(H173,[4]Sheet2!K:Q,7,0)</f>
        <v>1600</v>
      </c>
      <c r="N173" s="51"/>
      <c r="O173" s="51"/>
      <c r="P173" s="51"/>
      <c r="Q173" s="51"/>
      <c r="R173" s="51"/>
      <c r="S173" s="51"/>
      <c r="T173" s="51"/>
      <c r="U173" s="51"/>
      <c r="V173" s="52">
        <f>VLOOKUP(H173,[4]Sheet2!K:N,4,0)</f>
        <v>0</v>
      </c>
      <c r="W173" s="52">
        <f t="shared" si="148"/>
        <v>0</v>
      </c>
      <c r="X173" s="52">
        <f>VLOOKUP(H173,[4]Sheet2!K:N,4,0)</f>
        <v>0</v>
      </c>
      <c r="Y173" s="53">
        <f t="shared" si="149"/>
        <v>0</v>
      </c>
      <c r="Z173" s="53">
        <f t="shared" si="150"/>
        <v>0</v>
      </c>
      <c r="AA173" s="53">
        <f t="shared" si="151"/>
        <v>0</v>
      </c>
    </row>
    <row r="174" spans="1:27" ht="18.75" customHeight="1" outlineLevel="6" x14ac:dyDescent="0.3">
      <c r="B174" s="44"/>
      <c r="C174" s="18"/>
      <c r="D174" s="24"/>
      <c r="E174" s="29"/>
      <c r="F174" s="34"/>
      <c r="G174" s="39"/>
      <c r="H174" s="46" t="s">
        <v>215</v>
      </c>
      <c r="I174" s="46" t="s">
        <v>52</v>
      </c>
      <c r="J174" s="47" t="s">
        <v>30</v>
      </c>
      <c r="K174" s="48">
        <v>0.2</v>
      </c>
      <c r="L174" s="49">
        <f>VLOOKUP(H174,[4]Sheet2!K:P,6,0)</f>
        <v>1.2396E-4</v>
      </c>
      <c r="M174" s="50">
        <f>VLOOKUP(H174,[4]Sheet2!K:Q,7,0)</f>
        <v>1600</v>
      </c>
      <c r="N174" s="51"/>
      <c r="O174" s="51"/>
      <c r="P174" s="51"/>
      <c r="Q174" s="51"/>
      <c r="R174" s="51"/>
      <c r="S174" s="51"/>
      <c r="T174" s="51"/>
      <c r="U174" s="51"/>
      <c r="V174" s="52">
        <f>VLOOKUP(H174,[4]Sheet2!K:N,4,0)</f>
        <v>0</v>
      </c>
      <c r="W174" s="52">
        <f t="shared" si="148"/>
        <v>0</v>
      </c>
      <c r="X174" s="52">
        <f>VLOOKUP(H174,[4]Sheet2!K:N,4,0)</f>
        <v>0</v>
      </c>
      <c r="Y174" s="53">
        <f t="shared" si="149"/>
        <v>0</v>
      </c>
      <c r="Z174" s="53">
        <f t="shared" si="150"/>
        <v>0</v>
      </c>
      <c r="AA174" s="53">
        <f t="shared" si="151"/>
        <v>0</v>
      </c>
    </row>
    <row r="175" spans="1:27" ht="18.75" customHeight="1" outlineLevel="6" x14ac:dyDescent="0.3">
      <c r="B175" s="44"/>
      <c r="C175" s="18"/>
      <c r="D175" s="24"/>
      <c r="E175" s="29"/>
      <c r="F175" s="34"/>
      <c r="G175" s="39"/>
      <c r="H175" s="46" t="s">
        <v>216</v>
      </c>
      <c r="I175" s="46" t="s">
        <v>54</v>
      </c>
      <c r="J175" s="47" t="s">
        <v>30</v>
      </c>
      <c r="K175" s="48">
        <v>0.05</v>
      </c>
      <c r="L175" s="49">
        <f>VLOOKUP(H175,[4]Sheet2!K:P,6,0)</f>
        <v>3.099E-5</v>
      </c>
      <c r="M175" s="50">
        <f>VLOOKUP(H175,[4]Sheet2!K:Q,7,0)</f>
        <v>1600</v>
      </c>
      <c r="N175" s="51"/>
      <c r="O175" s="51"/>
      <c r="P175" s="51"/>
      <c r="Q175" s="51"/>
      <c r="R175" s="51"/>
      <c r="S175" s="51"/>
      <c r="T175" s="51"/>
      <c r="U175" s="51"/>
      <c r="V175" s="52">
        <f>VLOOKUP(H175,[4]Sheet2!K:N,4,0)</f>
        <v>0</v>
      </c>
      <c r="W175" s="52">
        <f t="shared" si="148"/>
        <v>0</v>
      </c>
      <c r="X175" s="52">
        <f>VLOOKUP(H175,[4]Sheet2!K:N,4,0)</f>
        <v>0</v>
      </c>
      <c r="Y175" s="53">
        <f t="shared" si="149"/>
        <v>0</v>
      </c>
      <c r="Z175" s="53">
        <f t="shared" si="150"/>
        <v>0</v>
      </c>
      <c r="AA175" s="53">
        <f t="shared" si="151"/>
        <v>0</v>
      </c>
    </row>
    <row r="176" spans="1:27" ht="18.75" customHeight="1" outlineLevel="6" x14ac:dyDescent="0.3">
      <c r="B176" s="44"/>
      <c r="C176" s="18"/>
      <c r="D176" s="24"/>
      <c r="E176" s="29"/>
      <c r="F176" s="34"/>
      <c r="G176" s="39"/>
      <c r="H176" s="46" t="s">
        <v>217</v>
      </c>
      <c r="I176" s="46" t="s">
        <v>56</v>
      </c>
      <c r="J176" s="47" t="s">
        <v>30</v>
      </c>
      <c r="K176" s="48">
        <v>0.05</v>
      </c>
      <c r="L176" s="49">
        <f>VLOOKUP(H176,[4]Sheet2!K:P,6,0)</f>
        <v>3.099E-5</v>
      </c>
      <c r="M176" s="50">
        <f>VLOOKUP(H176,[4]Sheet2!K:Q,7,0)</f>
        <v>1600</v>
      </c>
      <c r="N176" s="51"/>
      <c r="O176" s="51"/>
      <c r="P176" s="51"/>
      <c r="Q176" s="51"/>
      <c r="R176" s="51"/>
      <c r="S176" s="51"/>
      <c r="T176" s="51"/>
      <c r="U176" s="51"/>
      <c r="V176" s="52">
        <f>VLOOKUP(H176,[4]Sheet2!K:N,4,0)</f>
        <v>0</v>
      </c>
      <c r="W176" s="52">
        <f t="shared" si="148"/>
        <v>0</v>
      </c>
      <c r="X176" s="52">
        <f>VLOOKUP(H176,[4]Sheet2!K:N,4,0)</f>
        <v>0</v>
      </c>
      <c r="Y176" s="53">
        <f t="shared" si="149"/>
        <v>0</v>
      </c>
      <c r="Z176" s="53">
        <f t="shared" si="150"/>
        <v>0</v>
      </c>
      <c r="AA176" s="53">
        <f t="shared" si="151"/>
        <v>0</v>
      </c>
    </row>
    <row r="177" spans="1:27" ht="18.75" customHeight="1" outlineLevel="5" x14ac:dyDescent="0.3">
      <c r="B177" s="12"/>
      <c r="C177" s="18"/>
      <c r="D177" s="24"/>
      <c r="E177" s="29"/>
      <c r="F177" s="34"/>
      <c r="G177" s="39" t="s">
        <v>218</v>
      </c>
      <c r="H177" s="58"/>
      <c r="I177" s="58"/>
      <c r="J177" s="58"/>
      <c r="K177" s="58"/>
      <c r="L177" s="41">
        <f>SUM(L178:L183)</f>
        <v>3.4289999999999999E-4</v>
      </c>
      <c r="M177" s="42">
        <f>M178</f>
        <v>910</v>
      </c>
      <c r="N177" s="40"/>
      <c r="O177" s="40"/>
      <c r="P177" s="40"/>
      <c r="Q177" s="40"/>
      <c r="R177" s="40"/>
      <c r="S177" s="40"/>
      <c r="T177" s="40"/>
      <c r="U177" s="40"/>
      <c r="V177" s="42">
        <f t="shared" ref="V177:AA177" si="152">V178</f>
        <v>0</v>
      </c>
      <c r="W177" s="42">
        <f t="shared" si="152"/>
        <v>0</v>
      </c>
      <c r="X177" s="42">
        <f t="shared" si="152"/>
        <v>0</v>
      </c>
      <c r="Y177" s="43">
        <f t="shared" si="152"/>
        <v>0</v>
      </c>
      <c r="Z177" s="43">
        <f t="shared" si="152"/>
        <v>0</v>
      </c>
      <c r="AA177" s="43">
        <f t="shared" si="152"/>
        <v>0</v>
      </c>
    </row>
    <row r="178" spans="1:27" ht="18.75" customHeight="1" outlineLevel="6" x14ac:dyDescent="0.3">
      <c r="B178" s="44"/>
      <c r="C178" s="18"/>
      <c r="D178" s="24"/>
      <c r="E178" s="29"/>
      <c r="F178" s="34"/>
      <c r="G178" s="39"/>
      <c r="H178" s="46" t="s">
        <v>219</v>
      </c>
      <c r="I178" s="46" t="s">
        <v>45</v>
      </c>
      <c r="J178" s="47" t="s">
        <v>30</v>
      </c>
      <c r="K178" s="48">
        <v>0.05</v>
      </c>
      <c r="L178" s="49">
        <f>VLOOKUP(H178,[4]Sheet2!K:P,6,0)</f>
        <v>1.7144999999999999E-5</v>
      </c>
      <c r="M178" s="50">
        <f>VLOOKUP(H178,[4]Sheet2!K:Q,7,0)</f>
        <v>910</v>
      </c>
      <c r="N178" s="51"/>
      <c r="O178" s="51"/>
      <c r="P178" s="51"/>
      <c r="Q178" s="51"/>
      <c r="R178" s="51"/>
      <c r="S178" s="51"/>
      <c r="T178" s="51"/>
      <c r="U178" s="51"/>
      <c r="V178" s="52">
        <f>VLOOKUP(H178,[4]Sheet2!K:N,4,0)</f>
        <v>0</v>
      </c>
      <c r="W178" s="52">
        <f t="shared" ref="W178:W183" si="153">X178-V178</f>
        <v>0</v>
      </c>
      <c r="X178" s="52">
        <f>VLOOKUP(H178,[4]Sheet2!K:N,4,0)</f>
        <v>0</v>
      </c>
      <c r="Y178" s="53">
        <f t="shared" ref="Y178:Y183" si="154">IFERROR(V178/M178,1)</f>
        <v>0</v>
      </c>
      <c r="Z178" s="53">
        <f t="shared" ref="Z178:Z183" si="155">IFERROR(W178/M178,1)</f>
        <v>0</v>
      </c>
      <c r="AA178" s="53">
        <f t="shared" ref="AA178:AA183" si="156">IFERROR(X178/M178,1)</f>
        <v>0</v>
      </c>
    </row>
    <row r="179" spans="1:27" ht="18.75" customHeight="1" outlineLevel="6" x14ac:dyDescent="0.3">
      <c r="A179" s="60" t="s">
        <v>46</v>
      </c>
      <c r="B179" s="44"/>
      <c r="C179" s="18"/>
      <c r="D179" s="24"/>
      <c r="E179" s="29"/>
      <c r="F179" s="34"/>
      <c r="G179" s="39"/>
      <c r="H179" s="46" t="s">
        <v>220</v>
      </c>
      <c r="I179" s="46" t="s">
        <v>48</v>
      </c>
      <c r="J179" s="47" t="s">
        <v>30</v>
      </c>
      <c r="K179" s="48">
        <v>0.5</v>
      </c>
      <c r="L179" s="49">
        <f>VLOOKUP(H179,[4]Sheet2!K:P,6,0)</f>
        <v>1.7144999999999999E-4</v>
      </c>
      <c r="M179" s="50">
        <f>VLOOKUP(H179,[4]Sheet2!K:Q,7,0)</f>
        <v>910</v>
      </c>
      <c r="N179" s="51"/>
      <c r="O179" s="51"/>
      <c r="P179" s="51"/>
      <c r="Q179" s="51"/>
      <c r="R179" s="51"/>
      <c r="S179" s="51"/>
      <c r="T179" s="51"/>
      <c r="U179" s="51"/>
      <c r="V179" s="52">
        <f>VLOOKUP(H179,[4]Sheet2!K:N,4,0)</f>
        <v>0</v>
      </c>
      <c r="W179" s="52">
        <f t="shared" si="153"/>
        <v>0</v>
      </c>
      <c r="X179" s="52">
        <f>VLOOKUP(H179,[4]Sheet2!K:N,4,0)</f>
        <v>0</v>
      </c>
      <c r="Y179" s="53">
        <f t="shared" si="154"/>
        <v>0</v>
      </c>
      <c r="Z179" s="53">
        <f t="shared" si="155"/>
        <v>0</v>
      </c>
      <c r="AA179" s="53">
        <f t="shared" si="156"/>
        <v>0</v>
      </c>
    </row>
    <row r="180" spans="1:27" ht="18.75" customHeight="1" outlineLevel="6" x14ac:dyDescent="0.3">
      <c r="B180" s="44"/>
      <c r="C180" s="18"/>
      <c r="D180" s="24"/>
      <c r="E180" s="29"/>
      <c r="F180" s="34"/>
      <c r="G180" s="39"/>
      <c r="H180" s="46" t="s">
        <v>221</v>
      </c>
      <c r="I180" s="46" t="s">
        <v>50</v>
      </c>
      <c r="J180" s="47" t="s">
        <v>30</v>
      </c>
      <c r="K180" s="48">
        <v>0.15</v>
      </c>
      <c r="L180" s="49">
        <f>VLOOKUP(H180,[4]Sheet2!K:P,6,0)</f>
        <v>5.1434999999999998E-5</v>
      </c>
      <c r="M180" s="50">
        <f>VLOOKUP(H180,[4]Sheet2!K:Q,7,0)</f>
        <v>910</v>
      </c>
      <c r="N180" s="51"/>
      <c r="O180" s="51"/>
      <c r="P180" s="51"/>
      <c r="Q180" s="51"/>
      <c r="R180" s="51"/>
      <c r="S180" s="51"/>
      <c r="T180" s="51"/>
      <c r="U180" s="51"/>
      <c r="V180" s="52">
        <f>VLOOKUP(H180,[4]Sheet2!K:N,4,0)</f>
        <v>0</v>
      </c>
      <c r="W180" s="52">
        <f t="shared" si="153"/>
        <v>0</v>
      </c>
      <c r="X180" s="52">
        <f>VLOOKUP(H180,[4]Sheet2!K:N,4,0)</f>
        <v>0</v>
      </c>
      <c r="Y180" s="53">
        <f t="shared" si="154"/>
        <v>0</v>
      </c>
      <c r="Z180" s="53">
        <f t="shared" si="155"/>
        <v>0</v>
      </c>
      <c r="AA180" s="53">
        <f t="shared" si="156"/>
        <v>0</v>
      </c>
    </row>
    <row r="181" spans="1:27" ht="18.75" customHeight="1" outlineLevel="6" x14ac:dyDescent="0.3">
      <c r="B181" s="44"/>
      <c r="C181" s="18"/>
      <c r="D181" s="24"/>
      <c r="E181" s="29"/>
      <c r="F181" s="34"/>
      <c r="G181" s="39"/>
      <c r="H181" s="46" t="s">
        <v>222</v>
      </c>
      <c r="I181" s="46" t="s">
        <v>52</v>
      </c>
      <c r="J181" s="47" t="s">
        <v>30</v>
      </c>
      <c r="K181" s="48">
        <v>0.2</v>
      </c>
      <c r="L181" s="49">
        <f>VLOOKUP(H181,[4]Sheet2!K:P,6,0)</f>
        <v>6.8579999999999997E-5</v>
      </c>
      <c r="M181" s="50">
        <f>VLOOKUP(H181,[4]Sheet2!K:Q,7,0)</f>
        <v>910</v>
      </c>
      <c r="N181" s="51"/>
      <c r="O181" s="51"/>
      <c r="P181" s="51"/>
      <c r="Q181" s="51"/>
      <c r="R181" s="51"/>
      <c r="S181" s="51"/>
      <c r="T181" s="51"/>
      <c r="U181" s="51"/>
      <c r="V181" s="52">
        <f>VLOOKUP(H181,[4]Sheet2!K:N,4,0)</f>
        <v>0</v>
      </c>
      <c r="W181" s="52">
        <f t="shared" si="153"/>
        <v>0</v>
      </c>
      <c r="X181" s="52">
        <f>VLOOKUP(H181,[4]Sheet2!K:N,4,0)</f>
        <v>0</v>
      </c>
      <c r="Y181" s="53">
        <f t="shared" si="154"/>
        <v>0</v>
      </c>
      <c r="Z181" s="53">
        <f t="shared" si="155"/>
        <v>0</v>
      </c>
      <c r="AA181" s="53">
        <f t="shared" si="156"/>
        <v>0</v>
      </c>
    </row>
    <row r="182" spans="1:27" ht="18.75" customHeight="1" outlineLevel="6" x14ac:dyDescent="0.3">
      <c r="B182" s="44"/>
      <c r="C182" s="18"/>
      <c r="D182" s="24"/>
      <c r="E182" s="29"/>
      <c r="F182" s="34"/>
      <c r="G182" s="39"/>
      <c r="H182" s="46" t="s">
        <v>223</v>
      </c>
      <c r="I182" s="46" t="s">
        <v>54</v>
      </c>
      <c r="J182" s="47" t="s">
        <v>30</v>
      </c>
      <c r="K182" s="48">
        <v>0.05</v>
      </c>
      <c r="L182" s="49">
        <f>VLOOKUP(H182,[4]Sheet2!K:P,6,0)</f>
        <v>1.7144999999999999E-5</v>
      </c>
      <c r="M182" s="50">
        <f>VLOOKUP(H182,[4]Sheet2!K:Q,7,0)</f>
        <v>910</v>
      </c>
      <c r="N182" s="51"/>
      <c r="O182" s="51"/>
      <c r="P182" s="51"/>
      <c r="Q182" s="51"/>
      <c r="R182" s="51"/>
      <c r="S182" s="51"/>
      <c r="T182" s="51"/>
      <c r="U182" s="51"/>
      <c r="V182" s="52">
        <f>VLOOKUP(H182,[4]Sheet2!K:N,4,0)</f>
        <v>0</v>
      </c>
      <c r="W182" s="52">
        <f t="shared" si="153"/>
        <v>0</v>
      </c>
      <c r="X182" s="52">
        <f>VLOOKUP(H182,[4]Sheet2!K:N,4,0)</f>
        <v>0</v>
      </c>
      <c r="Y182" s="53">
        <f t="shared" si="154"/>
        <v>0</v>
      </c>
      <c r="Z182" s="53">
        <f t="shared" si="155"/>
        <v>0</v>
      </c>
      <c r="AA182" s="53">
        <f t="shared" si="156"/>
        <v>0</v>
      </c>
    </row>
    <row r="183" spans="1:27" ht="18.75" customHeight="1" outlineLevel="6" x14ac:dyDescent="0.3">
      <c r="B183" s="44"/>
      <c r="C183" s="18"/>
      <c r="D183" s="24"/>
      <c r="E183" s="29"/>
      <c r="F183" s="34"/>
      <c r="G183" s="39"/>
      <c r="H183" s="46" t="s">
        <v>224</v>
      </c>
      <c r="I183" s="46" t="s">
        <v>56</v>
      </c>
      <c r="J183" s="47" t="s">
        <v>30</v>
      </c>
      <c r="K183" s="48">
        <v>0.05</v>
      </c>
      <c r="L183" s="49">
        <f>VLOOKUP(H183,[4]Sheet2!K:P,6,0)</f>
        <v>1.7144999999999999E-5</v>
      </c>
      <c r="M183" s="50">
        <f>VLOOKUP(H183,[4]Sheet2!K:Q,7,0)</f>
        <v>910</v>
      </c>
      <c r="N183" s="51"/>
      <c r="O183" s="51"/>
      <c r="P183" s="51"/>
      <c r="Q183" s="51"/>
      <c r="R183" s="51"/>
      <c r="S183" s="51"/>
      <c r="T183" s="51"/>
      <c r="U183" s="51"/>
      <c r="V183" s="52">
        <f>VLOOKUP(H183,[4]Sheet2!K:N,4,0)</f>
        <v>0</v>
      </c>
      <c r="W183" s="52">
        <f t="shared" si="153"/>
        <v>0</v>
      </c>
      <c r="X183" s="52">
        <f>VLOOKUP(H183,[4]Sheet2!K:N,4,0)</f>
        <v>0</v>
      </c>
      <c r="Y183" s="53">
        <f t="shared" si="154"/>
        <v>0</v>
      </c>
      <c r="Z183" s="53">
        <f t="shared" si="155"/>
        <v>0</v>
      </c>
      <c r="AA183" s="53">
        <f t="shared" si="156"/>
        <v>0</v>
      </c>
    </row>
    <row r="184" spans="1:27" ht="18.75" customHeight="1" outlineLevel="4" x14ac:dyDescent="0.3">
      <c r="B184" s="12"/>
      <c r="C184" s="18"/>
      <c r="D184" s="24"/>
      <c r="E184" s="29"/>
      <c r="F184" s="34" t="s">
        <v>225</v>
      </c>
      <c r="G184" s="34"/>
      <c r="H184" s="57"/>
      <c r="I184" s="57"/>
      <c r="J184" s="57"/>
      <c r="K184" s="57"/>
      <c r="L184" s="36">
        <f>L185+L192+L199+L206+L213+L220</f>
        <v>6.1128900000000007E-2</v>
      </c>
      <c r="M184" s="37">
        <f>M185+M192+M199+M206+M213+M220</f>
        <v>158776.5</v>
      </c>
      <c r="N184" s="35"/>
      <c r="O184" s="35"/>
      <c r="P184" s="35"/>
      <c r="Q184" s="35"/>
      <c r="R184" s="35"/>
      <c r="S184" s="35"/>
      <c r="T184" s="35"/>
      <c r="U184" s="35"/>
      <c r="V184" s="37">
        <f t="shared" ref="V184:X184" si="157">V185+V192+V199+V206+V213+V220</f>
        <v>158776.5</v>
      </c>
      <c r="W184" s="37">
        <f t="shared" si="157"/>
        <v>0</v>
      </c>
      <c r="X184" s="37">
        <f t="shared" si="157"/>
        <v>158776.5</v>
      </c>
      <c r="Y184" s="38">
        <f>(Y185*$L185+Y192*$L192+Y199*$L199+Y206*$L206+Y213*$L213+Y220*$L220)/$L184</f>
        <v>1.0000000000000002</v>
      </c>
      <c r="Z184" s="38">
        <f t="shared" ref="Z184" si="158">(Z185*$L185+Z192*$L192+Z199*$L199+Z206*$L206+Z213*$L213+Z220*$L220)/$L184</f>
        <v>0</v>
      </c>
      <c r="AA184" s="38">
        <f>(AA185*$L185+AA192*$L192+AA199*$L199+AA206*$L206+AA213*$L213+AA220*$L220)/$L184</f>
        <v>1.0000000000000002</v>
      </c>
    </row>
    <row r="185" spans="1:27" ht="18.75" customHeight="1" outlineLevel="5" x14ac:dyDescent="0.3">
      <c r="B185" s="12"/>
      <c r="C185" s="18"/>
      <c r="D185" s="24"/>
      <c r="E185" s="29"/>
      <c r="F185" s="34"/>
      <c r="G185" s="39" t="s">
        <v>226</v>
      </c>
      <c r="H185" s="58"/>
      <c r="I185" s="58"/>
      <c r="J185" s="58"/>
      <c r="K185" s="58"/>
      <c r="L185" s="41">
        <f>SUM(L186:L191)</f>
        <v>1.8030900000000002E-2</v>
      </c>
      <c r="M185" s="42">
        <f>M186</f>
        <v>42000</v>
      </c>
      <c r="N185" s="40"/>
      <c r="O185" s="40"/>
      <c r="P185" s="40"/>
      <c r="Q185" s="40"/>
      <c r="R185" s="40"/>
      <c r="S185" s="40"/>
      <c r="T185" s="40"/>
      <c r="U185" s="40"/>
      <c r="V185" s="42">
        <f t="shared" ref="V185:X185" si="159">V186</f>
        <v>42000</v>
      </c>
      <c r="W185" s="42">
        <f t="shared" si="159"/>
        <v>0</v>
      </c>
      <c r="X185" s="42">
        <f t="shared" si="159"/>
        <v>42000</v>
      </c>
      <c r="Y185" s="43">
        <f>SUMPRODUCT(Y186:Y191,$K186:$K191)</f>
        <v>1.0000000000000002</v>
      </c>
      <c r="Z185" s="43">
        <f t="shared" ref="Z185:AA185" si="160">SUMPRODUCT(Z186:Z191,$K186:$K191)</f>
        <v>0</v>
      </c>
      <c r="AA185" s="43">
        <f t="shared" si="160"/>
        <v>1.0000000000000002</v>
      </c>
    </row>
    <row r="186" spans="1:27" ht="18.75" customHeight="1" outlineLevel="6" x14ac:dyDescent="0.3">
      <c r="B186" s="44"/>
      <c r="C186" s="18"/>
      <c r="D186" s="24"/>
      <c r="E186" s="29"/>
      <c r="F186" s="34"/>
      <c r="G186" s="39"/>
      <c r="H186" s="46" t="s">
        <v>227</v>
      </c>
      <c r="I186" s="46" t="s">
        <v>45</v>
      </c>
      <c r="J186" s="47" t="s">
        <v>30</v>
      </c>
      <c r="K186" s="48">
        <v>0.05</v>
      </c>
      <c r="L186" s="49">
        <f>VLOOKUP(H186,[4]Sheet2!K:P,6,0)</f>
        <v>9.0154500000000012E-4</v>
      </c>
      <c r="M186" s="50">
        <f>VLOOKUP(H186,[4]Sheet2!K:Q,7,0)</f>
        <v>42000</v>
      </c>
      <c r="N186" s="51"/>
      <c r="O186" s="51"/>
      <c r="P186" s="51"/>
      <c r="Q186" s="51"/>
      <c r="R186" s="51"/>
      <c r="S186" s="51"/>
      <c r="T186" s="51"/>
      <c r="U186" s="51"/>
      <c r="V186" s="52">
        <f>VLOOKUP(H186,[4]Sheet2!K:N,4,0)</f>
        <v>42000</v>
      </c>
      <c r="W186" s="52">
        <f t="shared" ref="W186:W191" si="161">X186-V186</f>
        <v>0</v>
      </c>
      <c r="X186" s="52">
        <f>VLOOKUP(H186,[4]Sheet2!K:N,4,0)</f>
        <v>42000</v>
      </c>
      <c r="Y186" s="53">
        <f t="shared" ref="Y186:Y191" si="162">IFERROR(V186/M186,1)</f>
        <v>1</v>
      </c>
      <c r="Z186" s="53">
        <f t="shared" ref="Z186:Z191" si="163">IFERROR(W186/M186,1)</f>
        <v>0</v>
      </c>
      <c r="AA186" s="53">
        <f t="shared" ref="AA186:AA191" si="164">IFERROR(X186/M186,1)</f>
        <v>1</v>
      </c>
    </row>
    <row r="187" spans="1:27" ht="18.75" customHeight="1" outlineLevel="6" x14ac:dyDescent="0.3">
      <c r="A187" s="60" t="s">
        <v>46</v>
      </c>
      <c r="B187" s="44"/>
      <c r="C187" s="18"/>
      <c r="D187" s="24"/>
      <c r="E187" s="29"/>
      <c r="F187" s="34"/>
      <c r="G187" s="39"/>
      <c r="H187" s="46" t="s">
        <v>228</v>
      </c>
      <c r="I187" s="46" t="s">
        <v>48</v>
      </c>
      <c r="J187" s="47" t="s">
        <v>30</v>
      </c>
      <c r="K187" s="48">
        <v>0.5</v>
      </c>
      <c r="L187" s="49">
        <f>VLOOKUP(H187,[4]Sheet2!K:P,6,0)</f>
        <v>9.0154500000000012E-3</v>
      </c>
      <c r="M187" s="50">
        <f>VLOOKUP(H187,[4]Sheet2!K:Q,7,0)</f>
        <v>42000</v>
      </c>
      <c r="N187" s="51"/>
      <c r="O187" s="51"/>
      <c r="P187" s="51"/>
      <c r="Q187" s="51"/>
      <c r="R187" s="51"/>
      <c r="S187" s="51"/>
      <c r="T187" s="51"/>
      <c r="U187" s="51"/>
      <c r="V187" s="52">
        <f>VLOOKUP(H187,[4]Sheet2!K:N,4,0)</f>
        <v>42000</v>
      </c>
      <c r="W187" s="52">
        <f t="shared" si="161"/>
        <v>0</v>
      </c>
      <c r="X187" s="52">
        <f>VLOOKUP(H187,[4]Sheet2!K:N,4,0)</f>
        <v>42000</v>
      </c>
      <c r="Y187" s="53">
        <f t="shared" si="162"/>
        <v>1</v>
      </c>
      <c r="Z187" s="53">
        <f t="shared" si="163"/>
        <v>0</v>
      </c>
      <c r="AA187" s="53">
        <f t="shared" si="164"/>
        <v>1</v>
      </c>
    </row>
    <row r="188" spans="1:27" ht="18.75" customHeight="1" outlineLevel="6" x14ac:dyDescent="0.3">
      <c r="B188" s="44"/>
      <c r="C188" s="18"/>
      <c r="D188" s="24"/>
      <c r="E188" s="29"/>
      <c r="F188" s="34"/>
      <c r="G188" s="39"/>
      <c r="H188" s="46" t="s">
        <v>229</v>
      </c>
      <c r="I188" s="46" t="s">
        <v>50</v>
      </c>
      <c r="J188" s="47" t="s">
        <v>30</v>
      </c>
      <c r="K188" s="48">
        <v>0.15</v>
      </c>
      <c r="L188" s="49">
        <f>VLOOKUP(H188,[4]Sheet2!K:P,6,0)</f>
        <v>2.7046350000000004E-3</v>
      </c>
      <c r="M188" s="50">
        <f>VLOOKUP(H188,[4]Sheet2!K:Q,7,0)</f>
        <v>42000</v>
      </c>
      <c r="N188" s="51"/>
      <c r="O188" s="51"/>
      <c r="P188" s="51"/>
      <c r="Q188" s="51"/>
      <c r="R188" s="51"/>
      <c r="S188" s="51"/>
      <c r="T188" s="51"/>
      <c r="U188" s="51"/>
      <c r="V188" s="52">
        <f>VLOOKUP(H188,[4]Sheet2!K:N,4,0)</f>
        <v>42000</v>
      </c>
      <c r="W188" s="52">
        <f t="shared" si="161"/>
        <v>0</v>
      </c>
      <c r="X188" s="52">
        <f>VLOOKUP(H188,[4]Sheet2!K:N,4,0)</f>
        <v>42000</v>
      </c>
      <c r="Y188" s="53">
        <f t="shared" si="162"/>
        <v>1</v>
      </c>
      <c r="Z188" s="53">
        <f t="shared" si="163"/>
        <v>0</v>
      </c>
      <c r="AA188" s="53">
        <f t="shared" si="164"/>
        <v>1</v>
      </c>
    </row>
    <row r="189" spans="1:27" ht="18.75" customHeight="1" outlineLevel="6" x14ac:dyDescent="0.3">
      <c r="B189" s="44"/>
      <c r="C189" s="18"/>
      <c r="D189" s="24"/>
      <c r="E189" s="29"/>
      <c r="F189" s="34"/>
      <c r="G189" s="39"/>
      <c r="H189" s="46" t="s">
        <v>230</v>
      </c>
      <c r="I189" s="46" t="s">
        <v>52</v>
      </c>
      <c r="J189" s="47" t="s">
        <v>30</v>
      </c>
      <c r="K189" s="48">
        <v>0.2</v>
      </c>
      <c r="L189" s="49">
        <f>VLOOKUP(H189,[4]Sheet2!K:P,6,0)</f>
        <v>3.6061800000000005E-3</v>
      </c>
      <c r="M189" s="50">
        <f>VLOOKUP(H189,[4]Sheet2!K:Q,7,0)</f>
        <v>42000</v>
      </c>
      <c r="N189" s="51"/>
      <c r="O189" s="51"/>
      <c r="P189" s="51"/>
      <c r="Q189" s="51"/>
      <c r="R189" s="51"/>
      <c r="S189" s="51"/>
      <c r="T189" s="51"/>
      <c r="U189" s="51"/>
      <c r="V189" s="52">
        <f>VLOOKUP(H189,[4]Sheet2!K:N,4,0)</f>
        <v>42000</v>
      </c>
      <c r="W189" s="52">
        <f t="shared" si="161"/>
        <v>0</v>
      </c>
      <c r="X189" s="52">
        <f>VLOOKUP(H189,[4]Sheet2!K:N,4,0)</f>
        <v>42000</v>
      </c>
      <c r="Y189" s="53">
        <f t="shared" si="162"/>
        <v>1</v>
      </c>
      <c r="Z189" s="53">
        <f t="shared" si="163"/>
        <v>0</v>
      </c>
      <c r="AA189" s="53">
        <f t="shared" si="164"/>
        <v>1</v>
      </c>
    </row>
    <row r="190" spans="1:27" ht="18.75" customHeight="1" outlineLevel="6" x14ac:dyDescent="0.3">
      <c r="B190" s="44"/>
      <c r="C190" s="18"/>
      <c r="D190" s="24"/>
      <c r="E190" s="29"/>
      <c r="F190" s="34"/>
      <c r="G190" s="39"/>
      <c r="H190" s="46" t="s">
        <v>231</v>
      </c>
      <c r="I190" s="46" t="s">
        <v>54</v>
      </c>
      <c r="J190" s="47" t="s">
        <v>30</v>
      </c>
      <c r="K190" s="48">
        <v>0.05</v>
      </c>
      <c r="L190" s="49">
        <f>VLOOKUP(H190,[4]Sheet2!K:P,6,0)</f>
        <v>9.0154500000000012E-4</v>
      </c>
      <c r="M190" s="50">
        <f>VLOOKUP(H190,[4]Sheet2!K:Q,7,0)</f>
        <v>42000</v>
      </c>
      <c r="N190" s="51"/>
      <c r="O190" s="51"/>
      <c r="P190" s="51"/>
      <c r="Q190" s="51"/>
      <c r="R190" s="51"/>
      <c r="S190" s="51"/>
      <c r="T190" s="51"/>
      <c r="U190" s="51"/>
      <c r="V190" s="52">
        <f>VLOOKUP(H190,[4]Sheet2!K:N,4,0)</f>
        <v>42000</v>
      </c>
      <c r="W190" s="52">
        <f t="shared" si="161"/>
        <v>0</v>
      </c>
      <c r="X190" s="52">
        <f>VLOOKUP(H190,[4]Sheet2!K:N,4,0)</f>
        <v>42000</v>
      </c>
      <c r="Y190" s="53">
        <f t="shared" si="162"/>
        <v>1</v>
      </c>
      <c r="Z190" s="53">
        <f t="shared" si="163"/>
        <v>0</v>
      </c>
      <c r="AA190" s="53">
        <f t="shared" si="164"/>
        <v>1</v>
      </c>
    </row>
    <row r="191" spans="1:27" ht="18.75" customHeight="1" outlineLevel="6" x14ac:dyDescent="0.3">
      <c r="B191" s="44"/>
      <c r="C191" s="18"/>
      <c r="D191" s="24"/>
      <c r="E191" s="29"/>
      <c r="F191" s="34"/>
      <c r="G191" s="39"/>
      <c r="H191" s="46" t="s">
        <v>232</v>
      </c>
      <c r="I191" s="46" t="s">
        <v>56</v>
      </c>
      <c r="J191" s="47" t="s">
        <v>30</v>
      </c>
      <c r="K191" s="48">
        <v>0.05</v>
      </c>
      <c r="L191" s="49">
        <f>VLOOKUP(H191,[4]Sheet2!K:P,6,0)</f>
        <v>9.0154500000000012E-4</v>
      </c>
      <c r="M191" s="50">
        <f>VLOOKUP(H191,[4]Sheet2!K:Q,7,0)</f>
        <v>42000</v>
      </c>
      <c r="N191" s="51"/>
      <c r="O191" s="51"/>
      <c r="P191" s="51"/>
      <c r="Q191" s="51"/>
      <c r="R191" s="51"/>
      <c r="S191" s="51"/>
      <c r="T191" s="51"/>
      <c r="U191" s="51"/>
      <c r="V191" s="52">
        <f>VLOOKUP(H191,[4]Sheet2!K:N,4,0)</f>
        <v>42000</v>
      </c>
      <c r="W191" s="52">
        <f t="shared" si="161"/>
        <v>0</v>
      </c>
      <c r="X191" s="52">
        <f>VLOOKUP(H191,[4]Sheet2!K:N,4,0)</f>
        <v>42000</v>
      </c>
      <c r="Y191" s="53">
        <f t="shared" si="162"/>
        <v>1</v>
      </c>
      <c r="Z191" s="53">
        <f t="shared" si="163"/>
        <v>0</v>
      </c>
      <c r="AA191" s="53">
        <f t="shared" si="164"/>
        <v>1</v>
      </c>
    </row>
    <row r="192" spans="1:27" ht="18.75" customHeight="1" outlineLevel="5" x14ac:dyDescent="0.3">
      <c r="B192" s="12"/>
      <c r="C192" s="18"/>
      <c r="D192" s="24"/>
      <c r="E192" s="29"/>
      <c r="F192" s="34"/>
      <c r="G192" s="39" t="s">
        <v>233</v>
      </c>
      <c r="H192" s="58"/>
      <c r="I192" s="58"/>
      <c r="J192" s="58"/>
      <c r="K192" s="58"/>
      <c r="L192" s="41">
        <f>SUM(L193:L198)</f>
        <v>1.8030900000000002E-2</v>
      </c>
      <c r="M192" s="42">
        <f>M193</f>
        <v>42000</v>
      </c>
      <c r="N192" s="40"/>
      <c r="O192" s="40"/>
      <c r="P192" s="40"/>
      <c r="Q192" s="40"/>
      <c r="R192" s="40"/>
      <c r="S192" s="40"/>
      <c r="T192" s="40"/>
      <c r="U192" s="40"/>
      <c r="V192" s="42">
        <f t="shared" ref="V192:X192" si="165">V193</f>
        <v>42000</v>
      </c>
      <c r="W192" s="42">
        <f t="shared" si="165"/>
        <v>0</v>
      </c>
      <c r="X192" s="42">
        <f t="shared" si="165"/>
        <v>42000</v>
      </c>
      <c r="Y192" s="43">
        <f>SUMPRODUCT(Y193:Y198,$K193:$K198)</f>
        <v>1.0000000000000002</v>
      </c>
      <c r="Z192" s="43">
        <f t="shared" ref="Z192:AA192" si="166">SUMPRODUCT(Z193:Z198,$K193:$K198)</f>
        <v>0</v>
      </c>
      <c r="AA192" s="43">
        <f t="shared" si="166"/>
        <v>1.0000000000000002</v>
      </c>
    </row>
    <row r="193" spans="1:27" ht="18.75" customHeight="1" outlineLevel="6" x14ac:dyDescent="0.3">
      <c r="B193" s="44"/>
      <c r="C193" s="18"/>
      <c r="D193" s="24"/>
      <c r="E193" s="29"/>
      <c r="F193" s="34"/>
      <c r="G193" s="39"/>
      <c r="H193" s="46" t="s">
        <v>234</v>
      </c>
      <c r="I193" s="46" t="s">
        <v>45</v>
      </c>
      <c r="J193" s="47" t="s">
        <v>30</v>
      </c>
      <c r="K193" s="48">
        <v>0.05</v>
      </c>
      <c r="L193" s="49">
        <f>VLOOKUP(H193,[4]Sheet2!K:P,6,0)</f>
        <v>9.0154500000000012E-4</v>
      </c>
      <c r="M193" s="50">
        <f>VLOOKUP(H193,[4]Sheet2!K:Q,7,0)</f>
        <v>42000</v>
      </c>
      <c r="N193" s="51"/>
      <c r="O193" s="51"/>
      <c r="P193" s="51"/>
      <c r="Q193" s="51"/>
      <c r="R193" s="51"/>
      <c r="S193" s="51"/>
      <c r="T193" s="51"/>
      <c r="U193" s="51"/>
      <c r="V193" s="52">
        <f>VLOOKUP(H193,[4]Sheet2!K:N,4,0)</f>
        <v>42000</v>
      </c>
      <c r="W193" s="52">
        <f t="shared" ref="W193:W198" si="167">X193-V193</f>
        <v>0</v>
      </c>
      <c r="X193" s="52">
        <f>VLOOKUP(H193,[4]Sheet2!K:N,4,0)</f>
        <v>42000</v>
      </c>
      <c r="Y193" s="53">
        <f t="shared" ref="Y193:Y198" si="168">IFERROR(V193/M193,1)</f>
        <v>1</v>
      </c>
      <c r="Z193" s="53">
        <f t="shared" ref="Z193:Z198" si="169">IFERROR(W193/M193,1)</f>
        <v>0</v>
      </c>
      <c r="AA193" s="53">
        <f t="shared" ref="AA193:AA198" si="170">IFERROR(X193/M193,1)</f>
        <v>1</v>
      </c>
    </row>
    <row r="194" spans="1:27" ht="18.75" customHeight="1" outlineLevel="6" x14ac:dyDescent="0.3">
      <c r="A194" s="60" t="s">
        <v>46</v>
      </c>
      <c r="B194" s="44"/>
      <c r="C194" s="18"/>
      <c r="D194" s="24"/>
      <c r="E194" s="29"/>
      <c r="F194" s="34"/>
      <c r="G194" s="39"/>
      <c r="H194" s="46" t="s">
        <v>235</v>
      </c>
      <c r="I194" s="46" t="s">
        <v>48</v>
      </c>
      <c r="J194" s="47" t="s">
        <v>30</v>
      </c>
      <c r="K194" s="48">
        <v>0.5</v>
      </c>
      <c r="L194" s="49">
        <f>VLOOKUP(H194,[4]Sheet2!K:P,6,0)</f>
        <v>9.0154500000000012E-3</v>
      </c>
      <c r="M194" s="50">
        <f>VLOOKUP(H194,[4]Sheet2!K:Q,7,0)</f>
        <v>42000</v>
      </c>
      <c r="N194" s="51"/>
      <c r="O194" s="51"/>
      <c r="P194" s="51"/>
      <c r="Q194" s="51"/>
      <c r="R194" s="51"/>
      <c r="S194" s="51"/>
      <c r="T194" s="51"/>
      <c r="U194" s="51"/>
      <c r="V194" s="52">
        <f>VLOOKUP(H194,[4]Sheet2!K:N,4,0)</f>
        <v>42000</v>
      </c>
      <c r="W194" s="52">
        <f t="shared" si="167"/>
        <v>0</v>
      </c>
      <c r="X194" s="52">
        <f>VLOOKUP(H194,[4]Sheet2!K:N,4,0)</f>
        <v>42000</v>
      </c>
      <c r="Y194" s="53">
        <f t="shared" si="168"/>
        <v>1</v>
      </c>
      <c r="Z194" s="53">
        <f t="shared" si="169"/>
        <v>0</v>
      </c>
      <c r="AA194" s="53">
        <f t="shared" si="170"/>
        <v>1</v>
      </c>
    </row>
    <row r="195" spans="1:27" ht="18.75" customHeight="1" outlineLevel="6" x14ac:dyDescent="0.3">
      <c r="B195" s="44"/>
      <c r="C195" s="18"/>
      <c r="D195" s="24"/>
      <c r="E195" s="29"/>
      <c r="F195" s="34"/>
      <c r="G195" s="39"/>
      <c r="H195" s="46" t="s">
        <v>236</v>
      </c>
      <c r="I195" s="46" t="s">
        <v>50</v>
      </c>
      <c r="J195" s="47" t="s">
        <v>30</v>
      </c>
      <c r="K195" s="48">
        <v>0.15</v>
      </c>
      <c r="L195" s="49">
        <f>VLOOKUP(H195,[4]Sheet2!K:P,6,0)</f>
        <v>2.7046350000000004E-3</v>
      </c>
      <c r="M195" s="50">
        <f>VLOOKUP(H195,[4]Sheet2!K:Q,7,0)</f>
        <v>42000</v>
      </c>
      <c r="N195" s="51"/>
      <c r="O195" s="51"/>
      <c r="P195" s="51"/>
      <c r="Q195" s="51"/>
      <c r="R195" s="51"/>
      <c r="S195" s="51"/>
      <c r="T195" s="51"/>
      <c r="U195" s="51"/>
      <c r="V195" s="52">
        <f>VLOOKUP(H195,[4]Sheet2!K:N,4,0)</f>
        <v>42000</v>
      </c>
      <c r="W195" s="52">
        <f t="shared" si="167"/>
        <v>0</v>
      </c>
      <c r="X195" s="52">
        <f>VLOOKUP(H195,[4]Sheet2!K:N,4,0)</f>
        <v>42000</v>
      </c>
      <c r="Y195" s="53">
        <f t="shared" si="168"/>
        <v>1</v>
      </c>
      <c r="Z195" s="53">
        <f t="shared" si="169"/>
        <v>0</v>
      </c>
      <c r="AA195" s="53">
        <f t="shared" si="170"/>
        <v>1</v>
      </c>
    </row>
    <row r="196" spans="1:27" ht="18.75" customHeight="1" outlineLevel="6" x14ac:dyDescent="0.3">
      <c r="B196" s="44"/>
      <c r="C196" s="18"/>
      <c r="D196" s="24"/>
      <c r="E196" s="29"/>
      <c r="F196" s="34"/>
      <c r="G196" s="39"/>
      <c r="H196" s="46" t="s">
        <v>237</v>
      </c>
      <c r="I196" s="46" t="s">
        <v>52</v>
      </c>
      <c r="J196" s="47" t="s">
        <v>30</v>
      </c>
      <c r="K196" s="48">
        <v>0.2</v>
      </c>
      <c r="L196" s="49">
        <f>VLOOKUP(H196,[4]Sheet2!K:P,6,0)</f>
        <v>3.6061800000000005E-3</v>
      </c>
      <c r="M196" s="50">
        <f>VLOOKUP(H196,[4]Sheet2!K:Q,7,0)</f>
        <v>42000</v>
      </c>
      <c r="N196" s="51"/>
      <c r="O196" s="51"/>
      <c r="P196" s="51"/>
      <c r="Q196" s="51"/>
      <c r="R196" s="51"/>
      <c r="S196" s="51"/>
      <c r="T196" s="51"/>
      <c r="U196" s="51"/>
      <c r="V196" s="52">
        <f>VLOOKUP(H196,[4]Sheet2!K:N,4,0)</f>
        <v>42000</v>
      </c>
      <c r="W196" s="52">
        <f t="shared" si="167"/>
        <v>0</v>
      </c>
      <c r="X196" s="52">
        <f>VLOOKUP(H196,[4]Sheet2!K:N,4,0)</f>
        <v>42000</v>
      </c>
      <c r="Y196" s="53">
        <f t="shared" si="168"/>
        <v>1</v>
      </c>
      <c r="Z196" s="53">
        <f t="shared" si="169"/>
        <v>0</v>
      </c>
      <c r="AA196" s="53">
        <f t="shared" si="170"/>
        <v>1</v>
      </c>
    </row>
    <row r="197" spans="1:27" ht="18.75" customHeight="1" outlineLevel="6" x14ac:dyDescent="0.3">
      <c r="B197" s="44"/>
      <c r="C197" s="18"/>
      <c r="D197" s="24"/>
      <c r="E197" s="29"/>
      <c r="F197" s="34"/>
      <c r="G197" s="39"/>
      <c r="H197" s="46" t="s">
        <v>238</v>
      </c>
      <c r="I197" s="46" t="s">
        <v>54</v>
      </c>
      <c r="J197" s="47" t="s">
        <v>30</v>
      </c>
      <c r="K197" s="48">
        <v>0.05</v>
      </c>
      <c r="L197" s="49">
        <f>VLOOKUP(H197,[4]Sheet2!K:P,6,0)</f>
        <v>9.0154500000000012E-4</v>
      </c>
      <c r="M197" s="50">
        <f>VLOOKUP(H197,[4]Sheet2!K:Q,7,0)</f>
        <v>42000</v>
      </c>
      <c r="N197" s="51"/>
      <c r="O197" s="51"/>
      <c r="P197" s="51"/>
      <c r="Q197" s="51"/>
      <c r="R197" s="51"/>
      <c r="S197" s="51"/>
      <c r="T197" s="51"/>
      <c r="U197" s="51"/>
      <c r="V197" s="52">
        <f>VLOOKUP(H197,[4]Sheet2!K:N,4,0)</f>
        <v>42000</v>
      </c>
      <c r="W197" s="52">
        <f t="shared" si="167"/>
        <v>0</v>
      </c>
      <c r="X197" s="52">
        <f>VLOOKUP(H197,[4]Sheet2!K:N,4,0)</f>
        <v>42000</v>
      </c>
      <c r="Y197" s="53">
        <f t="shared" si="168"/>
        <v>1</v>
      </c>
      <c r="Z197" s="53">
        <f t="shared" si="169"/>
        <v>0</v>
      </c>
      <c r="AA197" s="53">
        <f t="shared" si="170"/>
        <v>1</v>
      </c>
    </row>
    <row r="198" spans="1:27" ht="18.75" customHeight="1" outlineLevel="6" x14ac:dyDescent="0.3">
      <c r="B198" s="44"/>
      <c r="C198" s="18"/>
      <c r="D198" s="24"/>
      <c r="E198" s="29"/>
      <c r="F198" s="34"/>
      <c r="G198" s="39"/>
      <c r="H198" s="46" t="s">
        <v>239</v>
      </c>
      <c r="I198" s="46" t="s">
        <v>56</v>
      </c>
      <c r="J198" s="47" t="s">
        <v>30</v>
      </c>
      <c r="K198" s="48">
        <v>0.05</v>
      </c>
      <c r="L198" s="49">
        <f>VLOOKUP(H198,[4]Sheet2!K:P,6,0)</f>
        <v>9.0154500000000012E-4</v>
      </c>
      <c r="M198" s="50">
        <f>VLOOKUP(H198,[4]Sheet2!K:Q,7,0)</f>
        <v>42000</v>
      </c>
      <c r="N198" s="51"/>
      <c r="O198" s="51"/>
      <c r="P198" s="51"/>
      <c r="Q198" s="51"/>
      <c r="R198" s="51"/>
      <c r="S198" s="51"/>
      <c r="T198" s="51"/>
      <c r="U198" s="51"/>
      <c r="V198" s="52">
        <f>VLOOKUP(H198,[4]Sheet2!K:N,4,0)</f>
        <v>42000</v>
      </c>
      <c r="W198" s="52">
        <f t="shared" si="167"/>
        <v>0</v>
      </c>
      <c r="X198" s="52">
        <f>VLOOKUP(H198,[4]Sheet2!K:N,4,0)</f>
        <v>42000</v>
      </c>
      <c r="Y198" s="53">
        <f t="shared" si="168"/>
        <v>1</v>
      </c>
      <c r="Z198" s="53">
        <f t="shared" si="169"/>
        <v>0</v>
      </c>
      <c r="AA198" s="53">
        <f t="shared" si="170"/>
        <v>1</v>
      </c>
    </row>
    <row r="199" spans="1:27" ht="18.75" customHeight="1" outlineLevel="5" x14ac:dyDescent="0.3">
      <c r="B199" s="12"/>
      <c r="C199" s="18"/>
      <c r="D199" s="24"/>
      <c r="E199" s="29"/>
      <c r="F199" s="34"/>
      <c r="G199" s="39" t="s">
        <v>240</v>
      </c>
      <c r="H199" s="58"/>
      <c r="I199" s="58"/>
      <c r="J199" s="58"/>
      <c r="K199" s="58"/>
      <c r="L199" s="41">
        <f>SUM(L200:L205)</f>
        <v>1.8030900000000002E-2</v>
      </c>
      <c r="M199" s="42">
        <f>M200</f>
        <v>42000</v>
      </c>
      <c r="N199" s="40"/>
      <c r="O199" s="40"/>
      <c r="P199" s="40"/>
      <c r="Q199" s="40"/>
      <c r="R199" s="40"/>
      <c r="S199" s="40"/>
      <c r="T199" s="40"/>
      <c r="U199" s="40"/>
      <c r="V199" s="42">
        <f t="shared" ref="V199:X199" si="171">V200</f>
        <v>42000</v>
      </c>
      <c r="W199" s="42">
        <f t="shared" si="171"/>
        <v>0</v>
      </c>
      <c r="X199" s="42">
        <f t="shared" si="171"/>
        <v>42000</v>
      </c>
      <c r="Y199" s="43">
        <f>SUMPRODUCT(Y200:Y205,$K200:$K205)</f>
        <v>1.0000000000000002</v>
      </c>
      <c r="Z199" s="43">
        <f t="shared" ref="Z199:AA199" si="172">SUMPRODUCT(Z200:Z205,$K200:$K205)</f>
        <v>0</v>
      </c>
      <c r="AA199" s="43">
        <f t="shared" si="172"/>
        <v>1.0000000000000002</v>
      </c>
    </row>
    <row r="200" spans="1:27" ht="18.75" customHeight="1" outlineLevel="6" x14ac:dyDescent="0.3">
      <c r="B200" s="44"/>
      <c r="C200" s="18"/>
      <c r="D200" s="24"/>
      <c r="E200" s="29"/>
      <c r="F200" s="34"/>
      <c r="G200" s="39"/>
      <c r="H200" s="46" t="s">
        <v>241</v>
      </c>
      <c r="I200" s="46" t="s">
        <v>45</v>
      </c>
      <c r="J200" s="47" t="s">
        <v>30</v>
      </c>
      <c r="K200" s="48">
        <v>0.05</v>
      </c>
      <c r="L200" s="49">
        <f>VLOOKUP(H200,[4]Sheet2!K:P,6,0)</f>
        <v>9.0154500000000012E-4</v>
      </c>
      <c r="M200" s="50">
        <f>VLOOKUP(H200,[4]Sheet2!K:Q,7,0)</f>
        <v>42000</v>
      </c>
      <c r="N200" s="51"/>
      <c r="O200" s="51"/>
      <c r="P200" s="51"/>
      <c r="Q200" s="51"/>
      <c r="R200" s="51"/>
      <c r="S200" s="51"/>
      <c r="T200" s="51"/>
      <c r="U200" s="51"/>
      <c r="V200" s="52">
        <f>VLOOKUP(H200,[4]Sheet2!K:N,4,0)</f>
        <v>42000</v>
      </c>
      <c r="W200" s="52">
        <f t="shared" ref="W200:W205" si="173">X200-V200</f>
        <v>0</v>
      </c>
      <c r="X200" s="52">
        <f>VLOOKUP(H200,[4]Sheet2!K:N,4,0)</f>
        <v>42000</v>
      </c>
      <c r="Y200" s="53">
        <f t="shared" ref="Y200:Y205" si="174">IFERROR(V200/M200,1)</f>
        <v>1</v>
      </c>
      <c r="Z200" s="53">
        <f t="shared" ref="Z200:Z205" si="175">IFERROR(W200/M200,1)</f>
        <v>0</v>
      </c>
      <c r="AA200" s="53">
        <f t="shared" ref="AA200:AA205" si="176">IFERROR(X200/M200,1)</f>
        <v>1</v>
      </c>
    </row>
    <row r="201" spans="1:27" ht="18.75" customHeight="1" outlineLevel="6" x14ac:dyDescent="0.3">
      <c r="A201" s="60" t="s">
        <v>46</v>
      </c>
      <c r="B201" s="44"/>
      <c r="C201" s="18"/>
      <c r="D201" s="24"/>
      <c r="E201" s="29"/>
      <c r="F201" s="34"/>
      <c r="G201" s="39"/>
      <c r="H201" s="46" t="s">
        <v>242</v>
      </c>
      <c r="I201" s="46" t="s">
        <v>48</v>
      </c>
      <c r="J201" s="47" t="s">
        <v>30</v>
      </c>
      <c r="K201" s="48">
        <v>0.5</v>
      </c>
      <c r="L201" s="49">
        <f>VLOOKUP(H201,[4]Sheet2!K:P,6,0)</f>
        <v>9.0154500000000012E-3</v>
      </c>
      <c r="M201" s="50">
        <f>VLOOKUP(H201,[4]Sheet2!K:Q,7,0)</f>
        <v>42000</v>
      </c>
      <c r="N201" s="51"/>
      <c r="O201" s="51"/>
      <c r="P201" s="51"/>
      <c r="Q201" s="51"/>
      <c r="R201" s="51"/>
      <c r="S201" s="51"/>
      <c r="T201" s="51"/>
      <c r="U201" s="51"/>
      <c r="V201" s="52">
        <f>VLOOKUP(H201,[4]Sheet2!K:N,4,0)</f>
        <v>42000</v>
      </c>
      <c r="W201" s="52">
        <f t="shared" si="173"/>
        <v>0</v>
      </c>
      <c r="X201" s="52">
        <f>VLOOKUP(H201,[4]Sheet2!K:N,4,0)</f>
        <v>42000</v>
      </c>
      <c r="Y201" s="53">
        <f t="shared" si="174"/>
        <v>1</v>
      </c>
      <c r="Z201" s="53">
        <f t="shared" si="175"/>
        <v>0</v>
      </c>
      <c r="AA201" s="53">
        <f t="shared" si="176"/>
        <v>1</v>
      </c>
    </row>
    <row r="202" spans="1:27" ht="18.75" customHeight="1" outlineLevel="6" x14ac:dyDescent="0.3">
      <c r="B202" s="44"/>
      <c r="C202" s="18"/>
      <c r="D202" s="24"/>
      <c r="E202" s="29"/>
      <c r="F202" s="34"/>
      <c r="G202" s="39"/>
      <c r="H202" s="46" t="s">
        <v>243</v>
      </c>
      <c r="I202" s="46" t="s">
        <v>50</v>
      </c>
      <c r="J202" s="47" t="s">
        <v>30</v>
      </c>
      <c r="K202" s="48">
        <v>0.15</v>
      </c>
      <c r="L202" s="49">
        <f>VLOOKUP(H202,[4]Sheet2!K:P,6,0)</f>
        <v>2.7046350000000004E-3</v>
      </c>
      <c r="M202" s="50">
        <f>VLOOKUP(H202,[4]Sheet2!K:Q,7,0)</f>
        <v>42000</v>
      </c>
      <c r="N202" s="51"/>
      <c r="O202" s="51"/>
      <c r="P202" s="51"/>
      <c r="Q202" s="51"/>
      <c r="R202" s="51"/>
      <c r="S202" s="51"/>
      <c r="T202" s="51"/>
      <c r="U202" s="51"/>
      <c r="V202" s="52">
        <f>VLOOKUP(H202,[4]Sheet2!K:N,4,0)</f>
        <v>42000</v>
      </c>
      <c r="W202" s="52">
        <f t="shared" si="173"/>
        <v>0</v>
      </c>
      <c r="X202" s="52">
        <f>VLOOKUP(H202,[4]Sheet2!K:N,4,0)</f>
        <v>42000</v>
      </c>
      <c r="Y202" s="53">
        <f t="shared" si="174"/>
        <v>1</v>
      </c>
      <c r="Z202" s="53">
        <f t="shared" si="175"/>
        <v>0</v>
      </c>
      <c r="AA202" s="53">
        <f t="shared" si="176"/>
        <v>1</v>
      </c>
    </row>
    <row r="203" spans="1:27" ht="18.75" customHeight="1" outlineLevel="6" x14ac:dyDescent="0.3">
      <c r="B203" s="44"/>
      <c r="C203" s="18"/>
      <c r="D203" s="24"/>
      <c r="E203" s="29"/>
      <c r="F203" s="34"/>
      <c r="G203" s="39"/>
      <c r="H203" s="46" t="s">
        <v>244</v>
      </c>
      <c r="I203" s="46" t="s">
        <v>52</v>
      </c>
      <c r="J203" s="47" t="s">
        <v>30</v>
      </c>
      <c r="K203" s="48">
        <v>0.2</v>
      </c>
      <c r="L203" s="49">
        <f>VLOOKUP(H203,[4]Sheet2!K:P,6,0)</f>
        <v>3.6061800000000005E-3</v>
      </c>
      <c r="M203" s="50">
        <f>VLOOKUP(H203,[4]Sheet2!K:Q,7,0)</f>
        <v>42000</v>
      </c>
      <c r="N203" s="51"/>
      <c r="O203" s="51"/>
      <c r="P203" s="51"/>
      <c r="Q203" s="51"/>
      <c r="R203" s="51"/>
      <c r="S203" s="51"/>
      <c r="T203" s="51"/>
      <c r="U203" s="51"/>
      <c r="V203" s="52">
        <f>VLOOKUP(H203,[4]Sheet2!K:N,4,0)</f>
        <v>42000</v>
      </c>
      <c r="W203" s="52">
        <f t="shared" si="173"/>
        <v>0</v>
      </c>
      <c r="X203" s="52">
        <f>VLOOKUP(H203,[4]Sheet2!K:N,4,0)</f>
        <v>42000</v>
      </c>
      <c r="Y203" s="53">
        <f t="shared" si="174"/>
        <v>1</v>
      </c>
      <c r="Z203" s="53">
        <f t="shared" si="175"/>
        <v>0</v>
      </c>
      <c r="AA203" s="53">
        <f t="shared" si="176"/>
        <v>1</v>
      </c>
    </row>
    <row r="204" spans="1:27" ht="18.75" customHeight="1" outlineLevel="6" x14ac:dyDescent="0.3">
      <c r="B204" s="44"/>
      <c r="C204" s="18"/>
      <c r="D204" s="24"/>
      <c r="E204" s="29"/>
      <c r="F204" s="34"/>
      <c r="G204" s="39"/>
      <c r="H204" s="46" t="s">
        <v>245</v>
      </c>
      <c r="I204" s="46" t="s">
        <v>54</v>
      </c>
      <c r="J204" s="47" t="s">
        <v>30</v>
      </c>
      <c r="K204" s="48">
        <v>0.05</v>
      </c>
      <c r="L204" s="49">
        <f>VLOOKUP(H204,[4]Sheet2!K:P,6,0)</f>
        <v>9.0154500000000012E-4</v>
      </c>
      <c r="M204" s="50">
        <f>VLOOKUP(H204,[4]Sheet2!K:Q,7,0)</f>
        <v>42000</v>
      </c>
      <c r="N204" s="51"/>
      <c r="O204" s="51"/>
      <c r="P204" s="51"/>
      <c r="Q204" s="51"/>
      <c r="R204" s="51"/>
      <c r="S204" s="51"/>
      <c r="T204" s="51"/>
      <c r="U204" s="51"/>
      <c r="V204" s="52">
        <f>VLOOKUP(H204,[4]Sheet2!K:N,4,0)</f>
        <v>42000</v>
      </c>
      <c r="W204" s="52">
        <f t="shared" si="173"/>
        <v>0</v>
      </c>
      <c r="X204" s="52">
        <f>VLOOKUP(H204,[4]Sheet2!K:N,4,0)</f>
        <v>42000</v>
      </c>
      <c r="Y204" s="53">
        <f t="shared" si="174"/>
        <v>1</v>
      </c>
      <c r="Z204" s="53">
        <f t="shared" si="175"/>
        <v>0</v>
      </c>
      <c r="AA204" s="53">
        <f t="shared" si="176"/>
        <v>1</v>
      </c>
    </row>
    <row r="205" spans="1:27" ht="18.75" customHeight="1" outlineLevel="6" x14ac:dyDescent="0.3">
      <c r="B205" s="44"/>
      <c r="C205" s="18"/>
      <c r="D205" s="24"/>
      <c r="E205" s="29"/>
      <c r="F205" s="34"/>
      <c r="G205" s="39"/>
      <c r="H205" s="46" t="s">
        <v>246</v>
      </c>
      <c r="I205" s="46" t="s">
        <v>56</v>
      </c>
      <c r="J205" s="47" t="s">
        <v>30</v>
      </c>
      <c r="K205" s="48">
        <v>0.05</v>
      </c>
      <c r="L205" s="49">
        <f>VLOOKUP(H205,[4]Sheet2!K:P,6,0)</f>
        <v>9.0154500000000012E-4</v>
      </c>
      <c r="M205" s="50">
        <f>VLOOKUP(H205,[4]Sheet2!K:Q,7,0)</f>
        <v>42000</v>
      </c>
      <c r="N205" s="51"/>
      <c r="O205" s="51"/>
      <c r="P205" s="51"/>
      <c r="Q205" s="51"/>
      <c r="R205" s="51"/>
      <c r="S205" s="51"/>
      <c r="T205" s="51"/>
      <c r="U205" s="51"/>
      <c r="V205" s="52">
        <f>VLOOKUP(H205,[4]Sheet2!K:N,4,0)</f>
        <v>42000</v>
      </c>
      <c r="W205" s="52">
        <f t="shared" si="173"/>
        <v>0</v>
      </c>
      <c r="X205" s="52">
        <f>VLOOKUP(H205,[4]Sheet2!K:N,4,0)</f>
        <v>42000</v>
      </c>
      <c r="Y205" s="53">
        <f t="shared" si="174"/>
        <v>1</v>
      </c>
      <c r="Z205" s="53">
        <f t="shared" si="175"/>
        <v>0</v>
      </c>
      <c r="AA205" s="53">
        <f t="shared" si="176"/>
        <v>1</v>
      </c>
    </row>
    <row r="206" spans="1:27" ht="18.75" customHeight="1" outlineLevel="5" x14ac:dyDescent="0.3">
      <c r="B206" s="12"/>
      <c r="C206" s="18"/>
      <c r="D206" s="24"/>
      <c r="E206" s="29"/>
      <c r="F206" s="34"/>
      <c r="G206" s="39" t="s">
        <v>247</v>
      </c>
      <c r="H206" s="58"/>
      <c r="I206" s="58"/>
      <c r="J206" s="58"/>
      <c r="K206" s="58"/>
      <c r="L206" s="41">
        <f>SUM(L207:L212)</f>
        <v>2.1567999999999999E-3</v>
      </c>
      <c r="M206" s="42">
        <f>M207</f>
        <v>5500</v>
      </c>
      <c r="N206" s="40"/>
      <c r="O206" s="40"/>
      <c r="P206" s="40"/>
      <c r="Q206" s="40"/>
      <c r="R206" s="40"/>
      <c r="S206" s="40"/>
      <c r="T206" s="40"/>
      <c r="U206" s="40"/>
      <c r="V206" s="42">
        <f t="shared" ref="V206:X206" si="177">V207</f>
        <v>5500</v>
      </c>
      <c r="W206" s="42">
        <f t="shared" si="177"/>
        <v>0</v>
      </c>
      <c r="X206" s="42">
        <f t="shared" si="177"/>
        <v>5500</v>
      </c>
      <c r="Y206" s="43">
        <f>SUMPRODUCT(Y207:Y212,$K207:$K212)</f>
        <v>1.0000000000000002</v>
      </c>
      <c r="Z206" s="43">
        <f t="shared" ref="Z206:AA206" si="178">SUMPRODUCT(Z207:Z212,$K207:$K212)</f>
        <v>0</v>
      </c>
      <c r="AA206" s="43">
        <f t="shared" si="178"/>
        <v>1.0000000000000002</v>
      </c>
    </row>
    <row r="207" spans="1:27" ht="18.75" customHeight="1" outlineLevel="6" x14ac:dyDescent="0.3">
      <c r="B207" s="44"/>
      <c r="C207" s="18"/>
      <c r="D207" s="24"/>
      <c r="E207" s="29"/>
      <c r="F207" s="34"/>
      <c r="G207" s="39"/>
      <c r="H207" s="46" t="s">
        <v>248</v>
      </c>
      <c r="I207" s="46" t="s">
        <v>45</v>
      </c>
      <c r="J207" s="47" t="s">
        <v>30</v>
      </c>
      <c r="K207" s="48">
        <v>0.05</v>
      </c>
      <c r="L207" s="49">
        <f>VLOOKUP(H207,[4]Sheet2!K:P,6,0)</f>
        <v>1.0784E-4</v>
      </c>
      <c r="M207" s="50">
        <f>VLOOKUP(H207,[4]Sheet2!K:Q,7,0)</f>
        <v>5500</v>
      </c>
      <c r="N207" s="51"/>
      <c r="O207" s="51"/>
      <c r="P207" s="51"/>
      <c r="Q207" s="51"/>
      <c r="R207" s="51"/>
      <c r="S207" s="51"/>
      <c r="T207" s="51"/>
      <c r="U207" s="51"/>
      <c r="V207" s="52">
        <f>VLOOKUP(H207,[4]Sheet2!K:N,4,0)</f>
        <v>5500</v>
      </c>
      <c r="W207" s="52">
        <f t="shared" ref="W207:W212" si="179">X207-V207</f>
        <v>0</v>
      </c>
      <c r="X207" s="52">
        <f>VLOOKUP(H207,[4]Sheet2!K:N,4,0)</f>
        <v>5500</v>
      </c>
      <c r="Y207" s="53">
        <f t="shared" ref="Y207:Y212" si="180">IFERROR(V207/M207,1)</f>
        <v>1</v>
      </c>
      <c r="Z207" s="53">
        <f t="shared" ref="Z207:Z212" si="181">IFERROR(W207/M207,1)</f>
        <v>0</v>
      </c>
      <c r="AA207" s="53">
        <f t="shared" ref="AA207:AA212" si="182">IFERROR(X207/M207,1)</f>
        <v>1</v>
      </c>
    </row>
    <row r="208" spans="1:27" ht="18.75" customHeight="1" outlineLevel="6" x14ac:dyDescent="0.3">
      <c r="A208" s="60" t="s">
        <v>151</v>
      </c>
      <c r="B208" s="44"/>
      <c r="C208" s="18"/>
      <c r="D208" s="24"/>
      <c r="E208" s="29"/>
      <c r="F208" s="34"/>
      <c r="G208" s="39"/>
      <c r="H208" s="46" t="s">
        <v>249</v>
      </c>
      <c r="I208" s="46" t="s">
        <v>48</v>
      </c>
      <c r="J208" s="47" t="s">
        <v>30</v>
      </c>
      <c r="K208" s="48">
        <v>0.5</v>
      </c>
      <c r="L208" s="49">
        <f>VLOOKUP(H208,[4]Sheet2!K:P,6,0)</f>
        <v>1.0784E-3</v>
      </c>
      <c r="M208" s="50">
        <f>VLOOKUP(H208,[4]Sheet2!K:Q,7,0)</f>
        <v>5500</v>
      </c>
      <c r="N208" s="51"/>
      <c r="O208" s="51"/>
      <c r="P208" s="51"/>
      <c r="Q208" s="51"/>
      <c r="R208" s="51"/>
      <c r="S208" s="51"/>
      <c r="T208" s="51"/>
      <c r="U208" s="51"/>
      <c r="V208" s="52">
        <f>VLOOKUP(H208,[4]Sheet2!K:N,4,0)</f>
        <v>5500</v>
      </c>
      <c r="W208" s="52">
        <f t="shared" si="179"/>
        <v>0</v>
      </c>
      <c r="X208" s="52">
        <f>VLOOKUP(H208,[4]Sheet2!K:N,4,0)</f>
        <v>5500</v>
      </c>
      <c r="Y208" s="53">
        <f t="shared" si="180"/>
        <v>1</v>
      </c>
      <c r="Z208" s="53">
        <f t="shared" si="181"/>
        <v>0</v>
      </c>
      <c r="AA208" s="53">
        <f t="shared" si="182"/>
        <v>1</v>
      </c>
    </row>
    <row r="209" spans="1:27" ht="18.75" customHeight="1" outlineLevel="6" x14ac:dyDescent="0.3">
      <c r="B209" s="44"/>
      <c r="C209" s="18"/>
      <c r="D209" s="24"/>
      <c r="E209" s="29"/>
      <c r="F209" s="34"/>
      <c r="G209" s="39"/>
      <c r="H209" s="46" t="s">
        <v>250</v>
      </c>
      <c r="I209" s="46" t="s">
        <v>50</v>
      </c>
      <c r="J209" s="47" t="s">
        <v>30</v>
      </c>
      <c r="K209" s="48">
        <v>0.15</v>
      </c>
      <c r="L209" s="49">
        <f>VLOOKUP(H209,[4]Sheet2!K:P,6,0)</f>
        <v>3.2351999999999999E-4</v>
      </c>
      <c r="M209" s="50">
        <f>VLOOKUP(H209,[4]Sheet2!K:Q,7,0)</f>
        <v>5500</v>
      </c>
      <c r="N209" s="51"/>
      <c r="O209" s="51"/>
      <c r="P209" s="51"/>
      <c r="Q209" s="51"/>
      <c r="R209" s="51"/>
      <c r="S209" s="51"/>
      <c r="T209" s="51"/>
      <c r="U209" s="51"/>
      <c r="V209" s="52">
        <f>VLOOKUP(H209,[4]Sheet2!K:N,4,0)</f>
        <v>5500</v>
      </c>
      <c r="W209" s="52">
        <f t="shared" si="179"/>
        <v>0</v>
      </c>
      <c r="X209" s="52">
        <f>VLOOKUP(H209,[4]Sheet2!K:N,4,0)</f>
        <v>5500</v>
      </c>
      <c r="Y209" s="53">
        <f t="shared" si="180"/>
        <v>1</v>
      </c>
      <c r="Z209" s="53">
        <f t="shared" si="181"/>
        <v>0</v>
      </c>
      <c r="AA209" s="53">
        <f t="shared" si="182"/>
        <v>1</v>
      </c>
    </row>
    <row r="210" spans="1:27" ht="18.75" customHeight="1" outlineLevel="6" x14ac:dyDescent="0.3">
      <c r="B210" s="44"/>
      <c r="C210" s="18"/>
      <c r="D210" s="24"/>
      <c r="E210" s="29"/>
      <c r="F210" s="34"/>
      <c r="G210" s="39"/>
      <c r="H210" s="46" t="s">
        <v>251</v>
      </c>
      <c r="I210" s="46" t="s">
        <v>52</v>
      </c>
      <c r="J210" s="47" t="s">
        <v>30</v>
      </c>
      <c r="K210" s="48">
        <v>0.2</v>
      </c>
      <c r="L210" s="49">
        <f>VLOOKUP(H210,[4]Sheet2!K:P,6,0)</f>
        <v>4.3135999999999999E-4</v>
      </c>
      <c r="M210" s="50">
        <f>VLOOKUP(H210,[4]Sheet2!K:Q,7,0)</f>
        <v>5500</v>
      </c>
      <c r="N210" s="51"/>
      <c r="O210" s="51"/>
      <c r="P210" s="51"/>
      <c r="Q210" s="51"/>
      <c r="R210" s="51"/>
      <c r="S210" s="51"/>
      <c r="T210" s="51"/>
      <c r="U210" s="51"/>
      <c r="V210" s="52">
        <f>VLOOKUP(H210,[4]Sheet2!K:N,4,0)</f>
        <v>5500</v>
      </c>
      <c r="W210" s="52">
        <f t="shared" si="179"/>
        <v>0</v>
      </c>
      <c r="X210" s="52">
        <f>VLOOKUP(H210,[4]Sheet2!K:N,4,0)</f>
        <v>5500</v>
      </c>
      <c r="Y210" s="53">
        <f t="shared" si="180"/>
        <v>1</v>
      </c>
      <c r="Z210" s="53">
        <f t="shared" si="181"/>
        <v>0</v>
      </c>
      <c r="AA210" s="53">
        <f t="shared" si="182"/>
        <v>1</v>
      </c>
    </row>
    <row r="211" spans="1:27" ht="18.75" customHeight="1" outlineLevel="6" x14ac:dyDescent="0.3">
      <c r="B211" s="44"/>
      <c r="C211" s="18"/>
      <c r="D211" s="24"/>
      <c r="E211" s="29"/>
      <c r="F211" s="34"/>
      <c r="G211" s="39"/>
      <c r="H211" s="46" t="s">
        <v>252</v>
      </c>
      <c r="I211" s="46" t="s">
        <v>54</v>
      </c>
      <c r="J211" s="47" t="s">
        <v>30</v>
      </c>
      <c r="K211" s="48">
        <v>0.05</v>
      </c>
      <c r="L211" s="49">
        <f>VLOOKUP(H211,[4]Sheet2!K:P,6,0)</f>
        <v>1.0784E-4</v>
      </c>
      <c r="M211" s="50">
        <f>VLOOKUP(H211,[4]Sheet2!K:Q,7,0)</f>
        <v>5500</v>
      </c>
      <c r="N211" s="51"/>
      <c r="O211" s="51"/>
      <c r="P211" s="51"/>
      <c r="Q211" s="51"/>
      <c r="R211" s="51"/>
      <c r="S211" s="51"/>
      <c r="T211" s="51"/>
      <c r="U211" s="51"/>
      <c r="V211" s="52">
        <f>VLOOKUP(H211,[4]Sheet2!K:N,4,0)</f>
        <v>5500</v>
      </c>
      <c r="W211" s="52">
        <f t="shared" si="179"/>
        <v>0</v>
      </c>
      <c r="X211" s="52">
        <f>VLOOKUP(H211,[4]Sheet2!K:N,4,0)</f>
        <v>5500</v>
      </c>
      <c r="Y211" s="53">
        <f t="shared" si="180"/>
        <v>1</v>
      </c>
      <c r="Z211" s="53">
        <f t="shared" si="181"/>
        <v>0</v>
      </c>
      <c r="AA211" s="53">
        <f t="shared" si="182"/>
        <v>1</v>
      </c>
    </row>
    <row r="212" spans="1:27" ht="18.75" customHeight="1" outlineLevel="6" x14ac:dyDescent="0.3">
      <c r="B212" s="44"/>
      <c r="C212" s="18"/>
      <c r="D212" s="24"/>
      <c r="E212" s="29"/>
      <c r="F212" s="34"/>
      <c r="G212" s="39"/>
      <c r="H212" s="46" t="s">
        <v>253</v>
      </c>
      <c r="I212" s="46" t="s">
        <v>56</v>
      </c>
      <c r="J212" s="47" t="s">
        <v>30</v>
      </c>
      <c r="K212" s="48">
        <v>0.05</v>
      </c>
      <c r="L212" s="49">
        <f>VLOOKUP(H212,[4]Sheet2!K:P,6,0)</f>
        <v>1.0784E-4</v>
      </c>
      <c r="M212" s="50">
        <f>VLOOKUP(H212,[4]Sheet2!K:Q,7,0)</f>
        <v>5500</v>
      </c>
      <c r="N212" s="51"/>
      <c r="O212" s="51"/>
      <c r="P212" s="51"/>
      <c r="Q212" s="51"/>
      <c r="R212" s="51"/>
      <c r="S212" s="51"/>
      <c r="T212" s="51"/>
      <c r="U212" s="51"/>
      <c r="V212" s="52">
        <f>VLOOKUP(H212,[4]Sheet2!K:N,4,0)</f>
        <v>5500</v>
      </c>
      <c r="W212" s="52">
        <f t="shared" si="179"/>
        <v>0</v>
      </c>
      <c r="X212" s="52">
        <f>VLOOKUP(H212,[4]Sheet2!K:N,4,0)</f>
        <v>5500</v>
      </c>
      <c r="Y212" s="53">
        <f t="shared" si="180"/>
        <v>1</v>
      </c>
      <c r="Z212" s="53">
        <f t="shared" si="181"/>
        <v>0</v>
      </c>
      <c r="AA212" s="53">
        <f t="shared" si="182"/>
        <v>1</v>
      </c>
    </row>
    <row r="213" spans="1:27" ht="18.75" customHeight="1" outlineLevel="5" x14ac:dyDescent="0.3">
      <c r="B213" s="12"/>
      <c r="C213" s="18"/>
      <c r="D213" s="24"/>
      <c r="E213" s="29"/>
      <c r="F213" s="34"/>
      <c r="G213" s="39" t="s">
        <v>254</v>
      </c>
      <c r="H213" s="58"/>
      <c r="I213" s="58"/>
      <c r="J213" s="58"/>
      <c r="K213" s="58"/>
      <c r="L213" s="41">
        <f>SUM(L214:L219)</f>
        <v>6.0369999999999998E-4</v>
      </c>
      <c r="M213" s="42">
        <f>M214</f>
        <v>2496</v>
      </c>
      <c r="N213" s="40"/>
      <c r="O213" s="40"/>
      <c r="P213" s="40"/>
      <c r="Q213" s="40"/>
      <c r="R213" s="40"/>
      <c r="S213" s="40"/>
      <c r="T213" s="40"/>
      <c r="U213" s="40"/>
      <c r="V213" s="42">
        <f t="shared" ref="V213:X213" si="183">V214</f>
        <v>2496</v>
      </c>
      <c r="W213" s="42">
        <f t="shared" si="183"/>
        <v>0</v>
      </c>
      <c r="X213" s="42">
        <f t="shared" si="183"/>
        <v>2496</v>
      </c>
      <c r="Y213" s="43">
        <f>SUMPRODUCT(Y214:Y219,$K214:$K219)</f>
        <v>1.0000000000000002</v>
      </c>
      <c r="Z213" s="43">
        <f t="shared" ref="Z213:AA213" si="184">SUMPRODUCT(Z214:Z219,$K214:$K219)</f>
        <v>0</v>
      </c>
      <c r="AA213" s="43">
        <f t="shared" si="184"/>
        <v>1.0000000000000002</v>
      </c>
    </row>
    <row r="214" spans="1:27" ht="18.75" customHeight="1" outlineLevel="6" x14ac:dyDescent="0.3">
      <c r="B214" s="44"/>
      <c r="C214" s="18"/>
      <c r="D214" s="24"/>
      <c r="E214" s="29"/>
      <c r="F214" s="34"/>
      <c r="G214" s="39"/>
      <c r="H214" s="46" t="s">
        <v>255</v>
      </c>
      <c r="I214" s="46" t="s">
        <v>45</v>
      </c>
      <c r="J214" s="47" t="s">
        <v>30</v>
      </c>
      <c r="K214" s="48">
        <v>0.05</v>
      </c>
      <c r="L214" s="49">
        <f>VLOOKUP(H214,[4]Sheet2!K:P,6,0)</f>
        <v>3.0185E-5</v>
      </c>
      <c r="M214" s="50">
        <f>VLOOKUP(H214,[4]Sheet2!K:Q,7,0)</f>
        <v>2496</v>
      </c>
      <c r="N214" s="51"/>
      <c r="O214" s="51"/>
      <c r="P214" s="51"/>
      <c r="Q214" s="51"/>
      <c r="R214" s="51"/>
      <c r="S214" s="51"/>
      <c r="T214" s="51"/>
      <c r="U214" s="51"/>
      <c r="V214" s="52">
        <f>VLOOKUP(H214,[4]Sheet2!K:N,4,0)</f>
        <v>2496</v>
      </c>
      <c r="W214" s="52">
        <f t="shared" ref="W214:W219" si="185">X214-V214</f>
        <v>0</v>
      </c>
      <c r="X214" s="52">
        <f>VLOOKUP(H214,[4]Sheet2!K:N,4,0)</f>
        <v>2496</v>
      </c>
      <c r="Y214" s="53">
        <f t="shared" ref="Y214:Y219" si="186">IFERROR(V214/M214,1)</f>
        <v>1</v>
      </c>
      <c r="Z214" s="53">
        <f t="shared" ref="Z214:Z219" si="187">IFERROR(W214/M214,1)</f>
        <v>0</v>
      </c>
      <c r="AA214" s="53">
        <f t="shared" ref="AA214:AA219" si="188">IFERROR(X214/M214,1)</f>
        <v>1</v>
      </c>
    </row>
    <row r="215" spans="1:27" ht="18.75" customHeight="1" outlineLevel="6" x14ac:dyDescent="0.3">
      <c r="A215" s="60" t="s">
        <v>151</v>
      </c>
      <c r="B215" s="44"/>
      <c r="C215" s="18"/>
      <c r="D215" s="24"/>
      <c r="E215" s="29"/>
      <c r="F215" s="34"/>
      <c r="G215" s="39"/>
      <c r="H215" s="46" t="s">
        <v>256</v>
      </c>
      <c r="I215" s="46" t="s">
        <v>48</v>
      </c>
      <c r="J215" s="47" t="s">
        <v>30</v>
      </c>
      <c r="K215" s="48">
        <v>0.5</v>
      </c>
      <c r="L215" s="49">
        <f>VLOOKUP(H215,[4]Sheet2!K:P,6,0)</f>
        <v>3.0184999999999999E-4</v>
      </c>
      <c r="M215" s="50">
        <f>VLOOKUP(H215,[4]Sheet2!K:Q,7,0)</f>
        <v>2496</v>
      </c>
      <c r="N215" s="51"/>
      <c r="O215" s="51"/>
      <c r="P215" s="51"/>
      <c r="Q215" s="51"/>
      <c r="R215" s="51"/>
      <c r="S215" s="51"/>
      <c r="T215" s="51"/>
      <c r="U215" s="51"/>
      <c r="V215" s="52">
        <f>VLOOKUP(H215,[4]Sheet2!K:N,4,0)</f>
        <v>2496</v>
      </c>
      <c r="W215" s="52">
        <f t="shared" si="185"/>
        <v>0</v>
      </c>
      <c r="X215" s="52">
        <f>VLOOKUP(H215,[4]Sheet2!K:N,4,0)</f>
        <v>2496</v>
      </c>
      <c r="Y215" s="53">
        <f t="shared" si="186"/>
        <v>1</v>
      </c>
      <c r="Z215" s="53">
        <f t="shared" si="187"/>
        <v>0</v>
      </c>
      <c r="AA215" s="53">
        <f t="shared" si="188"/>
        <v>1</v>
      </c>
    </row>
    <row r="216" spans="1:27" ht="18.75" customHeight="1" outlineLevel="6" x14ac:dyDescent="0.3">
      <c r="B216" s="44"/>
      <c r="C216" s="18"/>
      <c r="D216" s="24"/>
      <c r="E216" s="29"/>
      <c r="F216" s="34"/>
      <c r="G216" s="39"/>
      <c r="H216" s="46" t="s">
        <v>257</v>
      </c>
      <c r="I216" s="46" t="s">
        <v>50</v>
      </c>
      <c r="J216" s="47" t="s">
        <v>30</v>
      </c>
      <c r="K216" s="48">
        <v>0.15</v>
      </c>
      <c r="L216" s="49">
        <f>VLOOKUP(H216,[4]Sheet2!K:P,6,0)</f>
        <v>9.0555000000000003E-5</v>
      </c>
      <c r="M216" s="50">
        <f>VLOOKUP(H216,[4]Sheet2!K:Q,7,0)</f>
        <v>2496</v>
      </c>
      <c r="N216" s="51"/>
      <c r="O216" s="51"/>
      <c r="P216" s="51"/>
      <c r="Q216" s="51"/>
      <c r="R216" s="51"/>
      <c r="S216" s="51"/>
      <c r="T216" s="51"/>
      <c r="U216" s="51"/>
      <c r="V216" s="52">
        <f>VLOOKUP(H216,[4]Sheet2!K:N,4,0)</f>
        <v>2496</v>
      </c>
      <c r="W216" s="52">
        <f t="shared" si="185"/>
        <v>0</v>
      </c>
      <c r="X216" s="52">
        <f>VLOOKUP(H216,[4]Sheet2!K:N,4,0)</f>
        <v>2496</v>
      </c>
      <c r="Y216" s="53">
        <f t="shared" si="186"/>
        <v>1</v>
      </c>
      <c r="Z216" s="53">
        <f t="shared" si="187"/>
        <v>0</v>
      </c>
      <c r="AA216" s="53">
        <f t="shared" si="188"/>
        <v>1</v>
      </c>
    </row>
    <row r="217" spans="1:27" ht="18.75" customHeight="1" outlineLevel="6" x14ac:dyDescent="0.3">
      <c r="B217" s="44"/>
      <c r="C217" s="18"/>
      <c r="D217" s="24"/>
      <c r="E217" s="29"/>
      <c r="F217" s="34"/>
      <c r="G217" s="39"/>
      <c r="H217" s="46" t="s">
        <v>258</v>
      </c>
      <c r="I217" s="46" t="s">
        <v>52</v>
      </c>
      <c r="J217" s="47" t="s">
        <v>30</v>
      </c>
      <c r="K217" s="48">
        <v>0.2</v>
      </c>
      <c r="L217" s="49">
        <f>VLOOKUP(H217,[4]Sheet2!K:P,6,0)</f>
        <v>1.2074E-4</v>
      </c>
      <c r="M217" s="50">
        <f>VLOOKUP(H217,[4]Sheet2!K:Q,7,0)</f>
        <v>2496</v>
      </c>
      <c r="N217" s="51"/>
      <c r="O217" s="51"/>
      <c r="P217" s="51"/>
      <c r="Q217" s="51"/>
      <c r="R217" s="51"/>
      <c r="S217" s="51"/>
      <c r="T217" s="51"/>
      <c r="U217" s="51"/>
      <c r="V217" s="52">
        <f>VLOOKUP(H217,[4]Sheet2!K:N,4,0)</f>
        <v>2496</v>
      </c>
      <c r="W217" s="52">
        <f t="shared" si="185"/>
        <v>0</v>
      </c>
      <c r="X217" s="52">
        <f>VLOOKUP(H217,[4]Sheet2!K:N,4,0)</f>
        <v>2496</v>
      </c>
      <c r="Y217" s="53">
        <f t="shared" si="186"/>
        <v>1</v>
      </c>
      <c r="Z217" s="53">
        <f t="shared" si="187"/>
        <v>0</v>
      </c>
      <c r="AA217" s="53">
        <f t="shared" si="188"/>
        <v>1</v>
      </c>
    </row>
    <row r="218" spans="1:27" ht="18.75" customHeight="1" outlineLevel="6" x14ac:dyDescent="0.3">
      <c r="B218" s="44"/>
      <c r="C218" s="18"/>
      <c r="D218" s="24"/>
      <c r="E218" s="29"/>
      <c r="F218" s="34"/>
      <c r="G218" s="39"/>
      <c r="H218" s="46" t="s">
        <v>259</v>
      </c>
      <c r="I218" s="46" t="s">
        <v>54</v>
      </c>
      <c r="J218" s="47" t="s">
        <v>30</v>
      </c>
      <c r="K218" s="48">
        <v>0.05</v>
      </c>
      <c r="L218" s="49">
        <f>VLOOKUP(H218,[4]Sheet2!K:P,6,0)</f>
        <v>3.0185E-5</v>
      </c>
      <c r="M218" s="50">
        <f>VLOOKUP(H218,[4]Sheet2!K:Q,7,0)</f>
        <v>2496</v>
      </c>
      <c r="N218" s="51"/>
      <c r="O218" s="51"/>
      <c r="P218" s="51"/>
      <c r="Q218" s="51"/>
      <c r="R218" s="51"/>
      <c r="S218" s="51"/>
      <c r="T218" s="51"/>
      <c r="U218" s="51"/>
      <c r="V218" s="52">
        <f>VLOOKUP(H218,[4]Sheet2!K:N,4,0)</f>
        <v>2496</v>
      </c>
      <c r="W218" s="52">
        <f t="shared" si="185"/>
        <v>0</v>
      </c>
      <c r="X218" s="52">
        <f>VLOOKUP(H218,[4]Sheet2!K:N,4,0)</f>
        <v>2496</v>
      </c>
      <c r="Y218" s="53">
        <f t="shared" si="186"/>
        <v>1</v>
      </c>
      <c r="Z218" s="53">
        <f t="shared" si="187"/>
        <v>0</v>
      </c>
      <c r="AA218" s="53">
        <f t="shared" si="188"/>
        <v>1</v>
      </c>
    </row>
    <row r="219" spans="1:27" ht="18.75" customHeight="1" outlineLevel="6" x14ac:dyDescent="0.3">
      <c r="B219" s="44"/>
      <c r="C219" s="18"/>
      <c r="D219" s="24"/>
      <c r="E219" s="29"/>
      <c r="F219" s="34"/>
      <c r="G219" s="39"/>
      <c r="H219" s="46" t="s">
        <v>260</v>
      </c>
      <c r="I219" s="46" t="s">
        <v>56</v>
      </c>
      <c r="J219" s="47" t="s">
        <v>30</v>
      </c>
      <c r="K219" s="48">
        <v>0.05</v>
      </c>
      <c r="L219" s="49">
        <f>VLOOKUP(H219,[4]Sheet2!K:P,6,0)</f>
        <v>3.0185E-5</v>
      </c>
      <c r="M219" s="50">
        <f>VLOOKUP(H219,[4]Sheet2!K:Q,7,0)</f>
        <v>2496</v>
      </c>
      <c r="N219" s="51"/>
      <c r="O219" s="51"/>
      <c r="P219" s="51"/>
      <c r="Q219" s="51"/>
      <c r="R219" s="51"/>
      <c r="S219" s="51"/>
      <c r="T219" s="51"/>
      <c r="U219" s="51"/>
      <c r="V219" s="52">
        <f>VLOOKUP(H219,[4]Sheet2!K:N,4,0)</f>
        <v>2496</v>
      </c>
      <c r="W219" s="52">
        <f t="shared" si="185"/>
        <v>0</v>
      </c>
      <c r="X219" s="52">
        <f>VLOOKUP(H219,[4]Sheet2!K:N,4,0)</f>
        <v>2496</v>
      </c>
      <c r="Y219" s="53">
        <f t="shared" si="186"/>
        <v>1</v>
      </c>
      <c r="Z219" s="53">
        <f t="shared" si="187"/>
        <v>0</v>
      </c>
      <c r="AA219" s="53">
        <f t="shared" si="188"/>
        <v>1</v>
      </c>
    </row>
    <row r="220" spans="1:27" ht="18.75" customHeight="1" outlineLevel="5" x14ac:dyDescent="0.3">
      <c r="B220" s="12"/>
      <c r="C220" s="18"/>
      <c r="D220" s="24"/>
      <c r="E220" s="29"/>
      <c r="F220" s="34"/>
      <c r="G220" s="39" t="s">
        <v>261</v>
      </c>
      <c r="H220" s="58"/>
      <c r="I220" s="58"/>
      <c r="J220" s="58"/>
      <c r="K220" s="58"/>
      <c r="L220" s="41">
        <f>SUM(L221:L225)</f>
        <v>4.2757000000000012E-3</v>
      </c>
      <c r="M220" s="42">
        <f>M221</f>
        <v>24780.5</v>
      </c>
      <c r="N220" s="40"/>
      <c r="O220" s="40"/>
      <c r="P220" s="40"/>
      <c r="Q220" s="40"/>
      <c r="R220" s="40"/>
      <c r="S220" s="40"/>
      <c r="T220" s="40"/>
      <c r="U220" s="40"/>
      <c r="V220" s="42">
        <f t="shared" ref="V220:X220" si="189">V221</f>
        <v>24780.5</v>
      </c>
      <c r="W220" s="42">
        <f t="shared" si="189"/>
        <v>0</v>
      </c>
      <c r="X220" s="42">
        <f t="shared" si="189"/>
        <v>24780.5</v>
      </c>
      <c r="Y220" s="43">
        <f>SUMPRODUCT(Y221:Y226,$K221:$K226)</f>
        <v>1.0000000000000002</v>
      </c>
      <c r="Z220" s="43">
        <f t="shared" ref="Z220:AA220" si="190">SUMPRODUCT(Z221:Z226,$K221:$K226)</f>
        <v>0</v>
      </c>
      <c r="AA220" s="43">
        <f t="shared" si="190"/>
        <v>1.0000000000000002</v>
      </c>
    </row>
    <row r="221" spans="1:27" ht="18.75" customHeight="1" outlineLevel="6" x14ac:dyDescent="0.3">
      <c r="B221" s="44"/>
      <c r="C221" s="18"/>
      <c r="D221" s="24"/>
      <c r="E221" s="29"/>
      <c r="F221" s="34"/>
      <c r="G221" s="39"/>
      <c r="H221" s="46" t="s">
        <v>262</v>
      </c>
      <c r="I221" s="46" t="s">
        <v>45</v>
      </c>
      <c r="J221" s="47" t="s">
        <v>59</v>
      </c>
      <c r="K221" s="48">
        <v>0.05</v>
      </c>
      <c r="L221" s="49">
        <f>VLOOKUP(H221,[4]Sheet2!K:P,6,0)</f>
        <v>2.1378500000000003E-4</v>
      </c>
      <c r="M221" s="50">
        <f>VLOOKUP(H221,[4]Sheet2!K:Q,7,0)</f>
        <v>24780.5</v>
      </c>
      <c r="N221" s="51"/>
      <c r="O221" s="51"/>
      <c r="P221" s="51"/>
      <c r="Q221" s="51"/>
      <c r="R221" s="51"/>
      <c r="S221" s="51"/>
      <c r="T221" s="51"/>
      <c r="U221" s="51"/>
      <c r="V221" s="52">
        <f>VLOOKUP(H221,[4]Sheet2!K:N,4,0)</f>
        <v>24780.5</v>
      </c>
      <c r="W221" s="52">
        <f t="shared" ref="W221:W225" si="191">X221-V221</f>
        <v>0</v>
      </c>
      <c r="X221" s="52">
        <f>VLOOKUP(H221,[4]Sheet2!K:N,4,0)</f>
        <v>24780.5</v>
      </c>
      <c r="Y221" s="53">
        <f t="shared" ref="Y221:Y225" si="192">IFERROR(V221/M221,1)</f>
        <v>1</v>
      </c>
      <c r="Z221" s="53">
        <f t="shared" ref="Z221:Z225" si="193">IFERROR(W221/M221,1)</f>
        <v>0</v>
      </c>
      <c r="AA221" s="53">
        <f t="shared" ref="AA221:AA225" si="194">IFERROR(X221/M221,1)</f>
        <v>1</v>
      </c>
    </row>
    <row r="222" spans="1:27" ht="18.75" customHeight="1" outlineLevel="6" x14ac:dyDescent="0.3">
      <c r="A222" s="60" t="s">
        <v>166</v>
      </c>
      <c r="B222" s="44"/>
      <c r="C222" s="18"/>
      <c r="D222" s="24"/>
      <c r="E222" s="29"/>
      <c r="F222" s="34"/>
      <c r="G222" s="39"/>
      <c r="H222" s="46" t="s">
        <v>263</v>
      </c>
      <c r="I222" s="46" t="s">
        <v>168</v>
      </c>
      <c r="J222" s="47" t="s">
        <v>59</v>
      </c>
      <c r="K222" s="48">
        <v>0.65</v>
      </c>
      <c r="L222" s="49">
        <f>VLOOKUP(H222,[4]Sheet2!K:P,6,0)</f>
        <v>2.7792050000000003E-3</v>
      </c>
      <c r="M222" s="50">
        <f>VLOOKUP(H222,[4]Sheet2!K:Q,7,0)</f>
        <v>24780.5</v>
      </c>
      <c r="N222" s="51"/>
      <c r="O222" s="51"/>
      <c r="P222" s="51"/>
      <c r="Q222" s="51"/>
      <c r="R222" s="51"/>
      <c r="S222" s="51"/>
      <c r="T222" s="51"/>
      <c r="U222" s="51"/>
      <c r="V222" s="52">
        <f>VLOOKUP(H222,[4]Sheet2!K:N,4,0)</f>
        <v>24780.5</v>
      </c>
      <c r="W222" s="52">
        <f t="shared" si="191"/>
        <v>0</v>
      </c>
      <c r="X222" s="52">
        <f>VLOOKUP(H222,[4]Sheet2!K:N,4,0)</f>
        <v>24780.5</v>
      </c>
      <c r="Y222" s="53">
        <f t="shared" si="192"/>
        <v>1</v>
      </c>
      <c r="Z222" s="53">
        <f t="shared" si="193"/>
        <v>0</v>
      </c>
      <c r="AA222" s="53">
        <f t="shared" si="194"/>
        <v>1</v>
      </c>
    </row>
    <row r="223" spans="1:27" ht="18.75" customHeight="1" outlineLevel="6" x14ac:dyDescent="0.3">
      <c r="B223" s="44"/>
      <c r="C223" s="18"/>
      <c r="D223" s="24"/>
      <c r="E223" s="29"/>
      <c r="F223" s="34"/>
      <c r="G223" s="39"/>
      <c r="H223" s="46" t="s">
        <v>264</v>
      </c>
      <c r="I223" s="46" t="s">
        <v>170</v>
      </c>
      <c r="J223" s="47" t="s">
        <v>59</v>
      </c>
      <c r="K223" s="48">
        <v>0.2</v>
      </c>
      <c r="L223" s="49">
        <f>VLOOKUP(H223,[4]Sheet2!K:P,6,0)</f>
        <v>8.5514000000000011E-4</v>
      </c>
      <c r="M223" s="50">
        <f>VLOOKUP(H223,[4]Sheet2!K:Q,7,0)</f>
        <v>24780.5</v>
      </c>
      <c r="N223" s="51"/>
      <c r="O223" s="51"/>
      <c r="P223" s="51"/>
      <c r="Q223" s="51"/>
      <c r="R223" s="51"/>
      <c r="S223" s="51"/>
      <c r="T223" s="51"/>
      <c r="U223" s="51"/>
      <c r="V223" s="52">
        <f>VLOOKUP(H223,[4]Sheet2!K:N,4,0)</f>
        <v>24780.5</v>
      </c>
      <c r="W223" s="52">
        <f t="shared" si="191"/>
        <v>0</v>
      </c>
      <c r="X223" s="52">
        <f>VLOOKUP(H223,[4]Sheet2!K:N,4,0)</f>
        <v>24780.5</v>
      </c>
      <c r="Y223" s="53">
        <f t="shared" si="192"/>
        <v>1</v>
      </c>
      <c r="Z223" s="53">
        <f t="shared" si="193"/>
        <v>0</v>
      </c>
      <c r="AA223" s="53">
        <f t="shared" si="194"/>
        <v>1</v>
      </c>
    </row>
    <row r="224" spans="1:27" ht="18.75" customHeight="1" outlineLevel="6" x14ac:dyDescent="0.3">
      <c r="B224" s="44"/>
      <c r="C224" s="18"/>
      <c r="D224" s="24"/>
      <c r="E224" s="29"/>
      <c r="F224" s="34"/>
      <c r="G224" s="39"/>
      <c r="H224" s="46" t="s">
        <v>265</v>
      </c>
      <c r="I224" s="46" t="s">
        <v>172</v>
      </c>
      <c r="J224" s="47" t="s">
        <v>59</v>
      </c>
      <c r="K224" s="48">
        <v>0.05</v>
      </c>
      <c r="L224" s="49">
        <f>VLOOKUP(H224,[4]Sheet2!K:P,6,0)</f>
        <v>2.1378500000000003E-4</v>
      </c>
      <c r="M224" s="50">
        <f>VLOOKUP(H224,[4]Sheet2!K:Q,7,0)</f>
        <v>24780.5</v>
      </c>
      <c r="N224" s="51"/>
      <c r="O224" s="51"/>
      <c r="P224" s="51"/>
      <c r="Q224" s="51"/>
      <c r="R224" s="51"/>
      <c r="S224" s="51"/>
      <c r="T224" s="51"/>
      <c r="U224" s="51"/>
      <c r="V224" s="52">
        <f>VLOOKUP(H224,[4]Sheet2!K:N,4,0)</f>
        <v>24780.5</v>
      </c>
      <c r="W224" s="52">
        <f t="shared" si="191"/>
        <v>0</v>
      </c>
      <c r="X224" s="52">
        <f>VLOOKUP(H224,[4]Sheet2!K:N,4,0)</f>
        <v>24780.5</v>
      </c>
      <c r="Y224" s="53">
        <f t="shared" si="192"/>
        <v>1</v>
      </c>
      <c r="Z224" s="53">
        <f t="shared" si="193"/>
        <v>0</v>
      </c>
      <c r="AA224" s="53">
        <f t="shared" si="194"/>
        <v>1</v>
      </c>
    </row>
    <row r="225" spans="1:27" ht="18.75" customHeight="1" outlineLevel="6" x14ac:dyDescent="0.3">
      <c r="B225" s="44"/>
      <c r="C225" s="18"/>
      <c r="D225" s="24"/>
      <c r="E225" s="29"/>
      <c r="F225" s="34"/>
      <c r="G225" s="39"/>
      <c r="H225" s="46" t="s">
        <v>266</v>
      </c>
      <c r="I225" s="46" t="s">
        <v>56</v>
      </c>
      <c r="J225" s="47" t="s">
        <v>59</v>
      </c>
      <c r="K225" s="48">
        <v>0.05</v>
      </c>
      <c r="L225" s="49">
        <f>VLOOKUP(H225,[4]Sheet2!K:P,6,0)</f>
        <v>2.1378500000000003E-4</v>
      </c>
      <c r="M225" s="50">
        <f>VLOOKUP(H225,[4]Sheet2!K:Q,7,0)</f>
        <v>24780.5</v>
      </c>
      <c r="N225" s="51"/>
      <c r="O225" s="51"/>
      <c r="P225" s="51"/>
      <c r="Q225" s="51"/>
      <c r="R225" s="51"/>
      <c r="S225" s="51"/>
      <c r="T225" s="51"/>
      <c r="U225" s="51"/>
      <c r="V225" s="52">
        <f>VLOOKUP(H225,[4]Sheet2!K:N,4,0)</f>
        <v>24780.5</v>
      </c>
      <c r="W225" s="52">
        <f t="shared" si="191"/>
        <v>0</v>
      </c>
      <c r="X225" s="52">
        <f>VLOOKUP(H225,[4]Sheet2!K:N,4,0)</f>
        <v>24780.5</v>
      </c>
      <c r="Y225" s="53">
        <f t="shared" si="192"/>
        <v>1</v>
      </c>
      <c r="Z225" s="53">
        <f t="shared" si="193"/>
        <v>0</v>
      </c>
      <c r="AA225" s="53">
        <f t="shared" si="194"/>
        <v>1</v>
      </c>
    </row>
    <row r="226" spans="1:27" ht="18.75" customHeight="1" outlineLevel="4" x14ac:dyDescent="0.3">
      <c r="B226" s="12"/>
      <c r="C226" s="18"/>
      <c r="D226" s="24"/>
      <c r="E226" s="29"/>
      <c r="F226" s="34" t="s">
        <v>267</v>
      </c>
      <c r="G226" s="34"/>
      <c r="H226" s="57"/>
      <c r="I226" s="57"/>
      <c r="J226" s="57"/>
      <c r="K226" s="57"/>
      <c r="L226" s="36">
        <f>L227+L231</f>
        <v>0.02</v>
      </c>
      <c r="M226" s="37">
        <f>M227+M231</f>
        <v>2160</v>
      </c>
      <c r="N226" s="35"/>
      <c r="O226" s="35"/>
      <c r="P226" s="35"/>
      <c r="Q226" s="35"/>
      <c r="R226" s="35"/>
      <c r="S226" s="35"/>
      <c r="T226" s="35"/>
      <c r="U226" s="35"/>
      <c r="V226" s="61">
        <f t="shared" ref="V226:X226" si="195">(V227*$L227+V231*$L231)/$L226</f>
        <v>0</v>
      </c>
      <c r="W226" s="61">
        <f t="shared" si="195"/>
        <v>0</v>
      </c>
      <c r="X226" s="61">
        <f t="shared" si="195"/>
        <v>0</v>
      </c>
      <c r="Y226" s="38">
        <f>(Y227*$L227+Y231*$L231)/$L226</f>
        <v>0</v>
      </c>
      <c r="Z226" s="38">
        <f t="shared" ref="Z226:AA226" si="196">(Z227*$L227+Z231*$L231)/$L226</f>
        <v>0</v>
      </c>
      <c r="AA226" s="38">
        <f t="shared" si="196"/>
        <v>0</v>
      </c>
    </row>
    <row r="227" spans="1:27" ht="18.75" customHeight="1" outlineLevel="5" x14ac:dyDescent="0.3">
      <c r="B227" s="12"/>
      <c r="C227" s="18"/>
      <c r="D227" s="24"/>
      <c r="E227" s="29"/>
      <c r="F227" s="34"/>
      <c r="G227" s="39" t="s">
        <v>268</v>
      </c>
      <c r="H227" s="58"/>
      <c r="I227" s="58"/>
      <c r="J227" s="58"/>
      <c r="K227" s="58"/>
      <c r="L227" s="41">
        <f>SUM(L228:L230)</f>
        <v>0.01</v>
      </c>
      <c r="M227" s="42">
        <f>M228</f>
        <v>1500</v>
      </c>
      <c r="N227" s="40"/>
      <c r="O227" s="40"/>
      <c r="P227" s="40"/>
      <c r="Q227" s="40"/>
      <c r="R227" s="40"/>
      <c r="S227" s="40"/>
      <c r="T227" s="40"/>
      <c r="U227" s="40"/>
      <c r="V227" s="62">
        <f t="shared" ref="V227:X227" si="197">SUMPRODUCT(V228:V230,$K228:$K230)</f>
        <v>0</v>
      </c>
      <c r="W227" s="62">
        <f t="shared" si="197"/>
        <v>0</v>
      </c>
      <c r="X227" s="62">
        <f t="shared" si="197"/>
        <v>0</v>
      </c>
      <c r="Y227" s="43">
        <f>SUMPRODUCT(Y228:Y230,$K228:$K230)</f>
        <v>0</v>
      </c>
      <c r="Z227" s="43">
        <f t="shared" ref="Z227:AA227" si="198">SUMPRODUCT(Z228:Z230,$K228:$K230)</f>
        <v>0</v>
      </c>
      <c r="AA227" s="43">
        <f t="shared" si="198"/>
        <v>0</v>
      </c>
    </row>
    <row r="228" spans="1:27" ht="18.75" customHeight="1" outlineLevel="6" x14ac:dyDescent="0.3">
      <c r="A228" s="60" t="s">
        <v>46</v>
      </c>
      <c r="B228" s="44"/>
      <c r="C228" s="18"/>
      <c r="D228" s="24"/>
      <c r="E228" s="29"/>
      <c r="F228" s="34"/>
      <c r="G228" s="39"/>
      <c r="H228" s="46" t="s">
        <v>269</v>
      </c>
      <c r="I228" s="46" t="s">
        <v>48</v>
      </c>
      <c r="J228" s="47" t="s">
        <v>59</v>
      </c>
      <c r="K228" s="48">
        <v>0.5</v>
      </c>
      <c r="L228" s="49">
        <f>VLOOKUP(H228,[4]Sheet2!K:P,6,0)</f>
        <v>5.0000000000000001E-3</v>
      </c>
      <c r="M228" s="50">
        <f>VLOOKUP(H228,[4]Sheet2!K:Q,7,0)</f>
        <v>1500</v>
      </c>
      <c r="N228" s="51"/>
      <c r="O228" s="51"/>
      <c r="P228" s="51"/>
      <c r="Q228" s="51"/>
      <c r="R228" s="51"/>
      <c r="S228" s="51"/>
      <c r="T228" s="51"/>
      <c r="U228" s="51"/>
      <c r="V228" s="52">
        <f>VLOOKUP(H228,[4]Sheet2!K:N,4,0)</f>
        <v>0</v>
      </c>
      <c r="W228" s="52">
        <f t="shared" ref="W228:W230" si="199">X228-V228</f>
        <v>0</v>
      </c>
      <c r="X228" s="52">
        <f>VLOOKUP(H228,[4]Sheet2!K:N,4,0)</f>
        <v>0</v>
      </c>
      <c r="Y228" s="53">
        <f t="shared" ref="Y228:Y230" si="200">IFERROR(V228/M228,1)</f>
        <v>0</v>
      </c>
      <c r="Z228" s="53">
        <f t="shared" ref="Z228:Z230" si="201">IFERROR(W228/M228,1)</f>
        <v>0</v>
      </c>
      <c r="AA228" s="53">
        <f t="shared" ref="AA228:AA230" si="202">IFERROR(X228/M228,1)</f>
        <v>0</v>
      </c>
    </row>
    <row r="229" spans="1:27" ht="18.75" customHeight="1" outlineLevel="6" x14ac:dyDescent="0.3">
      <c r="B229" s="44"/>
      <c r="C229" s="18"/>
      <c r="D229" s="24"/>
      <c r="E229" s="29"/>
      <c r="F229" s="34"/>
      <c r="G229" s="39"/>
      <c r="H229" s="46" t="s">
        <v>270</v>
      </c>
      <c r="I229" s="46" t="s">
        <v>271</v>
      </c>
      <c r="J229" s="47" t="s">
        <v>59</v>
      </c>
      <c r="K229" s="48">
        <v>0.25</v>
      </c>
      <c r="L229" s="49">
        <f>VLOOKUP(H229,[4]Sheet2!K:P,6,0)</f>
        <v>2.5000000000000001E-3</v>
      </c>
      <c r="M229" s="50">
        <f>VLOOKUP(H229,[4]Sheet2!K:Q,7,0)</f>
        <v>1500</v>
      </c>
      <c r="N229" s="51"/>
      <c r="O229" s="51"/>
      <c r="P229" s="51"/>
      <c r="Q229" s="51"/>
      <c r="R229" s="51"/>
      <c r="S229" s="51"/>
      <c r="T229" s="51"/>
      <c r="U229" s="51"/>
      <c r="V229" s="52">
        <f>VLOOKUP(H229,[4]Sheet2!K:N,4,0)</f>
        <v>0</v>
      </c>
      <c r="W229" s="52">
        <f t="shared" si="199"/>
        <v>0</v>
      </c>
      <c r="X229" s="52">
        <f>VLOOKUP(H229,[4]Sheet2!K:N,4,0)</f>
        <v>0</v>
      </c>
      <c r="Y229" s="53">
        <f t="shared" si="200"/>
        <v>0</v>
      </c>
      <c r="Z229" s="53">
        <f t="shared" si="201"/>
        <v>0</v>
      </c>
      <c r="AA229" s="53">
        <f t="shared" si="202"/>
        <v>0</v>
      </c>
    </row>
    <row r="230" spans="1:27" ht="18.75" customHeight="1" outlineLevel="6" x14ac:dyDescent="0.3">
      <c r="B230" s="44"/>
      <c r="C230" s="18"/>
      <c r="D230" s="24"/>
      <c r="E230" s="29"/>
      <c r="F230" s="34"/>
      <c r="G230" s="39"/>
      <c r="H230" s="46" t="s">
        <v>272</v>
      </c>
      <c r="I230" s="46" t="s">
        <v>56</v>
      </c>
      <c r="J230" s="47" t="s">
        <v>59</v>
      </c>
      <c r="K230" s="48">
        <v>0.25</v>
      </c>
      <c r="L230" s="49">
        <f>VLOOKUP(H230,[4]Sheet2!K:P,6,0)</f>
        <v>2.5000000000000001E-3</v>
      </c>
      <c r="M230" s="50">
        <f>VLOOKUP(H230,[4]Sheet2!K:Q,7,0)</f>
        <v>1500</v>
      </c>
      <c r="N230" s="51"/>
      <c r="O230" s="51"/>
      <c r="P230" s="51"/>
      <c r="Q230" s="51"/>
      <c r="R230" s="51"/>
      <c r="S230" s="51"/>
      <c r="T230" s="51"/>
      <c r="U230" s="51"/>
      <c r="V230" s="52">
        <f>VLOOKUP(H230,[4]Sheet2!K:N,4,0)</f>
        <v>0</v>
      </c>
      <c r="W230" s="52">
        <f t="shared" si="199"/>
        <v>0</v>
      </c>
      <c r="X230" s="52">
        <f>VLOOKUP(H230,[4]Sheet2!K:N,4,0)</f>
        <v>0</v>
      </c>
      <c r="Y230" s="53">
        <f t="shared" si="200"/>
        <v>0</v>
      </c>
      <c r="Z230" s="53">
        <f t="shared" si="201"/>
        <v>0</v>
      </c>
      <c r="AA230" s="53">
        <f t="shared" si="202"/>
        <v>0</v>
      </c>
    </row>
    <row r="231" spans="1:27" ht="18.75" customHeight="1" outlineLevel="5" x14ac:dyDescent="0.3">
      <c r="B231" s="12"/>
      <c r="C231" s="18"/>
      <c r="D231" s="24"/>
      <c r="E231" s="29"/>
      <c r="F231" s="34"/>
      <c r="G231" s="39" t="s">
        <v>273</v>
      </c>
      <c r="H231" s="58"/>
      <c r="I231" s="58"/>
      <c r="J231" s="58"/>
      <c r="K231" s="58"/>
      <c r="L231" s="41">
        <f>SUM(L232:L234)</f>
        <v>0.01</v>
      </c>
      <c r="M231" s="42">
        <f>M232</f>
        <v>660</v>
      </c>
      <c r="N231" s="40"/>
      <c r="O231" s="40"/>
      <c r="P231" s="40"/>
      <c r="Q231" s="40"/>
      <c r="R231" s="40"/>
      <c r="S231" s="40"/>
      <c r="T231" s="40"/>
      <c r="U231" s="40"/>
      <c r="V231" s="62">
        <f t="shared" ref="V231:AA231" si="203">V232</f>
        <v>0</v>
      </c>
      <c r="W231" s="62">
        <f t="shared" si="203"/>
        <v>0</v>
      </c>
      <c r="X231" s="62">
        <f t="shared" si="203"/>
        <v>0</v>
      </c>
      <c r="Y231" s="43">
        <f t="shared" si="203"/>
        <v>0</v>
      </c>
      <c r="Z231" s="43">
        <f t="shared" si="203"/>
        <v>0</v>
      </c>
      <c r="AA231" s="43">
        <f t="shared" si="203"/>
        <v>0</v>
      </c>
    </row>
    <row r="232" spans="1:27" ht="18.75" customHeight="1" outlineLevel="6" x14ac:dyDescent="0.3">
      <c r="A232" s="60" t="s">
        <v>46</v>
      </c>
      <c r="B232" s="44"/>
      <c r="C232" s="18"/>
      <c r="D232" s="24"/>
      <c r="E232" s="29"/>
      <c r="F232" s="34"/>
      <c r="G232" s="39"/>
      <c r="H232" s="46" t="s">
        <v>274</v>
      </c>
      <c r="I232" s="46" t="s">
        <v>48</v>
      </c>
      <c r="J232" s="47" t="s">
        <v>59</v>
      </c>
      <c r="K232" s="48">
        <v>0.5</v>
      </c>
      <c r="L232" s="49">
        <f>VLOOKUP(H232,[4]Sheet2!K:P,6,0)</f>
        <v>5.0000000000000001E-3</v>
      </c>
      <c r="M232" s="50">
        <f>VLOOKUP(H232,[4]Sheet2!K:Q,7,0)</f>
        <v>660</v>
      </c>
      <c r="N232" s="51"/>
      <c r="O232" s="51"/>
      <c r="P232" s="51"/>
      <c r="Q232" s="51"/>
      <c r="R232" s="51"/>
      <c r="S232" s="51"/>
      <c r="T232" s="51"/>
      <c r="U232" s="51"/>
      <c r="V232" s="52">
        <f>VLOOKUP(H232,[4]Sheet2!K:N,4,0)</f>
        <v>0</v>
      </c>
      <c r="W232" s="52">
        <f t="shared" ref="W232:W234" si="204">X232-V232</f>
        <v>0</v>
      </c>
      <c r="X232" s="52">
        <f>VLOOKUP(H232,[4]Sheet2!K:N,4,0)</f>
        <v>0</v>
      </c>
      <c r="Y232" s="53">
        <f t="shared" ref="Y232:Y234" si="205">IFERROR(V232/M232,1)</f>
        <v>0</v>
      </c>
      <c r="Z232" s="53">
        <f t="shared" ref="Z232:Z234" si="206">IFERROR(W232/M232,1)</f>
        <v>0</v>
      </c>
      <c r="AA232" s="53">
        <f t="shared" ref="AA232:AA234" si="207">IFERROR(X232/M232,1)</f>
        <v>0</v>
      </c>
    </row>
    <row r="233" spans="1:27" ht="18.75" customHeight="1" outlineLevel="6" x14ac:dyDescent="0.3">
      <c r="B233" s="44"/>
      <c r="C233" s="18"/>
      <c r="D233" s="24"/>
      <c r="E233" s="29"/>
      <c r="F233" s="34"/>
      <c r="G233" s="39"/>
      <c r="H233" s="46" t="s">
        <v>275</v>
      </c>
      <c r="I233" s="46" t="s">
        <v>271</v>
      </c>
      <c r="J233" s="47" t="s">
        <v>59</v>
      </c>
      <c r="K233" s="48">
        <v>0.25</v>
      </c>
      <c r="L233" s="49">
        <f>VLOOKUP(H233,[4]Sheet2!K:P,6,0)</f>
        <v>2.5000000000000001E-3</v>
      </c>
      <c r="M233" s="50">
        <f>VLOOKUP(H233,[4]Sheet2!K:Q,7,0)</f>
        <v>660</v>
      </c>
      <c r="N233" s="51"/>
      <c r="O233" s="51"/>
      <c r="P233" s="51"/>
      <c r="Q233" s="51"/>
      <c r="R233" s="51"/>
      <c r="S233" s="51"/>
      <c r="T233" s="51"/>
      <c r="U233" s="51"/>
      <c r="V233" s="52">
        <f>VLOOKUP(H233,[4]Sheet2!K:N,4,0)</f>
        <v>0</v>
      </c>
      <c r="W233" s="52">
        <f t="shared" si="204"/>
        <v>0</v>
      </c>
      <c r="X233" s="52">
        <f>VLOOKUP(H233,[4]Sheet2!K:N,4,0)</f>
        <v>0</v>
      </c>
      <c r="Y233" s="53">
        <f t="shared" si="205"/>
        <v>0</v>
      </c>
      <c r="Z233" s="53">
        <f t="shared" si="206"/>
        <v>0</v>
      </c>
      <c r="AA233" s="53">
        <f t="shared" si="207"/>
        <v>0</v>
      </c>
    </row>
    <row r="234" spans="1:27" ht="18.75" customHeight="1" outlineLevel="6" x14ac:dyDescent="0.3">
      <c r="B234" s="44"/>
      <c r="C234" s="18"/>
      <c r="D234" s="24"/>
      <c r="E234" s="29"/>
      <c r="F234" s="34"/>
      <c r="G234" s="39"/>
      <c r="H234" s="46" t="s">
        <v>276</v>
      </c>
      <c r="I234" s="46" t="s">
        <v>56</v>
      </c>
      <c r="J234" s="47" t="s">
        <v>59</v>
      </c>
      <c r="K234" s="48">
        <v>0.25</v>
      </c>
      <c r="L234" s="49">
        <f>VLOOKUP(H234,[4]Sheet2!K:P,6,0)</f>
        <v>2.5000000000000001E-3</v>
      </c>
      <c r="M234" s="50">
        <f>VLOOKUP(H234,[4]Sheet2!K:Q,7,0)</f>
        <v>660</v>
      </c>
      <c r="N234" s="51"/>
      <c r="O234" s="51"/>
      <c r="P234" s="51"/>
      <c r="Q234" s="51"/>
      <c r="R234" s="51"/>
      <c r="S234" s="51"/>
      <c r="T234" s="51"/>
      <c r="U234" s="51"/>
      <c r="V234" s="52">
        <f>VLOOKUP(H234,[4]Sheet2!K:N,4,0)</f>
        <v>0</v>
      </c>
      <c r="W234" s="52">
        <f t="shared" si="204"/>
        <v>0</v>
      </c>
      <c r="X234" s="52">
        <f>VLOOKUP(H234,[4]Sheet2!K:N,4,0)</f>
        <v>0</v>
      </c>
      <c r="Y234" s="53">
        <f t="shared" si="205"/>
        <v>0</v>
      </c>
      <c r="Z234" s="53">
        <f t="shared" si="206"/>
        <v>0</v>
      </c>
      <c r="AA234" s="53">
        <f t="shared" si="207"/>
        <v>0</v>
      </c>
    </row>
    <row r="235" spans="1:27" ht="18.75" customHeight="1" outlineLevel="3" x14ac:dyDescent="0.3">
      <c r="B235" s="12"/>
      <c r="C235" s="18"/>
      <c r="D235" s="24"/>
      <c r="E235" s="29" t="s">
        <v>277</v>
      </c>
      <c r="F235" s="29"/>
      <c r="G235" s="29"/>
      <c r="H235" s="56"/>
      <c r="I235" s="56"/>
      <c r="J235" s="56"/>
      <c r="K235" s="56"/>
      <c r="L235" s="31">
        <f>L236+L244+L323</f>
        <v>4.4999999999999998E-2</v>
      </c>
      <c r="M235" s="32">
        <f>M236+M244+M323</f>
        <v>189708.2</v>
      </c>
      <c r="N235" s="30"/>
      <c r="O235" s="30"/>
      <c r="P235" s="30"/>
      <c r="Q235" s="30"/>
      <c r="R235" s="30"/>
      <c r="S235" s="30"/>
      <c r="T235" s="30"/>
      <c r="U235" s="30"/>
      <c r="V235" s="63">
        <f t="shared" ref="V235:X235" si="208">(V236*$L236+V244*$L244+V323*$L323)/$L235</f>
        <v>10418.008888888889</v>
      </c>
      <c r="W235" s="63">
        <f t="shared" si="208"/>
        <v>0</v>
      </c>
      <c r="X235" s="63">
        <f t="shared" si="208"/>
        <v>10418.008888888889</v>
      </c>
      <c r="Y235" s="33">
        <f>(Y236*$L236+Y244*$L244+Y323*$L323)/$L235</f>
        <v>0.36112601946856093</v>
      </c>
      <c r="Z235" s="33">
        <f t="shared" ref="Z235:AA235" si="209">(Z236*$L236+Z244*$L244+Z323*$L323)/$L235</f>
        <v>0</v>
      </c>
      <c r="AA235" s="33">
        <f t="shared" si="209"/>
        <v>0.36112601946856093</v>
      </c>
    </row>
    <row r="236" spans="1:27" ht="18.75" customHeight="1" outlineLevel="4" x14ac:dyDescent="0.3">
      <c r="B236" s="12"/>
      <c r="C236" s="18"/>
      <c r="D236" s="24"/>
      <c r="E236" s="29"/>
      <c r="F236" s="34" t="s">
        <v>278</v>
      </c>
      <c r="G236" s="34"/>
      <c r="H236" s="57"/>
      <c r="I236" s="57"/>
      <c r="J236" s="57"/>
      <c r="K236" s="57"/>
      <c r="L236" s="36">
        <f>L237</f>
        <v>0.02</v>
      </c>
      <c r="M236" s="37">
        <f>M237</f>
        <v>40200</v>
      </c>
      <c r="N236" s="35"/>
      <c r="O236" s="35"/>
      <c r="P236" s="35"/>
      <c r="Q236" s="35"/>
      <c r="R236" s="35"/>
      <c r="S236" s="35"/>
      <c r="T236" s="35"/>
      <c r="U236" s="35"/>
      <c r="V236" s="61">
        <f t="shared" ref="V236:X236" si="210">(V237*$L237)/$L236</f>
        <v>22110</v>
      </c>
      <c r="W236" s="61">
        <f t="shared" si="210"/>
        <v>0</v>
      </c>
      <c r="X236" s="61">
        <f t="shared" si="210"/>
        <v>22110</v>
      </c>
      <c r="Y236" s="38">
        <f>(Y237*$L237)/$L236</f>
        <v>0.55000000000000004</v>
      </c>
      <c r="Z236" s="38">
        <f t="shared" ref="Z236:AA236" si="211">(Z237*$L237)/$L236</f>
        <v>0</v>
      </c>
      <c r="AA236" s="38">
        <f t="shared" si="211"/>
        <v>0.55000000000000004</v>
      </c>
    </row>
    <row r="237" spans="1:27" ht="18.75" customHeight="1" outlineLevel="5" x14ac:dyDescent="0.3">
      <c r="B237" s="12"/>
      <c r="C237" s="18"/>
      <c r="D237" s="24"/>
      <c r="E237" s="29"/>
      <c r="F237" s="34"/>
      <c r="G237" s="39" t="s">
        <v>279</v>
      </c>
      <c r="H237" s="58"/>
      <c r="I237" s="58"/>
      <c r="J237" s="58"/>
      <c r="K237" s="58"/>
      <c r="L237" s="41">
        <f>SUM(L238:L243)</f>
        <v>0.02</v>
      </c>
      <c r="M237" s="42">
        <f>M238</f>
        <v>40200</v>
      </c>
      <c r="N237" s="40"/>
      <c r="O237" s="40"/>
      <c r="P237" s="40"/>
      <c r="Q237" s="40"/>
      <c r="R237" s="40"/>
      <c r="S237" s="40"/>
      <c r="T237" s="40"/>
      <c r="U237" s="40"/>
      <c r="V237" s="62">
        <f t="shared" ref="V237:X237" si="212">SUMPRODUCT(V238:V243,$K238:$K243)</f>
        <v>22110</v>
      </c>
      <c r="W237" s="62">
        <f t="shared" si="212"/>
        <v>0</v>
      </c>
      <c r="X237" s="62">
        <f t="shared" si="212"/>
        <v>22110</v>
      </c>
      <c r="Y237" s="43">
        <f>SUMPRODUCT(Y238:Y243,$K238:$K243)</f>
        <v>0.55000000000000004</v>
      </c>
      <c r="Z237" s="43">
        <f t="shared" ref="Z237:AA237" si="213">SUMPRODUCT(Z238:Z243,$K238:$K243)</f>
        <v>0</v>
      </c>
      <c r="AA237" s="43">
        <f t="shared" si="213"/>
        <v>0.55000000000000004</v>
      </c>
    </row>
    <row r="238" spans="1:27" ht="18.75" customHeight="1" outlineLevel="6" x14ac:dyDescent="0.3">
      <c r="B238" s="44"/>
      <c r="C238" s="18"/>
      <c r="D238" s="24"/>
      <c r="E238" s="29"/>
      <c r="F238" s="34"/>
      <c r="G238" s="39"/>
      <c r="H238" s="46" t="s">
        <v>280</v>
      </c>
      <c r="I238" s="46" t="s">
        <v>45</v>
      </c>
      <c r="J238" s="47" t="s">
        <v>59</v>
      </c>
      <c r="K238" s="48">
        <v>0.05</v>
      </c>
      <c r="L238" s="49">
        <f>VLOOKUP(H238,[4]Sheet2!K:P,6,0)</f>
        <v>1E-3</v>
      </c>
      <c r="M238" s="50">
        <f>VLOOKUP(H238,[4]Sheet2!K:Q,7,0)</f>
        <v>40200</v>
      </c>
      <c r="N238" s="51"/>
      <c r="O238" s="51"/>
      <c r="P238" s="51"/>
      <c r="Q238" s="51"/>
      <c r="R238" s="51"/>
      <c r="S238" s="51"/>
      <c r="T238" s="51"/>
      <c r="U238" s="51"/>
      <c r="V238" s="52">
        <f>VLOOKUP(H238,[4]Sheet2!K:N,4,0)</f>
        <v>40200</v>
      </c>
      <c r="W238" s="52">
        <f t="shared" ref="W238:W243" si="214">X238-V238</f>
        <v>0</v>
      </c>
      <c r="X238" s="52">
        <f>VLOOKUP(H238,[4]Sheet2!K:N,4,0)</f>
        <v>40200</v>
      </c>
      <c r="Y238" s="53">
        <f t="shared" ref="Y238:Y243" si="215">IFERROR(V238/M238,1)</f>
        <v>1</v>
      </c>
      <c r="Z238" s="53">
        <f t="shared" ref="Z238:Z243" si="216">IFERROR(W238/M238,1)</f>
        <v>0</v>
      </c>
      <c r="AA238" s="53">
        <f t="shared" ref="AA238:AA243" si="217">IFERROR(X238/M238,1)</f>
        <v>1</v>
      </c>
    </row>
    <row r="239" spans="1:27" ht="18.75" customHeight="1" outlineLevel="6" x14ac:dyDescent="0.3">
      <c r="A239" s="1" t="s">
        <v>281</v>
      </c>
      <c r="B239" s="44"/>
      <c r="C239" s="18"/>
      <c r="D239" s="24"/>
      <c r="E239" s="29"/>
      <c r="F239" s="34"/>
      <c r="G239" s="39"/>
      <c r="H239" s="46" t="s">
        <v>282</v>
      </c>
      <c r="I239" s="46" t="s">
        <v>283</v>
      </c>
      <c r="J239" s="47" t="s">
        <v>59</v>
      </c>
      <c r="K239" s="48">
        <v>0.5</v>
      </c>
      <c r="L239" s="49">
        <f>VLOOKUP(H239,[4]Sheet2!K:P,6,0)</f>
        <v>0.01</v>
      </c>
      <c r="M239" s="50">
        <f>VLOOKUP(H239,[4]Sheet2!K:Q,7,0)</f>
        <v>40200</v>
      </c>
      <c r="N239" s="51"/>
      <c r="O239" s="51"/>
      <c r="P239" s="51"/>
      <c r="Q239" s="51"/>
      <c r="R239" s="51"/>
      <c r="S239" s="51"/>
      <c r="T239" s="51"/>
      <c r="U239" s="51"/>
      <c r="V239" s="52">
        <f>VLOOKUP(H239,[4]Sheet2!K:N,4,0)</f>
        <v>40200</v>
      </c>
      <c r="W239" s="52">
        <f t="shared" si="214"/>
        <v>0</v>
      </c>
      <c r="X239" s="52">
        <f>VLOOKUP(H239,[4]Sheet2!K:N,4,0)</f>
        <v>40200</v>
      </c>
      <c r="Y239" s="53">
        <f t="shared" si="215"/>
        <v>1</v>
      </c>
      <c r="Z239" s="53">
        <f t="shared" si="216"/>
        <v>0</v>
      </c>
      <c r="AA239" s="53">
        <f t="shared" si="217"/>
        <v>1</v>
      </c>
    </row>
    <row r="240" spans="1:27" ht="18.75" customHeight="1" outlineLevel="6" x14ac:dyDescent="0.3">
      <c r="B240" s="44"/>
      <c r="C240" s="18"/>
      <c r="D240" s="24"/>
      <c r="E240" s="29"/>
      <c r="F240" s="34"/>
      <c r="G240" s="39"/>
      <c r="H240" s="46" t="s">
        <v>284</v>
      </c>
      <c r="I240" s="46" t="s">
        <v>285</v>
      </c>
      <c r="J240" s="47" t="s">
        <v>59</v>
      </c>
      <c r="K240" s="48">
        <v>0.2</v>
      </c>
      <c r="L240" s="49">
        <f>VLOOKUP(H240,[4]Sheet2!K:P,6,0)</f>
        <v>4.0000000000000001E-3</v>
      </c>
      <c r="M240" s="50">
        <f>VLOOKUP(H240,[4]Sheet2!K:Q,7,0)</f>
        <v>40200</v>
      </c>
      <c r="N240" s="51"/>
      <c r="O240" s="51"/>
      <c r="P240" s="51"/>
      <c r="Q240" s="51"/>
      <c r="R240" s="51"/>
      <c r="S240" s="51"/>
      <c r="T240" s="51"/>
      <c r="U240" s="51"/>
      <c r="V240" s="52">
        <f>VLOOKUP(H240,[4]Sheet2!K:N,4,0)</f>
        <v>0</v>
      </c>
      <c r="W240" s="52">
        <f t="shared" si="214"/>
        <v>0</v>
      </c>
      <c r="X240" s="52">
        <f>VLOOKUP(H240,[4]Sheet2!K:N,4,0)</f>
        <v>0</v>
      </c>
      <c r="Y240" s="53">
        <f t="shared" si="215"/>
        <v>0</v>
      </c>
      <c r="Z240" s="53">
        <f t="shared" si="216"/>
        <v>0</v>
      </c>
      <c r="AA240" s="53">
        <f t="shared" si="217"/>
        <v>0</v>
      </c>
    </row>
    <row r="241" spans="1:27" ht="18.75" customHeight="1" outlineLevel="6" x14ac:dyDescent="0.3">
      <c r="B241" s="44"/>
      <c r="C241" s="18"/>
      <c r="D241" s="24"/>
      <c r="E241" s="29"/>
      <c r="F241" s="34"/>
      <c r="G241" s="39"/>
      <c r="H241" s="46" t="s">
        <v>286</v>
      </c>
      <c r="I241" s="46" t="s">
        <v>287</v>
      </c>
      <c r="J241" s="47" t="s">
        <v>59</v>
      </c>
      <c r="K241" s="48">
        <v>0.15</v>
      </c>
      <c r="L241" s="49">
        <f>VLOOKUP(H241,[4]Sheet2!K:P,6,0)</f>
        <v>3.0000000000000001E-3</v>
      </c>
      <c r="M241" s="50">
        <f>VLOOKUP(H241,[4]Sheet2!K:Q,7,0)</f>
        <v>40200</v>
      </c>
      <c r="N241" s="51"/>
      <c r="O241" s="51"/>
      <c r="P241" s="51"/>
      <c r="Q241" s="51"/>
      <c r="R241" s="51"/>
      <c r="S241" s="51"/>
      <c r="T241" s="51"/>
      <c r="U241" s="51"/>
      <c r="V241" s="52">
        <f>VLOOKUP(H241,[4]Sheet2!K:N,4,0)</f>
        <v>0</v>
      </c>
      <c r="W241" s="52">
        <f t="shared" si="214"/>
        <v>0</v>
      </c>
      <c r="X241" s="52">
        <f>VLOOKUP(H241,[4]Sheet2!K:N,4,0)</f>
        <v>0</v>
      </c>
      <c r="Y241" s="53">
        <f t="shared" si="215"/>
        <v>0</v>
      </c>
      <c r="Z241" s="53">
        <f t="shared" si="216"/>
        <v>0</v>
      </c>
      <c r="AA241" s="53">
        <f t="shared" si="217"/>
        <v>0</v>
      </c>
    </row>
    <row r="242" spans="1:27" ht="18.75" customHeight="1" outlineLevel="6" x14ac:dyDescent="0.3">
      <c r="B242" s="44"/>
      <c r="C242" s="18"/>
      <c r="D242" s="24"/>
      <c r="E242" s="29"/>
      <c r="F242" s="34"/>
      <c r="G242" s="39"/>
      <c r="H242" s="46" t="s">
        <v>288</v>
      </c>
      <c r="I242" s="46" t="s">
        <v>71</v>
      </c>
      <c r="J242" s="47" t="s">
        <v>59</v>
      </c>
      <c r="K242" s="48">
        <v>0.05</v>
      </c>
      <c r="L242" s="49">
        <f>VLOOKUP(H242,[4]Sheet2!K:P,6,0)</f>
        <v>1E-3</v>
      </c>
      <c r="M242" s="50">
        <f>VLOOKUP(H242,[4]Sheet2!K:Q,7,0)</f>
        <v>40200</v>
      </c>
      <c r="N242" s="51"/>
      <c r="O242" s="51"/>
      <c r="P242" s="51"/>
      <c r="Q242" s="51"/>
      <c r="R242" s="51"/>
      <c r="S242" s="51"/>
      <c r="T242" s="51"/>
      <c r="U242" s="51"/>
      <c r="V242" s="52">
        <f>VLOOKUP(H242,[4]Sheet2!K:N,4,0)</f>
        <v>0</v>
      </c>
      <c r="W242" s="52">
        <f t="shared" si="214"/>
        <v>0</v>
      </c>
      <c r="X242" s="52">
        <f>VLOOKUP(H242,[4]Sheet2!K:N,4,0)</f>
        <v>0</v>
      </c>
      <c r="Y242" s="53">
        <f t="shared" si="215"/>
        <v>0</v>
      </c>
      <c r="Z242" s="53">
        <f t="shared" si="216"/>
        <v>0</v>
      </c>
      <c r="AA242" s="53">
        <f t="shared" si="217"/>
        <v>0</v>
      </c>
    </row>
    <row r="243" spans="1:27" ht="18.75" customHeight="1" outlineLevel="6" x14ac:dyDescent="0.3">
      <c r="B243" s="44"/>
      <c r="C243" s="18"/>
      <c r="D243" s="24"/>
      <c r="E243" s="29"/>
      <c r="F243" s="34"/>
      <c r="G243" s="39"/>
      <c r="H243" s="46" t="s">
        <v>289</v>
      </c>
      <c r="I243" s="46" t="s">
        <v>56</v>
      </c>
      <c r="J243" s="47" t="s">
        <v>59</v>
      </c>
      <c r="K243" s="48">
        <v>0.05</v>
      </c>
      <c r="L243" s="49">
        <f>VLOOKUP(H243,[4]Sheet2!K:P,6,0)</f>
        <v>1E-3</v>
      </c>
      <c r="M243" s="50">
        <f>VLOOKUP(H243,[4]Sheet2!K:Q,7,0)</f>
        <v>40200</v>
      </c>
      <c r="N243" s="51"/>
      <c r="O243" s="51"/>
      <c r="P243" s="51"/>
      <c r="Q243" s="51"/>
      <c r="R243" s="51"/>
      <c r="S243" s="51"/>
      <c r="T243" s="51"/>
      <c r="U243" s="51"/>
      <c r="V243" s="52">
        <f>VLOOKUP(H243,[4]Sheet2!K:N,4,0)</f>
        <v>0</v>
      </c>
      <c r="W243" s="52">
        <f t="shared" si="214"/>
        <v>0</v>
      </c>
      <c r="X243" s="52">
        <f>VLOOKUP(H243,[4]Sheet2!K:N,4,0)</f>
        <v>0</v>
      </c>
      <c r="Y243" s="53">
        <f t="shared" si="215"/>
        <v>0</v>
      </c>
      <c r="Z243" s="53">
        <f t="shared" si="216"/>
        <v>0</v>
      </c>
      <c r="AA243" s="53">
        <f t="shared" si="217"/>
        <v>0</v>
      </c>
    </row>
    <row r="244" spans="1:27" ht="18.75" customHeight="1" outlineLevel="4" x14ac:dyDescent="0.3">
      <c r="B244" s="12"/>
      <c r="C244" s="18"/>
      <c r="D244" s="24"/>
      <c r="E244" s="29"/>
      <c r="F244" s="34" t="s">
        <v>290</v>
      </c>
      <c r="G244" s="34"/>
      <c r="H244" s="57"/>
      <c r="I244" s="57"/>
      <c r="J244" s="57"/>
      <c r="K244" s="57"/>
      <c r="L244" s="36">
        <f>L245+L251+L257+L263+L269+L275+L281+L287+L293+L299+L305+L311+L317</f>
        <v>1.6999999999999998E-2</v>
      </c>
      <c r="M244" s="37">
        <f>M245+M251+M257+M263+M269+M275+M281+M287+M293+M299+M305+M311+M317</f>
        <v>144440.20000000001</v>
      </c>
      <c r="N244" s="35"/>
      <c r="O244" s="35"/>
      <c r="P244" s="35"/>
      <c r="Q244" s="35"/>
      <c r="R244" s="35"/>
      <c r="S244" s="35"/>
      <c r="T244" s="35"/>
      <c r="U244" s="35"/>
      <c r="V244" s="61">
        <f t="shared" ref="V244:X244" si="218">(V245*$L245+V251*$L251+V257*$L257+V263*$L263+V269*$L269+V275*$L275+V281*$L281+V287*$L287+V293*$L293+V299*$L299+V305*$L305+V311*$L311+V317*$L317)/$L244</f>
        <v>0</v>
      </c>
      <c r="W244" s="61">
        <f>(W245*$L245+W251*$L251+W257*$L257+W263*$L263+W269*$L269+W275*$L275+W281*$L281+W287*$L287+W293*$L293+W299*$L299+W305*$L305+W311*$L311+W317*$L317)/$L244</f>
        <v>0</v>
      </c>
      <c r="X244" s="61">
        <f t="shared" si="218"/>
        <v>0</v>
      </c>
      <c r="Y244" s="38">
        <f>(Y245*$L245+Y251*$L251+Y257*$L257+Y263*$L263+Y269*$L269+Y275*$L275+Y281*$L281+Y287*$L287+Y293*$L293+Y299*$L299+Y305*$L305+Y311*$L311+Y317*$L317)/$L244</f>
        <v>0</v>
      </c>
      <c r="Z244" s="38">
        <f t="shared" ref="Z244:AA244" si="219">(Z245*$L245+Z251*$L251+Z257*$L257+Z263*$L263+Z269*$L269+Z275*$L275+Z281*$L281+Z287*$L287+Z293*$L293+Z299*$L299+Z305*$L305+Z311*$L311+Z317*$L317)/$L244</f>
        <v>0</v>
      </c>
      <c r="AA244" s="38">
        <f t="shared" si="219"/>
        <v>0</v>
      </c>
    </row>
    <row r="245" spans="1:27" ht="18.75" customHeight="1" outlineLevel="5" x14ac:dyDescent="0.3">
      <c r="B245" s="12"/>
      <c r="C245" s="18"/>
      <c r="D245" s="24"/>
      <c r="E245" s="29"/>
      <c r="F245" s="34"/>
      <c r="G245" s="39" t="s">
        <v>291</v>
      </c>
      <c r="H245" s="58"/>
      <c r="I245" s="58"/>
      <c r="J245" s="58"/>
      <c r="K245" s="58"/>
      <c r="L245" s="41">
        <f>SUM(L246:L250)</f>
        <v>2E-3</v>
      </c>
      <c r="M245" s="42">
        <f>M246</f>
        <v>22680</v>
      </c>
      <c r="N245" s="40"/>
      <c r="O245" s="40"/>
      <c r="P245" s="40"/>
      <c r="Q245" s="40"/>
      <c r="R245" s="40"/>
      <c r="S245" s="40"/>
      <c r="T245" s="40"/>
      <c r="U245" s="40"/>
      <c r="V245" s="62">
        <f t="shared" ref="V245:X245" si="220">SUMPRODUCT(V246:V250,$K246:$K250)</f>
        <v>0</v>
      </c>
      <c r="W245" s="62">
        <f t="shared" si="220"/>
        <v>0</v>
      </c>
      <c r="X245" s="62">
        <f t="shared" si="220"/>
        <v>0</v>
      </c>
      <c r="Y245" s="43">
        <f>SUMPRODUCT(Y246:Y250,$K246:$K250)</f>
        <v>0</v>
      </c>
      <c r="Z245" s="43">
        <f t="shared" ref="Z245:AA245" si="221">SUMPRODUCT(Z246:Z250,$K246:$K250)</f>
        <v>0</v>
      </c>
      <c r="AA245" s="43">
        <f t="shared" si="221"/>
        <v>0</v>
      </c>
    </row>
    <row r="246" spans="1:27" ht="18.75" customHeight="1" outlineLevel="6" x14ac:dyDescent="0.3">
      <c r="B246" s="44"/>
      <c r="C246" s="18"/>
      <c r="D246" s="24"/>
      <c r="E246" s="29"/>
      <c r="F246" s="34"/>
      <c r="G246" s="39"/>
      <c r="H246" s="46" t="s">
        <v>292</v>
      </c>
      <c r="I246" s="46" t="s">
        <v>45</v>
      </c>
      <c r="J246" s="47" t="s">
        <v>293</v>
      </c>
      <c r="K246" s="48">
        <v>0.1</v>
      </c>
      <c r="L246" s="49">
        <f>VLOOKUP(H246,[4]Sheet2!K:P,6,0)</f>
        <v>2.0000000000000001E-4</v>
      </c>
      <c r="M246" s="50">
        <f>VLOOKUP(H246,[4]Sheet2!K:Q,7,0)</f>
        <v>22680</v>
      </c>
      <c r="N246" s="51"/>
      <c r="O246" s="51"/>
      <c r="P246" s="51"/>
      <c r="Q246" s="51"/>
      <c r="R246" s="51"/>
      <c r="S246" s="51"/>
      <c r="T246" s="51"/>
      <c r="U246" s="51"/>
      <c r="V246" s="52">
        <f>VLOOKUP(H246,[4]Sheet2!K:N,4,0)</f>
        <v>0</v>
      </c>
      <c r="W246" s="52">
        <f t="shared" ref="W246:W250" si="222">X246-V246</f>
        <v>0</v>
      </c>
      <c r="X246" s="52">
        <f>VLOOKUP(H246,[4]Sheet2!K:N,4,0)</f>
        <v>0</v>
      </c>
      <c r="Y246" s="53">
        <f t="shared" ref="Y246:Y250" si="223">IFERROR(V246/M246,1)</f>
        <v>0</v>
      </c>
      <c r="Z246" s="53">
        <f t="shared" ref="Z246:Z250" si="224">IFERROR(W246/M246,1)</f>
        <v>0</v>
      </c>
      <c r="AA246" s="53">
        <f t="shared" ref="AA246:AA250" si="225">IFERROR(X246/M246,1)</f>
        <v>0</v>
      </c>
    </row>
    <row r="247" spans="1:27" ht="18.75" customHeight="1" outlineLevel="6" x14ac:dyDescent="0.3">
      <c r="A247" s="1" t="s">
        <v>281</v>
      </c>
      <c r="B247" s="44"/>
      <c r="C247" s="18"/>
      <c r="D247" s="24"/>
      <c r="E247" s="29"/>
      <c r="F247" s="34"/>
      <c r="G247" s="39"/>
      <c r="H247" s="46" t="s">
        <v>294</v>
      </c>
      <c r="I247" s="46" t="s">
        <v>48</v>
      </c>
      <c r="J247" s="47" t="s">
        <v>293</v>
      </c>
      <c r="K247" s="48">
        <v>0.6</v>
      </c>
      <c r="L247" s="49">
        <f>VLOOKUP(H247,[4]Sheet2!K:P,6,0)</f>
        <v>1.2000000000000001E-3</v>
      </c>
      <c r="M247" s="50">
        <f>VLOOKUP(H247,[4]Sheet2!K:Q,7,0)</f>
        <v>22680</v>
      </c>
      <c r="N247" s="51"/>
      <c r="O247" s="51"/>
      <c r="P247" s="51"/>
      <c r="Q247" s="51"/>
      <c r="R247" s="51"/>
      <c r="S247" s="51"/>
      <c r="T247" s="51"/>
      <c r="U247" s="51"/>
      <c r="V247" s="52">
        <f>VLOOKUP(H247,[4]Sheet2!K:N,4,0)</f>
        <v>0</v>
      </c>
      <c r="W247" s="52">
        <f t="shared" si="222"/>
        <v>0</v>
      </c>
      <c r="X247" s="52">
        <f>VLOOKUP(H247,[4]Sheet2!K:N,4,0)</f>
        <v>0</v>
      </c>
      <c r="Y247" s="53">
        <f t="shared" si="223"/>
        <v>0</v>
      </c>
      <c r="Z247" s="53">
        <f t="shared" si="224"/>
        <v>0</v>
      </c>
      <c r="AA247" s="53">
        <f t="shared" si="225"/>
        <v>0</v>
      </c>
    </row>
    <row r="248" spans="1:27" ht="18.75" customHeight="1" outlineLevel="6" x14ac:dyDescent="0.3">
      <c r="B248" s="44"/>
      <c r="C248" s="18"/>
      <c r="D248" s="24"/>
      <c r="E248" s="29"/>
      <c r="F248" s="34"/>
      <c r="G248" s="39"/>
      <c r="H248" s="46" t="s">
        <v>295</v>
      </c>
      <c r="I248" s="46" t="s">
        <v>296</v>
      </c>
      <c r="J248" s="47" t="s">
        <v>293</v>
      </c>
      <c r="K248" s="48">
        <v>0.15</v>
      </c>
      <c r="L248" s="49">
        <f>VLOOKUP(H248,[4]Sheet2!K:P,6,0)</f>
        <v>3.0000000000000003E-4</v>
      </c>
      <c r="M248" s="50">
        <f>VLOOKUP(H248,[4]Sheet2!K:Q,7,0)</f>
        <v>22680</v>
      </c>
      <c r="N248" s="51"/>
      <c r="O248" s="51"/>
      <c r="P248" s="51"/>
      <c r="Q248" s="51"/>
      <c r="R248" s="51"/>
      <c r="S248" s="51"/>
      <c r="T248" s="51"/>
      <c r="U248" s="51"/>
      <c r="V248" s="52">
        <f>VLOOKUP(H248,[4]Sheet2!K:N,4,0)</f>
        <v>0</v>
      </c>
      <c r="W248" s="52">
        <f t="shared" si="222"/>
        <v>0</v>
      </c>
      <c r="X248" s="52">
        <f>VLOOKUP(H248,[4]Sheet2!K:N,4,0)</f>
        <v>0</v>
      </c>
      <c r="Y248" s="53">
        <f t="shared" si="223"/>
        <v>0</v>
      </c>
      <c r="Z248" s="53">
        <f t="shared" si="224"/>
        <v>0</v>
      </c>
      <c r="AA248" s="53">
        <f t="shared" si="225"/>
        <v>0</v>
      </c>
    </row>
    <row r="249" spans="1:27" ht="18.75" customHeight="1" outlineLevel="6" x14ac:dyDescent="0.3">
      <c r="B249" s="44"/>
      <c r="C249" s="18"/>
      <c r="D249" s="24"/>
      <c r="E249" s="29"/>
      <c r="F249" s="34"/>
      <c r="G249" s="39"/>
      <c r="H249" s="46" t="s">
        <v>297</v>
      </c>
      <c r="I249" s="46" t="s">
        <v>298</v>
      </c>
      <c r="J249" s="47" t="s">
        <v>293</v>
      </c>
      <c r="K249" s="48">
        <v>0.1</v>
      </c>
      <c r="L249" s="49">
        <f>VLOOKUP(H249,[4]Sheet2!K:P,6,0)</f>
        <v>2.0000000000000001E-4</v>
      </c>
      <c r="M249" s="50">
        <f>VLOOKUP(H249,[4]Sheet2!K:Q,7,0)</f>
        <v>22680</v>
      </c>
      <c r="N249" s="51"/>
      <c r="O249" s="51"/>
      <c r="P249" s="51"/>
      <c r="Q249" s="51"/>
      <c r="R249" s="51"/>
      <c r="S249" s="51"/>
      <c r="T249" s="51"/>
      <c r="U249" s="51"/>
      <c r="V249" s="52">
        <f>VLOOKUP(H249,[4]Sheet2!K:N,4,0)</f>
        <v>0</v>
      </c>
      <c r="W249" s="52">
        <f t="shared" si="222"/>
        <v>0</v>
      </c>
      <c r="X249" s="52">
        <f>VLOOKUP(H249,[4]Sheet2!K:N,4,0)</f>
        <v>0</v>
      </c>
      <c r="Y249" s="53">
        <f t="shared" si="223"/>
        <v>0</v>
      </c>
      <c r="Z249" s="53">
        <f t="shared" si="224"/>
        <v>0</v>
      </c>
      <c r="AA249" s="53">
        <f t="shared" si="225"/>
        <v>0</v>
      </c>
    </row>
    <row r="250" spans="1:27" ht="18.75" customHeight="1" outlineLevel="6" x14ac:dyDescent="0.3">
      <c r="B250" s="44"/>
      <c r="C250" s="18"/>
      <c r="D250" s="24"/>
      <c r="E250" s="29"/>
      <c r="F250" s="34"/>
      <c r="G250" s="39"/>
      <c r="H250" s="46" t="s">
        <v>299</v>
      </c>
      <c r="I250" s="46" t="s">
        <v>56</v>
      </c>
      <c r="J250" s="47" t="s">
        <v>293</v>
      </c>
      <c r="K250" s="48">
        <v>0.05</v>
      </c>
      <c r="L250" s="49">
        <f>VLOOKUP(H250,[4]Sheet2!K:P,6,0)</f>
        <v>1E-4</v>
      </c>
      <c r="M250" s="50">
        <f>VLOOKUP(H250,[4]Sheet2!K:Q,7,0)</f>
        <v>22680</v>
      </c>
      <c r="N250" s="51"/>
      <c r="O250" s="51"/>
      <c r="P250" s="51"/>
      <c r="Q250" s="51"/>
      <c r="R250" s="51"/>
      <c r="S250" s="51"/>
      <c r="T250" s="51"/>
      <c r="U250" s="51"/>
      <c r="V250" s="52">
        <f>VLOOKUP(H250,[4]Sheet2!K:N,4,0)</f>
        <v>0</v>
      </c>
      <c r="W250" s="52">
        <f t="shared" si="222"/>
        <v>0</v>
      </c>
      <c r="X250" s="52">
        <f>VLOOKUP(H250,[4]Sheet2!K:N,4,0)</f>
        <v>0</v>
      </c>
      <c r="Y250" s="53">
        <f t="shared" si="223"/>
        <v>0</v>
      </c>
      <c r="Z250" s="53">
        <f t="shared" si="224"/>
        <v>0</v>
      </c>
      <c r="AA250" s="53">
        <f t="shared" si="225"/>
        <v>0</v>
      </c>
    </row>
    <row r="251" spans="1:27" ht="18.75" customHeight="1" outlineLevel="5" x14ac:dyDescent="0.3">
      <c r="B251" s="12"/>
      <c r="C251" s="18"/>
      <c r="D251" s="24"/>
      <c r="E251" s="29"/>
      <c r="F251" s="34"/>
      <c r="G251" s="39" t="s">
        <v>300</v>
      </c>
      <c r="H251" s="58"/>
      <c r="I251" s="58"/>
      <c r="J251" s="58"/>
      <c r="K251" s="58"/>
      <c r="L251" s="41">
        <f>SUM(L252:L256)</f>
        <v>2.0999999999999999E-3</v>
      </c>
      <c r="M251" s="42">
        <f>M252</f>
        <v>36260</v>
      </c>
      <c r="N251" s="40"/>
      <c r="O251" s="40"/>
      <c r="P251" s="40"/>
      <c r="Q251" s="40"/>
      <c r="R251" s="40"/>
      <c r="S251" s="40"/>
      <c r="T251" s="40"/>
      <c r="U251" s="40"/>
      <c r="V251" s="62">
        <f t="shared" ref="V251:X251" si="226">SUMPRODUCT(V252:V256,$K252:$K256)</f>
        <v>0</v>
      </c>
      <c r="W251" s="62">
        <f t="shared" si="226"/>
        <v>0</v>
      </c>
      <c r="X251" s="62">
        <f t="shared" si="226"/>
        <v>0</v>
      </c>
      <c r="Y251" s="43">
        <f>SUMPRODUCT(Y252:Y256,$K252:$K256)</f>
        <v>0</v>
      </c>
      <c r="Z251" s="43">
        <f t="shared" ref="Z251:AA251" si="227">SUMPRODUCT(Z252:Z256,$K252:$K256)</f>
        <v>0</v>
      </c>
      <c r="AA251" s="43">
        <f t="shared" si="227"/>
        <v>0</v>
      </c>
    </row>
    <row r="252" spans="1:27" ht="18.75" customHeight="1" outlineLevel="6" x14ac:dyDescent="0.3">
      <c r="B252" s="44"/>
      <c r="C252" s="18"/>
      <c r="D252" s="24"/>
      <c r="E252" s="29"/>
      <c r="F252" s="34"/>
      <c r="G252" s="39"/>
      <c r="H252" s="46" t="s">
        <v>301</v>
      </c>
      <c r="I252" s="46" t="s">
        <v>45</v>
      </c>
      <c r="J252" s="47" t="s">
        <v>293</v>
      </c>
      <c r="K252" s="48">
        <v>0.1</v>
      </c>
      <c r="L252" s="49">
        <f>VLOOKUP(H252,[4]Sheet2!K:P,6,0)</f>
        <v>2.0999999999999998E-4</v>
      </c>
      <c r="M252" s="50">
        <f>VLOOKUP(H252,[4]Sheet2!K:Q,7,0)</f>
        <v>36260</v>
      </c>
      <c r="N252" s="51"/>
      <c r="O252" s="51"/>
      <c r="P252" s="51"/>
      <c r="Q252" s="51"/>
      <c r="R252" s="51"/>
      <c r="S252" s="51"/>
      <c r="T252" s="51"/>
      <c r="U252" s="51"/>
      <c r="V252" s="52">
        <f>VLOOKUP(H252,[4]Sheet2!K:N,4,0)</f>
        <v>0</v>
      </c>
      <c r="W252" s="52">
        <f t="shared" ref="W252:W315" si="228">X252-V252</f>
        <v>0</v>
      </c>
      <c r="X252" s="52">
        <f>VLOOKUP(H252,[4]Sheet2!K:N,4,0)</f>
        <v>0</v>
      </c>
      <c r="Y252" s="53">
        <f t="shared" ref="Y252:Y256" si="229">IFERROR(V252/M252,1)</f>
        <v>0</v>
      </c>
      <c r="Z252" s="53">
        <f t="shared" ref="Z252:Z256" si="230">IFERROR(W252/M252,1)</f>
        <v>0</v>
      </c>
      <c r="AA252" s="53">
        <f t="shared" ref="AA252:AA256" si="231">IFERROR(X252/M252,1)</f>
        <v>0</v>
      </c>
    </row>
    <row r="253" spans="1:27" ht="18.75" customHeight="1" outlineLevel="6" x14ac:dyDescent="0.3">
      <c r="A253" s="1" t="s">
        <v>281</v>
      </c>
      <c r="B253" s="44"/>
      <c r="C253" s="18"/>
      <c r="D253" s="24"/>
      <c r="E253" s="29"/>
      <c r="F253" s="34"/>
      <c r="G253" s="39"/>
      <c r="H253" s="46" t="s">
        <v>302</v>
      </c>
      <c r="I253" s="46" t="s">
        <v>48</v>
      </c>
      <c r="J253" s="47" t="s">
        <v>293</v>
      </c>
      <c r="K253" s="48">
        <v>0.6</v>
      </c>
      <c r="L253" s="49">
        <f>VLOOKUP(H253,[4]Sheet2!K:P,6,0)</f>
        <v>1.2599999999999998E-3</v>
      </c>
      <c r="M253" s="50">
        <f>VLOOKUP(H253,[4]Sheet2!K:Q,7,0)</f>
        <v>36260</v>
      </c>
      <c r="N253" s="51"/>
      <c r="O253" s="51"/>
      <c r="P253" s="51"/>
      <c r="Q253" s="51"/>
      <c r="R253" s="51"/>
      <c r="S253" s="51"/>
      <c r="T253" s="51"/>
      <c r="U253" s="51"/>
      <c r="V253" s="52">
        <f>VLOOKUP(H253,[4]Sheet2!K:N,4,0)</f>
        <v>0</v>
      </c>
      <c r="W253" s="52">
        <f t="shared" si="228"/>
        <v>0</v>
      </c>
      <c r="X253" s="52">
        <f>VLOOKUP(H253,[4]Sheet2!K:N,4,0)</f>
        <v>0</v>
      </c>
      <c r="Y253" s="53">
        <f t="shared" si="229"/>
        <v>0</v>
      </c>
      <c r="Z253" s="53">
        <f t="shared" si="230"/>
        <v>0</v>
      </c>
      <c r="AA253" s="53">
        <f t="shared" si="231"/>
        <v>0</v>
      </c>
    </row>
    <row r="254" spans="1:27" ht="18.75" customHeight="1" outlineLevel="6" x14ac:dyDescent="0.3">
      <c r="B254" s="44"/>
      <c r="C254" s="18"/>
      <c r="D254" s="24"/>
      <c r="E254" s="29"/>
      <c r="F254" s="34"/>
      <c r="G254" s="39"/>
      <c r="H254" s="46" t="s">
        <v>303</v>
      </c>
      <c r="I254" s="46" t="s">
        <v>296</v>
      </c>
      <c r="J254" s="47" t="s">
        <v>293</v>
      </c>
      <c r="K254" s="48">
        <v>0.15</v>
      </c>
      <c r="L254" s="49">
        <f>VLOOKUP(H254,[4]Sheet2!K:P,6,0)</f>
        <v>3.1499999999999996E-4</v>
      </c>
      <c r="M254" s="50">
        <f>VLOOKUP(H254,[4]Sheet2!K:Q,7,0)</f>
        <v>36260</v>
      </c>
      <c r="N254" s="51"/>
      <c r="O254" s="51"/>
      <c r="P254" s="51"/>
      <c r="Q254" s="51"/>
      <c r="R254" s="51"/>
      <c r="S254" s="51"/>
      <c r="T254" s="51"/>
      <c r="U254" s="51"/>
      <c r="V254" s="52">
        <f>VLOOKUP(H254,[4]Sheet2!K:N,4,0)</f>
        <v>0</v>
      </c>
      <c r="W254" s="52">
        <f t="shared" si="228"/>
        <v>0</v>
      </c>
      <c r="X254" s="52">
        <f>VLOOKUP(H254,[4]Sheet2!K:N,4,0)</f>
        <v>0</v>
      </c>
      <c r="Y254" s="53">
        <f t="shared" si="229"/>
        <v>0</v>
      </c>
      <c r="Z254" s="53">
        <f t="shared" si="230"/>
        <v>0</v>
      </c>
      <c r="AA254" s="53">
        <f t="shared" si="231"/>
        <v>0</v>
      </c>
    </row>
    <row r="255" spans="1:27" ht="18.75" customHeight="1" outlineLevel="6" x14ac:dyDescent="0.3">
      <c r="B255" s="44"/>
      <c r="C255" s="18"/>
      <c r="D255" s="24"/>
      <c r="E255" s="29"/>
      <c r="F255" s="34"/>
      <c r="G255" s="39"/>
      <c r="H255" s="46" t="s">
        <v>304</v>
      </c>
      <c r="I255" s="46" t="s">
        <v>298</v>
      </c>
      <c r="J255" s="47" t="s">
        <v>293</v>
      </c>
      <c r="K255" s="48">
        <v>0.1</v>
      </c>
      <c r="L255" s="49">
        <f>VLOOKUP(H255,[4]Sheet2!K:P,6,0)</f>
        <v>2.0999999999999998E-4</v>
      </c>
      <c r="M255" s="50">
        <f>VLOOKUP(H255,[4]Sheet2!K:Q,7,0)</f>
        <v>36260</v>
      </c>
      <c r="N255" s="51"/>
      <c r="O255" s="51"/>
      <c r="P255" s="51"/>
      <c r="Q255" s="51"/>
      <c r="R255" s="51"/>
      <c r="S255" s="51"/>
      <c r="T255" s="51"/>
      <c r="U255" s="51"/>
      <c r="V255" s="52">
        <f>VLOOKUP(H255,[4]Sheet2!K:N,4,0)</f>
        <v>0</v>
      </c>
      <c r="W255" s="52">
        <f t="shared" si="228"/>
        <v>0</v>
      </c>
      <c r="X255" s="52">
        <f>VLOOKUP(H255,[4]Sheet2!K:N,4,0)</f>
        <v>0</v>
      </c>
      <c r="Y255" s="53">
        <f t="shared" si="229"/>
        <v>0</v>
      </c>
      <c r="Z255" s="53">
        <f t="shared" si="230"/>
        <v>0</v>
      </c>
      <c r="AA255" s="53">
        <f t="shared" si="231"/>
        <v>0</v>
      </c>
    </row>
    <row r="256" spans="1:27" ht="18.75" customHeight="1" outlineLevel="6" x14ac:dyDescent="0.3">
      <c r="B256" s="44"/>
      <c r="C256" s="18"/>
      <c r="D256" s="24"/>
      <c r="E256" s="29"/>
      <c r="F256" s="34"/>
      <c r="G256" s="39"/>
      <c r="H256" s="46" t="s">
        <v>305</v>
      </c>
      <c r="I256" s="46" t="s">
        <v>56</v>
      </c>
      <c r="J256" s="47" t="s">
        <v>293</v>
      </c>
      <c r="K256" s="48">
        <v>0.05</v>
      </c>
      <c r="L256" s="49">
        <f>VLOOKUP(H256,[4]Sheet2!K:P,6,0)</f>
        <v>1.0499999999999999E-4</v>
      </c>
      <c r="M256" s="50">
        <f>VLOOKUP(H256,[4]Sheet2!K:Q,7,0)</f>
        <v>36260</v>
      </c>
      <c r="N256" s="51"/>
      <c r="O256" s="51"/>
      <c r="P256" s="51"/>
      <c r="Q256" s="51"/>
      <c r="R256" s="51"/>
      <c r="S256" s="51"/>
      <c r="T256" s="51"/>
      <c r="U256" s="51"/>
      <c r="V256" s="52">
        <f>VLOOKUP(H256,[4]Sheet2!K:N,4,0)</f>
        <v>0</v>
      </c>
      <c r="W256" s="52">
        <f t="shared" si="228"/>
        <v>0</v>
      </c>
      <c r="X256" s="52">
        <f>VLOOKUP(H256,[4]Sheet2!K:N,4,0)</f>
        <v>0</v>
      </c>
      <c r="Y256" s="53">
        <f t="shared" si="229"/>
        <v>0</v>
      </c>
      <c r="Z256" s="53">
        <f t="shared" si="230"/>
        <v>0</v>
      </c>
      <c r="AA256" s="53">
        <f t="shared" si="231"/>
        <v>0</v>
      </c>
    </row>
    <row r="257" spans="1:27" ht="18.75" customHeight="1" outlineLevel="5" x14ac:dyDescent="0.3">
      <c r="B257" s="12"/>
      <c r="C257" s="18"/>
      <c r="D257" s="24"/>
      <c r="E257" s="29"/>
      <c r="F257" s="34"/>
      <c r="G257" s="39" t="s">
        <v>306</v>
      </c>
      <c r="H257" s="58"/>
      <c r="I257" s="58"/>
      <c r="J257" s="58"/>
      <c r="K257" s="58"/>
      <c r="L257" s="41">
        <f>SUM(L258:L262)</f>
        <v>1E-3</v>
      </c>
      <c r="M257" s="42">
        <f>M258</f>
        <v>9550</v>
      </c>
      <c r="N257" s="40"/>
      <c r="O257" s="40"/>
      <c r="P257" s="40"/>
      <c r="Q257" s="40"/>
      <c r="R257" s="40"/>
      <c r="S257" s="40"/>
      <c r="T257" s="40"/>
      <c r="U257" s="40"/>
      <c r="V257" s="62">
        <f t="shared" ref="V257:X257" si="232">SUMPRODUCT(V258:V262,$K258:$K262)</f>
        <v>0</v>
      </c>
      <c r="W257" s="62">
        <f t="shared" si="232"/>
        <v>0</v>
      </c>
      <c r="X257" s="62">
        <f t="shared" si="232"/>
        <v>0</v>
      </c>
      <c r="Y257" s="43">
        <f>SUMPRODUCT(Y258:Y262,$K258:$K262)</f>
        <v>0</v>
      </c>
      <c r="Z257" s="43">
        <f t="shared" ref="Z257:AA257" si="233">SUMPRODUCT(Z258:Z262,$K258:$K262)</f>
        <v>0</v>
      </c>
      <c r="AA257" s="43">
        <f t="shared" si="233"/>
        <v>0</v>
      </c>
    </row>
    <row r="258" spans="1:27" ht="18.75" customHeight="1" outlineLevel="6" x14ac:dyDescent="0.3">
      <c r="B258" s="44"/>
      <c r="C258" s="18"/>
      <c r="D258" s="24"/>
      <c r="E258" s="29"/>
      <c r="F258" s="34"/>
      <c r="G258" s="39"/>
      <c r="H258" s="46" t="s">
        <v>307</v>
      </c>
      <c r="I258" s="46" t="s">
        <v>45</v>
      </c>
      <c r="J258" s="47" t="s">
        <v>293</v>
      </c>
      <c r="K258" s="48">
        <v>0.1</v>
      </c>
      <c r="L258" s="49">
        <f>VLOOKUP(H258,[4]Sheet2!K:P,6,0)</f>
        <v>1E-4</v>
      </c>
      <c r="M258" s="50">
        <f>VLOOKUP(H258,[4]Sheet2!K:Q,7,0)</f>
        <v>9550</v>
      </c>
      <c r="N258" s="51"/>
      <c r="O258" s="51"/>
      <c r="P258" s="51"/>
      <c r="Q258" s="51"/>
      <c r="R258" s="51"/>
      <c r="S258" s="51"/>
      <c r="T258" s="51"/>
      <c r="U258" s="51"/>
      <c r="V258" s="52">
        <f>VLOOKUP(H258,[4]Sheet2!K:N,4,0)</f>
        <v>0</v>
      </c>
      <c r="W258" s="52">
        <f t="shared" si="228"/>
        <v>0</v>
      </c>
      <c r="X258" s="52">
        <f>VLOOKUP(H258,[4]Sheet2!K:N,4,0)</f>
        <v>0</v>
      </c>
      <c r="Y258" s="53">
        <f t="shared" ref="Y258:Y262" si="234">IFERROR(V258/M258,1)</f>
        <v>0</v>
      </c>
      <c r="Z258" s="53">
        <f t="shared" ref="Z258:Z262" si="235">IFERROR(W258/M258,1)</f>
        <v>0</v>
      </c>
      <c r="AA258" s="53">
        <f t="shared" ref="AA258:AA262" si="236">IFERROR(X258/M258,1)</f>
        <v>0</v>
      </c>
    </row>
    <row r="259" spans="1:27" ht="18.75" customHeight="1" outlineLevel="6" x14ac:dyDescent="0.3">
      <c r="A259" s="1" t="s">
        <v>281</v>
      </c>
      <c r="B259" s="44"/>
      <c r="C259" s="18"/>
      <c r="D259" s="24"/>
      <c r="E259" s="29"/>
      <c r="F259" s="34"/>
      <c r="G259" s="39"/>
      <c r="H259" s="46" t="s">
        <v>308</v>
      </c>
      <c r="I259" s="46" t="s">
        <v>48</v>
      </c>
      <c r="J259" s="47" t="s">
        <v>293</v>
      </c>
      <c r="K259" s="48">
        <v>0.6</v>
      </c>
      <c r="L259" s="49">
        <f>VLOOKUP(H259,[4]Sheet2!K:P,6,0)</f>
        <v>6.0000000000000006E-4</v>
      </c>
      <c r="M259" s="50">
        <f>VLOOKUP(H259,[4]Sheet2!K:Q,7,0)</f>
        <v>9550</v>
      </c>
      <c r="N259" s="51"/>
      <c r="O259" s="51"/>
      <c r="P259" s="51"/>
      <c r="Q259" s="51"/>
      <c r="R259" s="51"/>
      <c r="S259" s="51"/>
      <c r="T259" s="51"/>
      <c r="U259" s="51"/>
      <c r="V259" s="52">
        <f>VLOOKUP(H259,[4]Sheet2!K:N,4,0)</f>
        <v>0</v>
      </c>
      <c r="W259" s="52">
        <f t="shared" si="228"/>
        <v>0</v>
      </c>
      <c r="X259" s="52">
        <f>VLOOKUP(H259,[4]Sheet2!K:N,4,0)</f>
        <v>0</v>
      </c>
      <c r="Y259" s="53">
        <f t="shared" si="234"/>
        <v>0</v>
      </c>
      <c r="Z259" s="53">
        <f t="shared" si="235"/>
        <v>0</v>
      </c>
      <c r="AA259" s="53">
        <f t="shared" si="236"/>
        <v>0</v>
      </c>
    </row>
    <row r="260" spans="1:27" ht="18.75" customHeight="1" outlineLevel="6" x14ac:dyDescent="0.3">
      <c r="B260" s="44"/>
      <c r="C260" s="18"/>
      <c r="D260" s="24"/>
      <c r="E260" s="29"/>
      <c r="F260" s="34"/>
      <c r="G260" s="39"/>
      <c r="H260" s="46" t="s">
        <v>309</v>
      </c>
      <c r="I260" s="46" t="s">
        <v>296</v>
      </c>
      <c r="J260" s="47" t="s">
        <v>293</v>
      </c>
      <c r="K260" s="48">
        <v>0.15</v>
      </c>
      <c r="L260" s="49">
        <f>VLOOKUP(H260,[4]Sheet2!K:P,6,0)</f>
        <v>1.5000000000000001E-4</v>
      </c>
      <c r="M260" s="50">
        <f>VLOOKUP(H260,[4]Sheet2!K:Q,7,0)</f>
        <v>9550</v>
      </c>
      <c r="N260" s="51"/>
      <c r="O260" s="51"/>
      <c r="P260" s="51"/>
      <c r="Q260" s="51"/>
      <c r="R260" s="51"/>
      <c r="S260" s="51"/>
      <c r="T260" s="51"/>
      <c r="U260" s="51"/>
      <c r="V260" s="52">
        <f>VLOOKUP(H260,[4]Sheet2!K:N,4,0)</f>
        <v>0</v>
      </c>
      <c r="W260" s="52">
        <f t="shared" si="228"/>
        <v>0</v>
      </c>
      <c r="X260" s="52">
        <f>VLOOKUP(H260,[4]Sheet2!K:N,4,0)</f>
        <v>0</v>
      </c>
      <c r="Y260" s="53">
        <f t="shared" si="234"/>
        <v>0</v>
      </c>
      <c r="Z260" s="53">
        <f t="shared" si="235"/>
        <v>0</v>
      </c>
      <c r="AA260" s="53">
        <f t="shared" si="236"/>
        <v>0</v>
      </c>
    </row>
    <row r="261" spans="1:27" ht="18.75" customHeight="1" outlineLevel="6" x14ac:dyDescent="0.3">
      <c r="B261" s="44"/>
      <c r="C261" s="18"/>
      <c r="D261" s="24"/>
      <c r="E261" s="29"/>
      <c r="F261" s="34"/>
      <c r="G261" s="39"/>
      <c r="H261" s="46" t="s">
        <v>310</v>
      </c>
      <c r="I261" s="46" t="s">
        <v>298</v>
      </c>
      <c r="J261" s="47" t="s">
        <v>293</v>
      </c>
      <c r="K261" s="48">
        <v>0.1</v>
      </c>
      <c r="L261" s="49">
        <f>VLOOKUP(H261,[4]Sheet2!K:P,6,0)</f>
        <v>1E-4</v>
      </c>
      <c r="M261" s="50">
        <f>VLOOKUP(H261,[4]Sheet2!K:Q,7,0)</f>
        <v>9550</v>
      </c>
      <c r="N261" s="51"/>
      <c r="O261" s="51"/>
      <c r="P261" s="51"/>
      <c r="Q261" s="51"/>
      <c r="R261" s="51"/>
      <c r="S261" s="51"/>
      <c r="T261" s="51"/>
      <c r="U261" s="51"/>
      <c r="V261" s="52">
        <f>VLOOKUP(H261,[4]Sheet2!K:N,4,0)</f>
        <v>0</v>
      </c>
      <c r="W261" s="52">
        <f t="shared" si="228"/>
        <v>0</v>
      </c>
      <c r="X261" s="52">
        <f>VLOOKUP(H261,[4]Sheet2!K:N,4,0)</f>
        <v>0</v>
      </c>
      <c r="Y261" s="53">
        <f t="shared" si="234"/>
        <v>0</v>
      </c>
      <c r="Z261" s="53">
        <f t="shared" si="235"/>
        <v>0</v>
      </c>
      <c r="AA261" s="53">
        <f t="shared" si="236"/>
        <v>0</v>
      </c>
    </row>
    <row r="262" spans="1:27" ht="18.75" customHeight="1" outlineLevel="6" x14ac:dyDescent="0.3">
      <c r="B262" s="44"/>
      <c r="C262" s="18"/>
      <c r="D262" s="24"/>
      <c r="E262" s="29"/>
      <c r="F262" s="34"/>
      <c r="G262" s="39"/>
      <c r="H262" s="46" t="s">
        <v>311</v>
      </c>
      <c r="I262" s="46" t="s">
        <v>56</v>
      </c>
      <c r="J262" s="47" t="s">
        <v>293</v>
      </c>
      <c r="K262" s="48">
        <v>0.05</v>
      </c>
      <c r="L262" s="49">
        <f>VLOOKUP(H262,[4]Sheet2!K:P,6,0)</f>
        <v>5.0000000000000002E-5</v>
      </c>
      <c r="M262" s="50">
        <f>VLOOKUP(H262,[4]Sheet2!K:Q,7,0)</f>
        <v>9550</v>
      </c>
      <c r="N262" s="51"/>
      <c r="O262" s="51"/>
      <c r="P262" s="51"/>
      <c r="Q262" s="51"/>
      <c r="R262" s="51"/>
      <c r="S262" s="51"/>
      <c r="T262" s="51"/>
      <c r="U262" s="51"/>
      <c r="V262" s="52">
        <f>VLOOKUP(H262,[4]Sheet2!K:N,4,0)</f>
        <v>0</v>
      </c>
      <c r="W262" s="52">
        <f t="shared" si="228"/>
        <v>0</v>
      </c>
      <c r="X262" s="52">
        <f>VLOOKUP(H262,[4]Sheet2!K:N,4,0)</f>
        <v>0</v>
      </c>
      <c r="Y262" s="53">
        <f t="shared" si="234"/>
        <v>0</v>
      </c>
      <c r="Z262" s="53">
        <f t="shared" si="235"/>
        <v>0</v>
      </c>
      <c r="AA262" s="53">
        <f t="shared" si="236"/>
        <v>0</v>
      </c>
    </row>
    <row r="263" spans="1:27" ht="18.75" customHeight="1" outlineLevel="5" x14ac:dyDescent="0.3">
      <c r="B263" s="12"/>
      <c r="C263" s="18"/>
      <c r="D263" s="24"/>
      <c r="E263" s="29"/>
      <c r="F263" s="34"/>
      <c r="G263" s="39" t="s">
        <v>312</v>
      </c>
      <c r="H263" s="58"/>
      <c r="I263" s="58"/>
      <c r="J263" s="58"/>
      <c r="K263" s="58"/>
      <c r="L263" s="41">
        <f>SUM(L264:L268)</f>
        <v>9.0000000000000008E-4</v>
      </c>
      <c r="M263" s="42">
        <f>M264</f>
        <v>7000</v>
      </c>
      <c r="N263" s="40"/>
      <c r="O263" s="40"/>
      <c r="P263" s="40"/>
      <c r="Q263" s="40"/>
      <c r="R263" s="40"/>
      <c r="S263" s="40"/>
      <c r="T263" s="40"/>
      <c r="U263" s="40"/>
      <c r="V263" s="62">
        <f t="shared" ref="V263:X263" si="237">SUMPRODUCT(V264:V268,$K264:$K268)</f>
        <v>0</v>
      </c>
      <c r="W263" s="62">
        <f t="shared" si="237"/>
        <v>0</v>
      </c>
      <c r="X263" s="62">
        <f t="shared" si="237"/>
        <v>0</v>
      </c>
      <c r="Y263" s="43">
        <f>SUMPRODUCT(Y264:Y268,$K264:$K268)</f>
        <v>0</v>
      </c>
      <c r="Z263" s="43">
        <f t="shared" ref="Z263:AA263" si="238">SUMPRODUCT(Z264:Z268,$K264:$K268)</f>
        <v>0</v>
      </c>
      <c r="AA263" s="43">
        <f t="shared" si="238"/>
        <v>0</v>
      </c>
    </row>
    <row r="264" spans="1:27" ht="18.75" customHeight="1" outlineLevel="6" x14ac:dyDescent="0.3">
      <c r="B264" s="44"/>
      <c r="C264" s="18"/>
      <c r="D264" s="24"/>
      <c r="E264" s="29"/>
      <c r="F264" s="34"/>
      <c r="G264" s="39"/>
      <c r="H264" s="46" t="s">
        <v>313</v>
      </c>
      <c r="I264" s="46" t="s">
        <v>45</v>
      </c>
      <c r="J264" s="47" t="s">
        <v>293</v>
      </c>
      <c r="K264" s="48">
        <v>0.1</v>
      </c>
      <c r="L264" s="49">
        <f>VLOOKUP(H264,[4]Sheet2!K:P,6,0)</f>
        <v>8.9999999999999992E-5</v>
      </c>
      <c r="M264" s="50">
        <f>VLOOKUP(H264,[4]Sheet2!K:Q,7,0)</f>
        <v>7000</v>
      </c>
      <c r="N264" s="51"/>
      <c r="O264" s="51"/>
      <c r="P264" s="51"/>
      <c r="Q264" s="51"/>
      <c r="R264" s="51"/>
      <c r="S264" s="51"/>
      <c r="T264" s="51"/>
      <c r="U264" s="51"/>
      <c r="V264" s="52">
        <f>VLOOKUP(H264,[4]Sheet2!K:N,4,0)</f>
        <v>0</v>
      </c>
      <c r="W264" s="52">
        <f t="shared" si="228"/>
        <v>0</v>
      </c>
      <c r="X264" s="52">
        <f>VLOOKUP(H264,[4]Sheet2!K:N,4,0)</f>
        <v>0</v>
      </c>
      <c r="Y264" s="53">
        <f t="shared" ref="Y264:Y268" si="239">IFERROR(V264/M264,1)</f>
        <v>0</v>
      </c>
      <c r="Z264" s="53">
        <f t="shared" ref="Z264:Z268" si="240">IFERROR(W264/M264,1)</f>
        <v>0</v>
      </c>
      <c r="AA264" s="53">
        <f t="shared" ref="AA264:AA268" si="241">IFERROR(X264/M264,1)</f>
        <v>0</v>
      </c>
    </row>
    <row r="265" spans="1:27" ht="18.75" customHeight="1" outlineLevel="6" x14ac:dyDescent="0.3">
      <c r="A265" s="1" t="s">
        <v>281</v>
      </c>
      <c r="B265" s="44"/>
      <c r="C265" s="18"/>
      <c r="D265" s="24"/>
      <c r="E265" s="29"/>
      <c r="F265" s="34"/>
      <c r="G265" s="39"/>
      <c r="H265" s="46" t="s">
        <v>314</v>
      </c>
      <c r="I265" s="46" t="s">
        <v>48</v>
      </c>
      <c r="J265" s="47" t="s">
        <v>293</v>
      </c>
      <c r="K265" s="48">
        <v>0.6</v>
      </c>
      <c r="L265" s="49">
        <f>VLOOKUP(H265,[4]Sheet2!K:P,6,0)</f>
        <v>5.4000000000000001E-4</v>
      </c>
      <c r="M265" s="50">
        <f>VLOOKUP(H265,[4]Sheet2!K:Q,7,0)</f>
        <v>7000</v>
      </c>
      <c r="N265" s="51"/>
      <c r="O265" s="51"/>
      <c r="P265" s="51"/>
      <c r="Q265" s="51"/>
      <c r="R265" s="51"/>
      <c r="S265" s="51"/>
      <c r="T265" s="51"/>
      <c r="U265" s="51"/>
      <c r="V265" s="52">
        <f>VLOOKUP(H265,[4]Sheet2!K:N,4,0)</f>
        <v>0</v>
      </c>
      <c r="W265" s="52">
        <f t="shared" si="228"/>
        <v>0</v>
      </c>
      <c r="X265" s="52">
        <f>VLOOKUP(H265,[4]Sheet2!K:N,4,0)</f>
        <v>0</v>
      </c>
      <c r="Y265" s="53">
        <f t="shared" si="239"/>
        <v>0</v>
      </c>
      <c r="Z265" s="53">
        <f t="shared" si="240"/>
        <v>0</v>
      </c>
      <c r="AA265" s="53">
        <f t="shared" si="241"/>
        <v>0</v>
      </c>
    </row>
    <row r="266" spans="1:27" ht="18.75" customHeight="1" outlineLevel="6" x14ac:dyDescent="0.3">
      <c r="B266" s="44"/>
      <c r="C266" s="18"/>
      <c r="D266" s="24"/>
      <c r="E266" s="29"/>
      <c r="F266" s="34"/>
      <c r="G266" s="39"/>
      <c r="H266" s="46" t="s">
        <v>315</v>
      </c>
      <c r="I266" s="46" t="s">
        <v>296</v>
      </c>
      <c r="J266" s="47" t="s">
        <v>293</v>
      </c>
      <c r="K266" s="48">
        <v>0.15</v>
      </c>
      <c r="L266" s="49">
        <f>VLOOKUP(H266,[4]Sheet2!K:P,6,0)</f>
        <v>1.35E-4</v>
      </c>
      <c r="M266" s="50">
        <f>VLOOKUP(H266,[4]Sheet2!K:Q,7,0)</f>
        <v>7000</v>
      </c>
      <c r="N266" s="51"/>
      <c r="O266" s="51"/>
      <c r="P266" s="51"/>
      <c r="Q266" s="51"/>
      <c r="R266" s="51"/>
      <c r="S266" s="51"/>
      <c r="T266" s="51"/>
      <c r="U266" s="51"/>
      <c r="V266" s="52">
        <f>VLOOKUP(H266,[4]Sheet2!K:N,4,0)</f>
        <v>0</v>
      </c>
      <c r="W266" s="52">
        <f t="shared" si="228"/>
        <v>0</v>
      </c>
      <c r="X266" s="52">
        <f>VLOOKUP(H266,[4]Sheet2!K:N,4,0)</f>
        <v>0</v>
      </c>
      <c r="Y266" s="53">
        <f t="shared" si="239"/>
        <v>0</v>
      </c>
      <c r="Z266" s="53">
        <f t="shared" si="240"/>
        <v>0</v>
      </c>
      <c r="AA266" s="53">
        <f t="shared" si="241"/>
        <v>0</v>
      </c>
    </row>
    <row r="267" spans="1:27" ht="18.75" customHeight="1" outlineLevel="6" x14ac:dyDescent="0.3">
      <c r="B267" s="44"/>
      <c r="C267" s="18"/>
      <c r="D267" s="24"/>
      <c r="E267" s="29"/>
      <c r="F267" s="34"/>
      <c r="G267" s="39"/>
      <c r="H267" s="46" t="s">
        <v>316</v>
      </c>
      <c r="I267" s="46" t="s">
        <v>298</v>
      </c>
      <c r="J267" s="47" t="s">
        <v>293</v>
      </c>
      <c r="K267" s="48">
        <v>0.1</v>
      </c>
      <c r="L267" s="49">
        <f>VLOOKUP(H267,[4]Sheet2!K:P,6,0)</f>
        <v>8.9999999999999992E-5</v>
      </c>
      <c r="M267" s="50">
        <f>VLOOKUP(H267,[4]Sheet2!K:Q,7,0)</f>
        <v>7000</v>
      </c>
      <c r="N267" s="51"/>
      <c r="O267" s="51"/>
      <c r="P267" s="51"/>
      <c r="Q267" s="51"/>
      <c r="R267" s="51"/>
      <c r="S267" s="51"/>
      <c r="T267" s="51"/>
      <c r="U267" s="51"/>
      <c r="V267" s="52">
        <f>VLOOKUP(H267,[4]Sheet2!K:N,4,0)</f>
        <v>0</v>
      </c>
      <c r="W267" s="52">
        <f t="shared" si="228"/>
        <v>0</v>
      </c>
      <c r="X267" s="52">
        <f>VLOOKUP(H267,[4]Sheet2!K:N,4,0)</f>
        <v>0</v>
      </c>
      <c r="Y267" s="53">
        <f t="shared" si="239"/>
        <v>0</v>
      </c>
      <c r="Z267" s="53">
        <f t="shared" si="240"/>
        <v>0</v>
      </c>
      <c r="AA267" s="53">
        <f t="shared" si="241"/>
        <v>0</v>
      </c>
    </row>
    <row r="268" spans="1:27" ht="18.75" customHeight="1" outlineLevel="6" x14ac:dyDescent="0.3">
      <c r="B268" s="44"/>
      <c r="C268" s="18"/>
      <c r="D268" s="24"/>
      <c r="E268" s="29"/>
      <c r="F268" s="34"/>
      <c r="G268" s="39"/>
      <c r="H268" s="46" t="s">
        <v>317</v>
      </c>
      <c r="I268" s="46" t="s">
        <v>56</v>
      </c>
      <c r="J268" s="47" t="s">
        <v>293</v>
      </c>
      <c r="K268" s="48">
        <v>0.05</v>
      </c>
      <c r="L268" s="49">
        <f>VLOOKUP(H268,[4]Sheet2!K:P,6,0)</f>
        <v>4.4999999999999996E-5</v>
      </c>
      <c r="M268" s="50">
        <f>VLOOKUP(H268,[4]Sheet2!K:Q,7,0)</f>
        <v>7000</v>
      </c>
      <c r="N268" s="51"/>
      <c r="O268" s="51"/>
      <c r="P268" s="51"/>
      <c r="Q268" s="51"/>
      <c r="R268" s="51"/>
      <c r="S268" s="51"/>
      <c r="T268" s="51"/>
      <c r="U268" s="51"/>
      <c r="V268" s="52">
        <f>VLOOKUP(H268,[4]Sheet2!K:N,4,0)</f>
        <v>0</v>
      </c>
      <c r="W268" s="52">
        <f t="shared" si="228"/>
        <v>0</v>
      </c>
      <c r="X268" s="52">
        <f>VLOOKUP(H268,[4]Sheet2!K:N,4,0)</f>
        <v>0</v>
      </c>
      <c r="Y268" s="53">
        <f t="shared" si="239"/>
        <v>0</v>
      </c>
      <c r="Z268" s="53">
        <f t="shared" si="240"/>
        <v>0</v>
      </c>
      <c r="AA268" s="53">
        <f t="shared" si="241"/>
        <v>0</v>
      </c>
    </row>
    <row r="269" spans="1:27" ht="18.75" customHeight="1" outlineLevel="5" x14ac:dyDescent="0.3">
      <c r="B269" s="12"/>
      <c r="C269" s="18"/>
      <c r="D269" s="24"/>
      <c r="E269" s="29"/>
      <c r="F269" s="34"/>
      <c r="G269" s="39" t="s">
        <v>318</v>
      </c>
      <c r="H269" s="58"/>
      <c r="I269" s="58"/>
      <c r="J269" s="58"/>
      <c r="K269" s="58"/>
      <c r="L269" s="41">
        <f>SUM(L270:L274)</f>
        <v>2.5000000000000005E-3</v>
      </c>
      <c r="M269" s="42">
        <f>M270</f>
        <v>26550</v>
      </c>
      <c r="N269" s="40"/>
      <c r="O269" s="40"/>
      <c r="P269" s="40"/>
      <c r="Q269" s="40"/>
      <c r="R269" s="40"/>
      <c r="S269" s="40"/>
      <c r="T269" s="40"/>
      <c r="U269" s="40"/>
      <c r="V269" s="62">
        <f t="shared" ref="V269:X269" si="242">SUMPRODUCT(V270:V274,$K270:$K274)</f>
        <v>0</v>
      </c>
      <c r="W269" s="62">
        <f t="shared" si="242"/>
        <v>0</v>
      </c>
      <c r="X269" s="62">
        <f t="shared" si="242"/>
        <v>0</v>
      </c>
      <c r="Y269" s="43">
        <f>SUMPRODUCT(Y270:Y274,$K270:$K274)</f>
        <v>0</v>
      </c>
      <c r="Z269" s="43">
        <f t="shared" ref="Z269:AA269" si="243">SUMPRODUCT(Z270:Z274,$K270:$K274)</f>
        <v>0</v>
      </c>
      <c r="AA269" s="43">
        <f t="shared" si="243"/>
        <v>0</v>
      </c>
    </row>
    <row r="270" spans="1:27" ht="18.75" customHeight="1" outlineLevel="6" x14ac:dyDescent="0.3">
      <c r="B270" s="44"/>
      <c r="C270" s="18"/>
      <c r="D270" s="24"/>
      <c r="E270" s="29"/>
      <c r="F270" s="34"/>
      <c r="G270" s="39"/>
      <c r="H270" s="46" t="s">
        <v>319</v>
      </c>
      <c r="I270" s="46" t="s">
        <v>45</v>
      </c>
      <c r="J270" s="47" t="s">
        <v>293</v>
      </c>
      <c r="K270" s="48">
        <v>0.1</v>
      </c>
      <c r="L270" s="49">
        <f>VLOOKUP(H270,[4]Sheet2!K:P,6,0)</f>
        <v>2.5000000000000001E-4</v>
      </c>
      <c r="M270" s="50">
        <f>VLOOKUP(H270,[4]Sheet2!K:Q,7,0)</f>
        <v>26550</v>
      </c>
      <c r="N270" s="51"/>
      <c r="O270" s="51"/>
      <c r="P270" s="51"/>
      <c r="Q270" s="51"/>
      <c r="R270" s="51"/>
      <c r="S270" s="51"/>
      <c r="T270" s="51"/>
      <c r="U270" s="51"/>
      <c r="V270" s="52">
        <f>VLOOKUP(H270,[4]Sheet2!K:N,4,0)</f>
        <v>0</v>
      </c>
      <c r="W270" s="52">
        <f t="shared" si="228"/>
        <v>0</v>
      </c>
      <c r="X270" s="52">
        <f>VLOOKUP(H270,[4]Sheet2!K:N,4,0)</f>
        <v>0</v>
      </c>
      <c r="Y270" s="53">
        <f t="shared" ref="Y270:Y274" si="244">IFERROR(V270/M270,1)</f>
        <v>0</v>
      </c>
      <c r="Z270" s="53">
        <f t="shared" ref="Z270:Z274" si="245">IFERROR(W270/M270,1)</f>
        <v>0</v>
      </c>
      <c r="AA270" s="53">
        <f t="shared" ref="AA270:AA274" si="246">IFERROR(X270/M270,1)</f>
        <v>0</v>
      </c>
    </row>
    <row r="271" spans="1:27" ht="18.75" customHeight="1" outlineLevel="6" x14ac:dyDescent="0.3">
      <c r="A271" s="1" t="s">
        <v>281</v>
      </c>
      <c r="B271" s="44"/>
      <c r="C271" s="18"/>
      <c r="D271" s="24"/>
      <c r="E271" s="29"/>
      <c r="F271" s="34"/>
      <c r="G271" s="39"/>
      <c r="H271" s="46" t="s">
        <v>320</v>
      </c>
      <c r="I271" s="46" t="s">
        <v>48</v>
      </c>
      <c r="J271" s="47" t="s">
        <v>293</v>
      </c>
      <c r="K271" s="48">
        <v>0.6</v>
      </c>
      <c r="L271" s="49">
        <f>VLOOKUP(H271,[4]Sheet2!K:P,6,0)</f>
        <v>1.5E-3</v>
      </c>
      <c r="M271" s="50">
        <f>VLOOKUP(H271,[4]Sheet2!K:Q,7,0)</f>
        <v>26550</v>
      </c>
      <c r="N271" s="51"/>
      <c r="O271" s="51"/>
      <c r="P271" s="51"/>
      <c r="Q271" s="51"/>
      <c r="R271" s="51"/>
      <c r="S271" s="51"/>
      <c r="T271" s="51"/>
      <c r="U271" s="51"/>
      <c r="V271" s="52">
        <f>VLOOKUP(H271,[4]Sheet2!K:N,4,0)</f>
        <v>0</v>
      </c>
      <c r="W271" s="52">
        <f t="shared" si="228"/>
        <v>0</v>
      </c>
      <c r="X271" s="52">
        <f>VLOOKUP(H271,[4]Sheet2!K:N,4,0)</f>
        <v>0</v>
      </c>
      <c r="Y271" s="53">
        <f t="shared" si="244"/>
        <v>0</v>
      </c>
      <c r="Z271" s="53">
        <f t="shared" si="245"/>
        <v>0</v>
      </c>
      <c r="AA271" s="53">
        <f t="shared" si="246"/>
        <v>0</v>
      </c>
    </row>
    <row r="272" spans="1:27" ht="18.75" customHeight="1" outlineLevel="6" x14ac:dyDescent="0.3">
      <c r="B272" s="44"/>
      <c r="C272" s="18"/>
      <c r="D272" s="24"/>
      <c r="E272" s="29"/>
      <c r="F272" s="34"/>
      <c r="G272" s="39"/>
      <c r="H272" s="46" t="s">
        <v>321</v>
      </c>
      <c r="I272" s="46" t="s">
        <v>296</v>
      </c>
      <c r="J272" s="47" t="s">
        <v>293</v>
      </c>
      <c r="K272" s="48">
        <v>0.15</v>
      </c>
      <c r="L272" s="49">
        <f>VLOOKUP(H272,[4]Sheet2!K:P,6,0)</f>
        <v>3.7500000000000001E-4</v>
      </c>
      <c r="M272" s="50">
        <f>VLOOKUP(H272,[4]Sheet2!K:Q,7,0)</f>
        <v>26550</v>
      </c>
      <c r="N272" s="51"/>
      <c r="O272" s="51"/>
      <c r="P272" s="51"/>
      <c r="Q272" s="51"/>
      <c r="R272" s="51"/>
      <c r="S272" s="51"/>
      <c r="T272" s="51"/>
      <c r="U272" s="51"/>
      <c r="V272" s="52">
        <f>VLOOKUP(H272,[4]Sheet2!K:N,4,0)</f>
        <v>0</v>
      </c>
      <c r="W272" s="52">
        <f t="shared" si="228"/>
        <v>0</v>
      </c>
      <c r="X272" s="52">
        <f>VLOOKUP(H272,[4]Sheet2!K:N,4,0)</f>
        <v>0</v>
      </c>
      <c r="Y272" s="53">
        <f t="shared" si="244"/>
        <v>0</v>
      </c>
      <c r="Z272" s="53">
        <f t="shared" si="245"/>
        <v>0</v>
      </c>
      <c r="AA272" s="53">
        <f t="shared" si="246"/>
        <v>0</v>
      </c>
    </row>
    <row r="273" spans="1:27" ht="18.75" customHeight="1" outlineLevel="6" x14ac:dyDescent="0.3">
      <c r="B273" s="44"/>
      <c r="C273" s="18"/>
      <c r="D273" s="24"/>
      <c r="E273" s="29"/>
      <c r="F273" s="34"/>
      <c r="G273" s="39"/>
      <c r="H273" s="46" t="s">
        <v>322</v>
      </c>
      <c r="I273" s="46" t="s">
        <v>298</v>
      </c>
      <c r="J273" s="47" t="s">
        <v>293</v>
      </c>
      <c r="K273" s="48">
        <v>0.1</v>
      </c>
      <c r="L273" s="49">
        <f>VLOOKUP(H273,[4]Sheet2!K:P,6,0)</f>
        <v>2.5000000000000001E-4</v>
      </c>
      <c r="M273" s="50">
        <f>VLOOKUP(H273,[4]Sheet2!K:Q,7,0)</f>
        <v>26550</v>
      </c>
      <c r="N273" s="51"/>
      <c r="O273" s="51"/>
      <c r="P273" s="51"/>
      <c r="Q273" s="51"/>
      <c r="R273" s="51"/>
      <c r="S273" s="51"/>
      <c r="T273" s="51"/>
      <c r="U273" s="51"/>
      <c r="V273" s="52">
        <f>VLOOKUP(H273,[4]Sheet2!K:N,4,0)</f>
        <v>0</v>
      </c>
      <c r="W273" s="52">
        <f t="shared" si="228"/>
        <v>0</v>
      </c>
      <c r="X273" s="52">
        <f>VLOOKUP(H273,[4]Sheet2!K:N,4,0)</f>
        <v>0</v>
      </c>
      <c r="Y273" s="53">
        <f t="shared" si="244"/>
        <v>0</v>
      </c>
      <c r="Z273" s="53">
        <f t="shared" si="245"/>
        <v>0</v>
      </c>
      <c r="AA273" s="53">
        <f t="shared" si="246"/>
        <v>0</v>
      </c>
    </row>
    <row r="274" spans="1:27" ht="18.75" customHeight="1" outlineLevel="6" x14ac:dyDescent="0.3">
      <c r="B274" s="44"/>
      <c r="C274" s="18"/>
      <c r="D274" s="24"/>
      <c r="E274" s="29"/>
      <c r="F274" s="34"/>
      <c r="G274" s="39"/>
      <c r="H274" s="46" t="s">
        <v>323</v>
      </c>
      <c r="I274" s="46" t="s">
        <v>56</v>
      </c>
      <c r="J274" s="47" t="s">
        <v>293</v>
      </c>
      <c r="K274" s="48">
        <v>0.05</v>
      </c>
      <c r="L274" s="49">
        <f>VLOOKUP(H274,[4]Sheet2!K:P,6,0)</f>
        <v>1.25E-4</v>
      </c>
      <c r="M274" s="50">
        <f>VLOOKUP(H274,[4]Sheet2!K:Q,7,0)</f>
        <v>26550</v>
      </c>
      <c r="N274" s="51"/>
      <c r="O274" s="51"/>
      <c r="P274" s="51"/>
      <c r="Q274" s="51"/>
      <c r="R274" s="51"/>
      <c r="S274" s="51"/>
      <c r="T274" s="51"/>
      <c r="U274" s="51"/>
      <c r="V274" s="52">
        <f>VLOOKUP(H274,[4]Sheet2!K:N,4,0)</f>
        <v>0</v>
      </c>
      <c r="W274" s="52">
        <f t="shared" si="228"/>
        <v>0</v>
      </c>
      <c r="X274" s="52">
        <f>VLOOKUP(H274,[4]Sheet2!K:N,4,0)</f>
        <v>0</v>
      </c>
      <c r="Y274" s="53">
        <f t="shared" si="244"/>
        <v>0</v>
      </c>
      <c r="Z274" s="53">
        <f t="shared" si="245"/>
        <v>0</v>
      </c>
      <c r="AA274" s="53">
        <f t="shared" si="246"/>
        <v>0</v>
      </c>
    </row>
    <row r="275" spans="1:27" ht="18.75" customHeight="1" outlineLevel="5" x14ac:dyDescent="0.3">
      <c r="B275" s="12"/>
      <c r="C275" s="18"/>
      <c r="D275" s="24"/>
      <c r="E275" s="29"/>
      <c r="F275" s="34"/>
      <c r="G275" s="39" t="s">
        <v>324</v>
      </c>
      <c r="H275" s="58"/>
      <c r="I275" s="58"/>
      <c r="J275" s="58"/>
      <c r="K275" s="58"/>
      <c r="L275" s="41">
        <f>SUM(L276:L280)</f>
        <v>2E-3</v>
      </c>
      <c r="M275" s="42">
        <f>M276</f>
        <v>20120</v>
      </c>
      <c r="N275" s="40"/>
      <c r="O275" s="40"/>
      <c r="P275" s="40"/>
      <c r="Q275" s="40"/>
      <c r="R275" s="40"/>
      <c r="S275" s="40"/>
      <c r="T275" s="40"/>
      <c r="U275" s="40"/>
      <c r="V275" s="62">
        <f t="shared" ref="V275:X275" si="247">SUMPRODUCT(V276:V280,$K276:$K280)</f>
        <v>0</v>
      </c>
      <c r="W275" s="62">
        <f t="shared" si="247"/>
        <v>0</v>
      </c>
      <c r="X275" s="62">
        <f t="shared" si="247"/>
        <v>0</v>
      </c>
      <c r="Y275" s="43">
        <f>SUMPRODUCT(Y276:Y280,$K276:$K280)</f>
        <v>0</v>
      </c>
      <c r="Z275" s="43">
        <f t="shared" ref="Z275:AA275" si="248">SUMPRODUCT(Z276:Z280,$K276:$K280)</f>
        <v>0</v>
      </c>
      <c r="AA275" s="43">
        <f t="shared" si="248"/>
        <v>0</v>
      </c>
    </row>
    <row r="276" spans="1:27" ht="18.75" customHeight="1" outlineLevel="6" x14ac:dyDescent="0.3">
      <c r="B276" s="44"/>
      <c r="C276" s="18"/>
      <c r="D276" s="24"/>
      <c r="E276" s="29"/>
      <c r="F276" s="34"/>
      <c r="G276" s="39"/>
      <c r="H276" s="46" t="s">
        <v>325</v>
      </c>
      <c r="I276" s="46" t="s">
        <v>45</v>
      </c>
      <c r="J276" s="47" t="s">
        <v>293</v>
      </c>
      <c r="K276" s="48">
        <v>0.1</v>
      </c>
      <c r="L276" s="49">
        <f>VLOOKUP(H276,[4]Sheet2!K:P,6,0)</f>
        <v>2.0000000000000001E-4</v>
      </c>
      <c r="M276" s="50">
        <f>VLOOKUP(H276,[4]Sheet2!K:Q,7,0)</f>
        <v>20120</v>
      </c>
      <c r="N276" s="51"/>
      <c r="O276" s="51"/>
      <c r="P276" s="51"/>
      <c r="Q276" s="51"/>
      <c r="R276" s="51"/>
      <c r="S276" s="51"/>
      <c r="T276" s="51"/>
      <c r="U276" s="51"/>
      <c r="V276" s="52">
        <f>VLOOKUP(H276,[4]Sheet2!K:N,4,0)</f>
        <v>0</v>
      </c>
      <c r="W276" s="52">
        <f t="shared" si="228"/>
        <v>0</v>
      </c>
      <c r="X276" s="52">
        <f>VLOOKUP(H276,[4]Sheet2!K:N,4,0)</f>
        <v>0</v>
      </c>
      <c r="Y276" s="53">
        <f t="shared" ref="Y276:Y280" si="249">IFERROR(V276/M276,1)</f>
        <v>0</v>
      </c>
      <c r="Z276" s="53">
        <f t="shared" ref="Z276:Z280" si="250">IFERROR(W276/M276,1)</f>
        <v>0</v>
      </c>
      <c r="AA276" s="53">
        <f t="shared" ref="AA276:AA280" si="251">IFERROR(X276/M276,1)</f>
        <v>0</v>
      </c>
    </row>
    <row r="277" spans="1:27" ht="18.75" customHeight="1" outlineLevel="6" x14ac:dyDescent="0.3">
      <c r="A277" s="1" t="s">
        <v>281</v>
      </c>
      <c r="B277" s="44"/>
      <c r="C277" s="18"/>
      <c r="D277" s="24"/>
      <c r="E277" s="29"/>
      <c r="F277" s="34"/>
      <c r="G277" s="39"/>
      <c r="H277" s="46" t="s">
        <v>326</v>
      </c>
      <c r="I277" s="46" t="s">
        <v>48</v>
      </c>
      <c r="J277" s="47" t="s">
        <v>293</v>
      </c>
      <c r="K277" s="48">
        <v>0.6</v>
      </c>
      <c r="L277" s="49">
        <f>VLOOKUP(H277,[4]Sheet2!K:P,6,0)</f>
        <v>1.2000000000000001E-3</v>
      </c>
      <c r="M277" s="50">
        <f>VLOOKUP(H277,[4]Sheet2!K:Q,7,0)</f>
        <v>20120</v>
      </c>
      <c r="N277" s="51"/>
      <c r="O277" s="51"/>
      <c r="P277" s="51"/>
      <c r="Q277" s="51"/>
      <c r="R277" s="51"/>
      <c r="S277" s="51"/>
      <c r="T277" s="51"/>
      <c r="U277" s="51"/>
      <c r="V277" s="52">
        <f>VLOOKUP(H277,[4]Sheet2!K:N,4,0)</f>
        <v>0</v>
      </c>
      <c r="W277" s="52">
        <f t="shared" si="228"/>
        <v>0</v>
      </c>
      <c r="X277" s="52">
        <f>VLOOKUP(H277,[4]Sheet2!K:N,4,0)</f>
        <v>0</v>
      </c>
      <c r="Y277" s="53">
        <f t="shared" si="249"/>
        <v>0</v>
      </c>
      <c r="Z277" s="53">
        <f t="shared" si="250"/>
        <v>0</v>
      </c>
      <c r="AA277" s="53">
        <f t="shared" si="251"/>
        <v>0</v>
      </c>
    </row>
    <row r="278" spans="1:27" ht="18.75" customHeight="1" outlineLevel="6" x14ac:dyDescent="0.3">
      <c r="B278" s="44"/>
      <c r="C278" s="18"/>
      <c r="D278" s="24"/>
      <c r="E278" s="29"/>
      <c r="F278" s="34"/>
      <c r="G278" s="39"/>
      <c r="H278" s="46" t="s">
        <v>327</v>
      </c>
      <c r="I278" s="46" t="s">
        <v>296</v>
      </c>
      <c r="J278" s="47" t="s">
        <v>293</v>
      </c>
      <c r="K278" s="48">
        <v>0.15</v>
      </c>
      <c r="L278" s="49">
        <f>VLOOKUP(H278,[4]Sheet2!K:P,6,0)</f>
        <v>3.0000000000000003E-4</v>
      </c>
      <c r="M278" s="50">
        <f>VLOOKUP(H278,[4]Sheet2!K:Q,7,0)</f>
        <v>20120</v>
      </c>
      <c r="N278" s="51"/>
      <c r="O278" s="51"/>
      <c r="P278" s="51"/>
      <c r="Q278" s="51"/>
      <c r="R278" s="51"/>
      <c r="S278" s="51"/>
      <c r="T278" s="51"/>
      <c r="U278" s="51"/>
      <c r="V278" s="52">
        <f>VLOOKUP(H278,[4]Sheet2!K:N,4,0)</f>
        <v>0</v>
      </c>
      <c r="W278" s="52">
        <f t="shared" si="228"/>
        <v>0</v>
      </c>
      <c r="X278" s="52">
        <f>VLOOKUP(H278,[4]Sheet2!K:N,4,0)</f>
        <v>0</v>
      </c>
      <c r="Y278" s="53">
        <f t="shared" si="249"/>
        <v>0</v>
      </c>
      <c r="Z278" s="53">
        <f t="shared" si="250"/>
        <v>0</v>
      </c>
      <c r="AA278" s="53">
        <f t="shared" si="251"/>
        <v>0</v>
      </c>
    </row>
    <row r="279" spans="1:27" ht="18.75" customHeight="1" outlineLevel="6" x14ac:dyDescent="0.3">
      <c r="B279" s="44"/>
      <c r="C279" s="18"/>
      <c r="D279" s="24"/>
      <c r="E279" s="29"/>
      <c r="F279" s="34"/>
      <c r="G279" s="39"/>
      <c r="H279" s="46" t="s">
        <v>328</v>
      </c>
      <c r="I279" s="46" t="s">
        <v>298</v>
      </c>
      <c r="J279" s="47" t="s">
        <v>293</v>
      </c>
      <c r="K279" s="48">
        <v>0.1</v>
      </c>
      <c r="L279" s="49">
        <f>VLOOKUP(H279,[4]Sheet2!K:P,6,0)</f>
        <v>2.0000000000000001E-4</v>
      </c>
      <c r="M279" s="50">
        <f>VLOOKUP(H279,[4]Sheet2!K:Q,7,0)</f>
        <v>20120</v>
      </c>
      <c r="N279" s="51"/>
      <c r="O279" s="51"/>
      <c r="P279" s="51"/>
      <c r="Q279" s="51"/>
      <c r="R279" s="51"/>
      <c r="S279" s="51"/>
      <c r="T279" s="51"/>
      <c r="U279" s="51"/>
      <c r="V279" s="52">
        <f>VLOOKUP(H279,[4]Sheet2!K:N,4,0)</f>
        <v>0</v>
      </c>
      <c r="W279" s="52">
        <f t="shared" si="228"/>
        <v>0</v>
      </c>
      <c r="X279" s="52">
        <f>VLOOKUP(H279,[4]Sheet2!K:N,4,0)</f>
        <v>0</v>
      </c>
      <c r="Y279" s="53">
        <f t="shared" si="249"/>
        <v>0</v>
      </c>
      <c r="Z279" s="53">
        <f t="shared" si="250"/>
        <v>0</v>
      </c>
      <c r="AA279" s="53">
        <f t="shared" si="251"/>
        <v>0</v>
      </c>
    </row>
    <row r="280" spans="1:27" ht="18.75" customHeight="1" outlineLevel="6" x14ac:dyDescent="0.3">
      <c r="B280" s="44"/>
      <c r="C280" s="18"/>
      <c r="D280" s="24"/>
      <c r="E280" s="29"/>
      <c r="F280" s="34"/>
      <c r="G280" s="39"/>
      <c r="H280" s="46" t="s">
        <v>329</v>
      </c>
      <c r="I280" s="46" t="s">
        <v>56</v>
      </c>
      <c r="J280" s="47" t="s">
        <v>293</v>
      </c>
      <c r="K280" s="48">
        <v>0.05</v>
      </c>
      <c r="L280" s="49">
        <f>VLOOKUP(H280,[4]Sheet2!K:P,6,0)</f>
        <v>1E-4</v>
      </c>
      <c r="M280" s="50">
        <f>VLOOKUP(H280,[4]Sheet2!K:Q,7,0)</f>
        <v>20120</v>
      </c>
      <c r="N280" s="51"/>
      <c r="O280" s="51"/>
      <c r="P280" s="51"/>
      <c r="Q280" s="51"/>
      <c r="R280" s="51"/>
      <c r="S280" s="51"/>
      <c r="T280" s="51"/>
      <c r="U280" s="51"/>
      <c r="V280" s="52">
        <f>VLOOKUP(H280,[4]Sheet2!K:N,4,0)</f>
        <v>0</v>
      </c>
      <c r="W280" s="52">
        <f t="shared" si="228"/>
        <v>0</v>
      </c>
      <c r="X280" s="52">
        <f>VLOOKUP(H280,[4]Sheet2!K:N,4,0)</f>
        <v>0</v>
      </c>
      <c r="Y280" s="53">
        <f t="shared" si="249"/>
        <v>0</v>
      </c>
      <c r="Z280" s="53">
        <f t="shared" si="250"/>
        <v>0</v>
      </c>
      <c r="AA280" s="53">
        <f t="shared" si="251"/>
        <v>0</v>
      </c>
    </row>
    <row r="281" spans="1:27" ht="18.75" customHeight="1" outlineLevel="5" x14ac:dyDescent="0.3">
      <c r="B281" s="12"/>
      <c r="C281" s="18"/>
      <c r="D281" s="24"/>
      <c r="E281" s="29"/>
      <c r="F281" s="34"/>
      <c r="G281" s="39" t="s">
        <v>330</v>
      </c>
      <c r="H281" s="58"/>
      <c r="I281" s="58"/>
      <c r="J281" s="58"/>
      <c r="K281" s="58"/>
      <c r="L281" s="41">
        <f>SUM(L282:L286)</f>
        <v>9.0000000000000008E-4</v>
      </c>
      <c r="M281" s="42">
        <f>M282</f>
        <v>2100</v>
      </c>
      <c r="N281" s="40"/>
      <c r="O281" s="40"/>
      <c r="P281" s="40"/>
      <c r="Q281" s="40"/>
      <c r="R281" s="40"/>
      <c r="S281" s="40"/>
      <c r="T281" s="40"/>
      <c r="U281" s="40"/>
      <c r="V281" s="62">
        <f t="shared" ref="V281:X281" si="252">SUMPRODUCT(V282:V286,$K282:$K286)</f>
        <v>0</v>
      </c>
      <c r="W281" s="62">
        <f t="shared" si="252"/>
        <v>0</v>
      </c>
      <c r="X281" s="62">
        <f t="shared" si="252"/>
        <v>0</v>
      </c>
      <c r="Y281" s="43">
        <f>SUMPRODUCT(Y282:Y286,$K282:$K286)</f>
        <v>0</v>
      </c>
      <c r="Z281" s="43">
        <f t="shared" ref="Z281:AA281" si="253">SUMPRODUCT(Z282:Z286,$K282:$K286)</f>
        <v>0</v>
      </c>
      <c r="AA281" s="43">
        <f t="shared" si="253"/>
        <v>0</v>
      </c>
    </row>
    <row r="282" spans="1:27" ht="18.75" customHeight="1" outlineLevel="6" x14ac:dyDescent="0.3">
      <c r="B282" s="44"/>
      <c r="C282" s="18"/>
      <c r="D282" s="24"/>
      <c r="E282" s="29"/>
      <c r="F282" s="34"/>
      <c r="G282" s="39"/>
      <c r="H282" s="46" t="s">
        <v>331</v>
      </c>
      <c r="I282" s="46" t="s">
        <v>45</v>
      </c>
      <c r="J282" s="47" t="s">
        <v>293</v>
      </c>
      <c r="K282" s="48">
        <v>0.1</v>
      </c>
      <c r="L282" s="49">
        <f>VLOOKUP(H282,[4]Sheet2!K:P,6,0)</f>
        <v>8.9999999999999992E-5</v>
      </c>
      <c r="M282" s="50">
        <f>VLOOKUP(H282,[4]Sheet2!K:Q,7,0)</f>
        <v>2100</v>
      </c>
      <c r="N282" s="51"/>
      <c r="O282" s="51"/>
      <c r="P282" s="51"/>
      <c r="Q282" s="51"/>
      <c r="R282" s="51"/>
      <c r="S282" s="51"/>
      <c r="T282" s="51"/>
      <c r="U282" s="51"/>
      <c r="V282" s="52">
        <f>VLOOKUP(H282,[4]Sheet2!K:N,4,0)</f>
        <v>0</v>
      </c>
      <c r="W282" s="52">
        <f t="shared" si="228"/>
        <v>0</v>
      </c>
      <c r="X282" s="52">
        <f>VLOOKUP(H282,[4]Sheet2!K:N,4,0)</f>
        <v>0</v>
      </c>
      <c r="Y282" s="53">
        <f t="shared" ref="Y282:Y286" si="254">IFERROR(V282/M282,1)</f>
        <v>0</v>
      </c>
      <c r="Z282" s="53">
        <f t="shared" ref="Z282:Z286" si="255">IFERROR(W282/M282,1)</f>
        <v>0</v>
      </c>
      <c r="AA282" s="53">
        <f t="shared" ref="AA282:AA286" si="256">IFERROR(X282/M282,1)</f>
        <v>0</v>
      </c>
    </row>
    <row r="283" spans="1:27" ht="18.75" customHeight="1" outlineLevel="6" x14ac:dyDescent="0.3">
      <c r="A283" s="1" t="s">
        <v>281</v>
      </c>
      <c r="B283" s="44"/>
      <c r="C283" s="18"/>
      <c r="D283" s="24"/>
      <c r="E283" s="29"/>
      <c r="F283" s="34"/>
      <c r="G283" s="39"/>
      <c r="H283" s="46" t="s">
        <v>332</v>
      </c>
      <c r="I283" s="46" t="s">
        <v>48</v>
      </c>
      <c r="J283" s="47" t="s">
        <v>293</v>
      </c>
      <c r="K283" s="48">
        <v>0.6</v>
      </c>
      <c r="L283" s="49">
        <f>VLOOKUP(H283,[4]Sheet2!K:P,6,0)</f>
        <v>5.4000000000000001E-4</v>
      </c>
      <c r="M283" s="50">
        <f>VLOOKUP(H283,[4]Sheet2!K:Q,7,0)</f>
        <v>2100</v>
      </c>
      <c r="N283" s="51"/>
      <c r="O283" s="51"/>
      <c r="P283" s="51"/>
      <c r="Q283" s="51"/>
      <c r="R283" s="51"/>
      <c r="S283" s="51"/>
      <c r="T283" s="51"/>
      <c r="U283" s="51"/>
      <c r="V283" s="52">
        <f>VLOOKUP(H283,[4]Sheet2!K:N,4,0)</f>
        <v>0</v>
      </c>
      <c r="W283" s="52">
        <f t="shared" si="228"/>
        <v>0</v>
      </c>
      <c r="X283" s="52">
        <f>VLOOKUP(H283,[4]Sheet2!K:N,4,0)</f>
        <v>0</v>
      </c>
      <c r="Y283" s="53">
        <f t="shared" si="254"/>
        <v>0</v>
      </c>
      <c r="Z283" s="53">
        <f t="shared" si="255"/>
        <v>0</v>
      </c>
      <c r="AA283" s="53">
        <f t="shared" si="256"/>
        <v>0</v>
      </c>
    </row>
    <row r="284" spans="1:27" ht="18.75" customHeight="1" outlineLevel="6" x14ac:dyDescent="0.3">
      <c r="B284" s="44"/>
      <c r="C284" s="18"/>
      <c r="D284" s="24"/>
      <c r="E284" s="29"/>
      <c r="F284" s="34"/>
      <c r="G284" s="39"/>
      <c r="H284" s="46" t="s">
        <v>333</v>
      </c>
      <c r="I284" s="46" t="s">
        <v>296</v>
      </c>
      <c r="J284" s="47" t="s">
        <v>293</v>
      </c>
      <c r="K284" s="48">
        <v>0.15</v>
      </c>
      <c r="L284" s="49">
        <f>VLOOKUP(H284,[4]Sheet2!K:P,6,0)</f>
        <v>1.35E-4</v>
      </c>
      <c r="M284" s="50">
        <f>VLOOKUP(H284,[4]Sheet2!K:Q,7,0)</f>
        <v>2100</v>
      </c>
      <c r="N284" s="51"/>
      <c r="O284" s="51"/>
      <c r="P284" s="51"/>
      <c r="Q284" s="51"/>
      <c r="R284" s="51"/>
      <c r="S284" s="51"/>
      <c r="T284" s="51"/>
      <c r="U284" s="51"/>
      <c r="V284" s="52">
        <f>VLOOKUP(H284,[4]Sheet2!K:N,4,0)</f>
        <v>0</v>
      </c>
      <c r="W284" s="52">
        <f t="shared" si="228"/>
        <v>0</v>
      </c>
      <c r="X284" s="52">
        <f>VLOOKUP(H284,[4]Sheet2!K:N,4,0)</f>
        <v>0</v>
      </c>
      <c r="Y284" s="53">
        <f t="shared" si="254"/>
        <v>0</v>
      </c>
      <c r="Z284" s="53">
        <f t="shared" si="255"/>
        <v>0</v>
      </c>
      <c r="AA284" s="53">
        <f t="shared" si="256"/>
        <v>0</v>
      </c>
    </row>
    <row r="285" spans="1:27" ht="18.75" customHeight="1" outlineLevel="6" x14ac:dyDescent="0.3">
      <c r="B285" s="44"/>
      <c r="C285" s="18"/>
      <c r="D285" s="24"/>
      <c r="E285" s="29"/>
      <c r="F285" s="34"/>
      <c r="G285" s="39"/>
      <c r="H285" s="46" t="s">
        <v>334</v>
      </c>
      <c r="I285" s="46" t="s">
        <v>298</v>
      </c>
      <c r="J285" s="47" t="s">
        <v>293</v>
      </c>
      <c r="K285" s="48">
        <v>0.1</v>
      </c>
      <c r="L285" s="49">
        <f>VLOOKUP(H285,[4]Sheet2!K:P,6,0)</f>
        <v>8.9999999999999992E-5</v>
      </c>
      <c r="M285" s="50">
        <f>VLOOKUP(H285,[4]Sheet2!K:Q,7,0)</f>
        <v>2100</v>
      </c>
      <c r="N285" s="51"/>
      <c r="O285" s="51"/>
      <c r="P285" s="51"/>
      <c r="Q285" s="51"/>
      <c r="R285" s="51"/>
      <c r="S285" s="51"/>
      <c r="T285" s="51"/>
      <c r="U285" s="51"/>
      <c r="V285" s="52">
        <f>VLOOKUP(H285,[4]Sheet2!K:N,4,0)</f>
        <v>0</v>
      </c>
      <c r="W285" s="52">
        <f t="shared" si="228"/>
        <v>0</v>
      </c>
      <c r="X285" s="52">
        <f>VLOOKUP(H285,[4]Sheet2!K:N,4,0)</f>
        <v>0</v>
      </c>
      <c r="Y285" s="53">
        <f t="shared" si="254"/>
        <v>0</v>
      </c>
      <c r="Z285" s="53">
        <f t="shared" si="255"/>
        <v>0</v>
      </c>
      <c r="AA285" s="53">
        <f t="shared" si="256"/>
        <v>0</v>
      </c>
    </row>
    <row r="286" spans="1:27" ht="18.75" customHeight="1" outlineLevel="6" x14ac:dyDescent="0.3">
      <c r="B286" s="44"/>
      <c r="C286" s="18"/>
      <c r="D286" s="24"/>
      <c r="E286" s="29"/>
      <c r="F286" s="34"/>
      <c r="G286" s="39"/>
      <c r="H286" s="46" t="s">
        <v>335</v>
      </c>
      <c r="I286" s="46" t="s">
        <v>56</v>
      </c>
      <c r="J286" s="47" t="s">
        <v>293</v>
      </c>
      <c r="K286" s="48">
        <v>0.05</v>
      </c>
      <c r="L286" s="49">
        <f>VLOOKUP(H286,[4]Sheet2!K:P,6,0)</f>
        <v>4.4999999999999996E-5</v>
      </c>
      <c r="M286" s="50">
        <f>VLOOKUP(H286,[4]Sheet2!K:Q,7,0)</f>
        <v>2100</v>
      </c>
      <c r="N286" s="51"/>
      <c r="O286" s="51"/>
      <c r="P286" s="51"/>
      <c r="Q286" s="51"/>
      <c r="R286" s="51"/>
      <c r="S286" s="51"/>
      <c r="T286" s="51"/>
      <c r="U286" s="51"/>
      <c r="V286" s="52">
        <f>VLOOKUP(H286,[4]Sheet2!K:N,4,0)</f>
        <v>0</v>
      </c>
      <c r="W286" s="52">
        <f t="shared" si="228"/>
        <v>0</v>
      </c>
      <c r="X286" s="52">
        <f>VLOOKUP(H286,[4]Sheet2!K:N,4,0)</f>
        <v>0</v>
      </c>
      <c r="Y286" s="53">
        <f t="shared" si="254"/>
        <v>0</v>
      </c>
      <c r="Z286" s="53">
        <f t="shared" si="255"/>
        <v>0</v>
      </c>
      <c r="AA286" s="53">
        <f t="shared" si="256"/>
        <v>0</v>
      </c>
    </row>
    <row r="287" spans="1:27" ht="18.75" customHeight="1" outlineLevel="5" x14ac:dyDescent="0.3">
      <c r="B287" s="12"/>
      <c r="C287" s="18"/>
      <c r="D287" s="24"/>
      <c r="E287" s="29"/>
      <c r="F287" s="34"/>
      <c r="G287" s="39" t="s">
        <v>336</v>
      </c>
      <c r="H287" s="58"/>
      <c r="I287" s="58"/>
      <c r="J287" s="58"/>
      <c r="K287" s="58"/>
      <c r="L287" s="41">
        <f>SUM(L288:L292)</f>
        <v>9.0000000000000008E-4</v>
      </c>
      <c r="M287" s="42">
        <f>M288</f>
        <v>2000</v>
      </c>
      <c r="N287" s="40"/>
      <c r="O287" s="40"/>
      <c r="P287" s="40"/>
      <c r="Q287" s="40"/>
      <c r="R287" s="40"/>
      <c r="S287" s="40"/>
      <c r="T287" s="40"/>
      <c r="U287" s="40"/>
      <c r="V287" s="62">
        <f t="shared" ref="V287:X287" si="257">SUMPRODUCT(V288:V292,$K288:$K292)</f>
        <v>0</v>
      </c>
      <c r="W287" s="62">
        <f t="shared" si="257"/>
        <v>0</v>
      </c>
      <c r="X287" s="62">
        <f t="shared" si="257"/>
        <v>0</v>
      </c>
      <c r="Y287" s="43">
        <f>SUMPRODUCT(Y288:Y292,$K288:$K292)</f>
        <v>0</v>
      </c>
      <c r="Z287" s="43">
        <f t="shared" ref="Z287:AA287" si="258">SUMPRODUCT(Z288:Z292,$K288:$K292)</f>
        <v>0</v>
      </c>
      <c r="AA287" s="43">
        <f t="shared" si="258"/>
        <v>0</v>
      </c>
    </row>
    <row r="288" spans="1:27" ht="18.75" customHeight="1" outlineLevel="6" x14ac:dyDescent="0.3">
      <c r="B288" s="44"/>
      <c r="C288" s="18"/>
      <c r="D288" s="24"/>
      <c r="E288" s="29"/>
      <c r="F288" s="34"/>
      <c r="G288" s="39"/>
      <c r="H288" s="46" t="s">
        <v>337</v>
      </c>
      <c r="I288" s="46" t="s">
        <v>45</v>
      </c>
      <c r="J288" s="47" t="s">
        <v>293</v>
      </c>
      <c r="K288" s="48">
        <v>0.1</v>
      </c>
      <c r="L288" s="49">
        <f>VLOOKUP(H288,[4]Sheet2!K:P,6,0)</f>
        <v>8.9999999999999992E-5</v>
      </c>
      <c r="M288" s="50">
        <f>VLOOKUP(H288,[4]Sheet2!K:Q,7,0)</f>
        <v>2000</v>
      </c>
      <c r="N288" s="51"/>
      <c r="O288" s="51"/>
      <c r="P288" s="51"/>
      <c r="Q288" s="51"/>
      <c r="R288" s="51"/>
      <c r="S288" s="51"/>
      <c r="T288" s="51"/>
      <c r="U288" s="51"/>
      <c r="V288" s="52">
        <f>VLOOKUP(H288,[4]Sheet2!K:N,4,0)</f>
        <v>0</v>
      </c>
      <c r="W288" s="52">
        <f t="shared" si="228"/>
        <v>0</v>
      </c>
      <c r="X288" s="52">
        <f>VLOOKUP(H288,[4]Sheet2!K:N,4,0)</f>
        <v>0</v>
      </c>
      <c r="Y288" s="53">
        <f t="shared" ref="Y288:Y292" si="259">IFERROR(V288/M288,1)</f>
        <v>0</v>
      </c>
      <c r="Z288" s="53">
        <f t="shared" ref="Z288:Z292" si="260">IFERROR(W288/M288,1)</f>
        <v>0</v>
      </c>
      <c r="AA288" s="53">
        <f t="shared" ref="AA288:AA292" si="261">IFERROR(X288/M288,1)</f>
        <v>0</v>
      </c>
    </row>
    <row r="289" spans="1:27" ht="18.75" customHeight="1" outlineLevel="6" x14ac:dyDescent="0.3">
      <c r="A289" s="1" t="s">
        <v>281</v>
      </c>
      <c r="B289" s="44"/>
      <c r="C289" s="18"/>
      <c r="D289" s="24"/>
      <c r="E289" s="29"/>
      <c r="F289" s="34"/>
      <c r="G289" s="39"/>
      <c r="H289" s="46" t="s">
        <v>338</v>
      </c>
      <c r="I289" s="46" t="s">
        <v>48</v>
      </c>
      <c r="J289" s="47" t="s">
        <v>293</v>
      </c>
      <c r="K289" s="48">
        <v>0.6</v>
      </c>
      <c r="L289" s="49">
        <f>VLOOKUP(H289,[4]Sheet2!K:P,6,0)</f>
        <v>5.4000000000000001E-4</v>
      </c>
      <c r="M289" s="50">
        <f>VLOOKUP(H289,[4]Sheet2!K:Q,7,0)</f>
        <v>2000</v>
      </c>
      <c r="N289" s="51"/>
      <c r="O289" s="51"/>
      <c r="P289" s="51"/>
      <c r="Q289" s="51"/>
      <c r="R289" s="51"/>
      <c r="S289" s="51"/>
      <c r="T289" s="51"/>
      <c r="U289" s="51"/>
      <c r="V289" s="52">
        <f>VLOOKUP(H289,[4]Sheet2!K:N,4,0)</f>
        <v>0</v>
      </c>
      <c r="W289" s="52">
        <f t="shared" si="228"/>
        <v>0</v>
      </c>
      <c r="X289" s="52">
        <f>VLOOKUP(H289,[4]Sheet2!K:N,4,0)</f>
        <v>0</v>
      </c>
      <c r="Y289" s="53">
        <f t="shared" si="259"/>
        <v>0</v>
      </c>
      <c r="Z289" s="53">
        <f t="shared" si="260"/>
        <v>0</v>
      </c>
      <c r="AA289" s="53">
        <f t="shared" si="261"/>
        <v>0</v>
      </c>
    </row>
    <row r="290" spans="1:27" ht="18.75" customHeight="1" outlineLevel="6" x14ac:dyDescent="0.3">
      <c r="B290" s="44"/>
      <c r="C290" s="18"/>
      <c r="D290" s="24"/>
      <c r="E290" s="29"/>
      <c r="F290" s="34"/>
      <c r="G290" s="39"/>
      <c r="H290" s="46" t="s">
        <v>339</v>
      </c>
      <c r="I290" s="46" t="s">
        <v>296</v>
      </c>
      <c r="J290" s="47" t="s">
        <v>293</v>
      </c>
      <c r="K290" s="48">
        <v>0.15</v>
      </c>
      <c r="L290" s="49">
        <f>VLOOKUP(H290,[4]Sheet2!K:P,6,0)</f>
        <v>1.35E-4</v>
      </c>
      <c r="M290" s="50">
        <f>VLOOKUP(H290,[4]Sheet2!K:Q,7,0)</f>
        <v>2000</v>
      </c>
      <c r="N290" s="51"/>
      <c r="O290" s="51"/>
      <c r="P290" s="51"/>
      <c r="Q290" s="51"/>
      <c r="R290" s="51"/>
      <c r="S290" s="51"/>
      <c r="T290" s="51"/>
      <c r="U290" s="51"/>
      <c r="V290" s="52">
        <f>VLOOKUP(H290,[4]Sheet2!K:N,4,0)</f>
        <v>0</v>
      </c>
      <c r="W290" s="52">
        <f t="shared" si="228"/>
        <v>0</v>
      </c>
      <c r="X290" s="52">
        <f>VLOOKUP(H290,[4]Sheet2!K:N,4,0)</f>
        <v>0</v>
      </c>
      <c r="Y290" s="53">
        <f t="shared" si="259"/>
        <v>0</v>
      </c>
      <c r="Z290" s="53">
        <f t="shared" si="260"/>
        <v>0</v>
      </c>
      <c r="AA290" s="53">
        <f t="shared" si="261"/>
        <v>0</v>
      </c>
    </row>
    <row r="291" spans="1:27" ht="18.75" customHeight="1" outlineLevel="6" x14ac:dyDescent="0.3">
      <c r="B291" s="44"/>
      <c r="C291" s="18"/>
      <c r="D291" s="24"/>
      <c r="E291" s="29"/>
      <c r="F291" s="34"/>
      <c r="G291" s="39"/>
      <c r="H291" s="46" t="s">
        <v>340</v>
      </c>
      <c r="I291" s="46" t="s">
        <v>298</v>
      </c>
      <c r="J291" s="47" t="s">
        <v>293</v>
      </c>
      <c r="K291" s="48">
        <v>0.1</v>
      </c>
      <c r="L291" s="49">
        <f>VLOOKUP(H291,[4]Sheet2!K:P,6,0)</f>
        <v>8.9999999999999992E-5</v>
      </c>
      <c r="M291" s="50">
        <f>VLOOKUP(H291,[4]Sheet2!K:Q,7,0)</f>
        <v>2000</v>
      </c>
      <c r="N291" s="51"/>
      <c r="O291" s="51"/>
      <c r="P291" s="51"/>
      <c r="Q291" s="51"/>
      <c r="R291" s="51"/>
      <c r="S291" s="51"/>
      <c r="T291" s="51"/>
      <c r="U291" s="51"/>
      <c r="V291" s="52">
        <f>VLOOKUP(H291,[4]Sheet2!K:N,4,0)</f>
        <v>0</v>
      </c>
      <c r="W291" s="52">
        <f t="shared" si="228"/>
        <v>0</v>
      </c>
      <c r="X291" s="52">
        <f>VLOOKUP(H291,[4]Sheet2!K:N,4,0)</f>
        <v>0</v>
      </c>
      <c r="Y291" s="53">
        <f t="shared" si="259"/>
        <v>0</v>
      </c>
      <c r="Z291" s="53">
        <f t="shared" si="260"/>
        <v>0</v>
      </c>
      <c r="AA291" s="53">
        <f t="shared" si="261"/>
        <v>0</v>
      </c>
    </row>
    <row r="292" spans="1:27" ht="18.75" customHeight="1" outlineLevel="6" x14ac:dyDescent="0.3">
      <c r="B292" s="44"/>
      <c r="C292" s="18"/>
      <c r="D292" s="24"/>
      <c r="E292" s="29"/>
      <c r="F292" s="34"/>
      <c r="G292" s="39"/>
      <c r="H292" s="46" t="s">
        <v>341</v>
      </c>
      <c r="I292" s="46" t="s">
        <v>56</v>
      </c>
      <c r="J292" s="47" t="s">
        <v>293</v>
      </c>
      <c r="K292" s="48">
        <v>0.05</v>
      </c>
      <c r="L292" s="49">
        <f>VLOOKUP(H292,[4]Sheet2!K:P,6,0)</f>
        <v>4.4999999999999996E-5</v>
      </c>
      <c r="M292" s="50">
        <f>VLOOKUP(H292,[4]Sheet2!K:Q,7,0)</f>
        <v>2000</v>
      </c>
      <c r="N292" s="51"/>
      <c r="O292" s="51"/>
      <c r="P292" s="51"/>
      <c r="Q292" s="51"/>
      <c r="R292" s="51"/>
      <c r="S292" s="51"/>
      <c r="T292" s="51"/>
      <c r="U292" s="51"/>
      <c r="V292" s="52">
        <f>VLOOKUP(H292,[4]Sheet2!K:N,4,0)</f>
        <v>0</v>
      </c>
      <c r="W292" s="52">
        <f t="shared" si="228"/>
        <v>0</v>
      </c>
      <c r="X292" s="52">
        <f>VLOOKUP(H292,[4]Sheet2!K:N,4,0)</f>
        <v>0</v>
      </c>
      <c r="Y292" s="53">
        <f t="shared" si="259"/>
        <v>0</v>
      </c>
      <c r="Z292" s="53">
        <f t="shared" si="260"/>
        <v>0</v>
      </c>
      <c r="AA292" s="53">
        <f t="shared" si="261"/>
        <v>0</v>
      </c>
    </row>
    <row r="293" spans="1:27" ht="18.75" customHeight="1" outlineLevel="5" x14ac:dyDescent="0.3">
      <c r="B293" s="12"/>
      <c r="C293" s="18"/>
      <c r="D293" s="24"/>
      <c r="E293" s="29"/>
      <c r="F293" s="34"/>
      <c r="G293" s="39" t="s">
        <v>342</v>
      </c>
      <c r="H293" s="58"/>
      <c r="I293" s="58"/>
      <c r="J293" s="58"/>
      <c r="K293" s="58"/>
      <c r="L293" s="41">
        <f>SUM(L294:L298)</f>
        <v>5.9999999999999995E-4</v>
      </c>
      <c r="M293" s="42">
        <f>M294</f>
        <v>1000</v>
      </c>
      <c r="N293" s="40"/>
      <c r="O293" s="40"/>
      <c r="P293" s="40"/>
      <c r="Q293" s="40"/>
      <c r="R293" s="40"/>
      <c r="S293" s="40"/>
      <c r="T293" s="40"/>
      <c r="U293" s="40"/>
      <c r="V293" s="62">
        <f t="shared" ref="V293:X293" si="262">SUMPRODUCT(V294:V298,$K294:$K298)</f>
        <v>0</v>
      </c>
      <c r="W293" s="62">
        <f t="shared" si="262"/>
        <v>0</v>
      </c>
      <c r="X293" s="62">
        <f t="shared" si="262"/>
        <v>0</v>
      </c>
      <c r="Y293" s="43">
        <f>SUMPRODUCT(Y294:Y298,$K294:$K298)</f>
        <v>0</v>
      </c>
      <c r="Z293" s="43">
        <f t="shared" ref="Z293:AA293" si="263">SUMPRODUCT(Z294:Z298,$K294:$K298)</f>
        <v>0</v>
      </c>
      <c r="AA293" s="43">
        <f t="shared" si="263"/>
        <v>0</v>
      </c>
    </row>
    <row r="294" spans="1:27" ht="18.75" customHeight="1" outlineLevel="6" x14ac:dyDescent="0.3">
      <c r="B294" s="44"/>
      <c r="C294" s="18"/>
      <c r="D294" s="24"/>
      <c r="E294" s="29"/>
      <c r="F294" s="34"/>
      <c r="G294" s="39"/>
      <c r="H294" s="46" t="s">
        <v>343</v>
      </c>
      <c r="I294" s="46" t="s">
        <v>45</v>
      </c>
      <c r="J294" s="47" t="s">
        <v>293</v>
      </c>
      <c r="K294" s="48">
        <v>0.1</v>
      </c>
      <c r="L294" s="49">
        <f>VLOOKUP(H294,[4]Sheet2!K:P,6,0)</f>
        <v>5.9999999999999995E-5</v>
      </c>
      <c r="M294" s="50">
        <f>VLOOKUP(H294,[4]Sheet2!K:Q,7,0)</f>
        <v>1000</v>
      </c>
      <c r="N294" s="51"/>
      <c r="O294" s="51"/>
      <c r="P294" s="51"/>
      <c r="Q294" s="51"/>
      <c r="R294" s="51"/>
      <c r="S294" s="51"/>
      <c r="T294" s="51"/>
      <c r="U294" s="51"/>
      <c r="V294" s="52">
        <f>VLOOKUP(H294,[4]Sheet2!K:N,4,0)</f>
        <v>0</v>
      </c>
      <c r="W294" s="52">
        <f t="shared" si="228"/>
        <v>0</v>
      </c>
      <c r="X294" s="52">
        <f>VLOOKUP(H294,[4]Sheet2!K:N,4,0)</f>
        <v>0</v>
      </c>
      <c r="Y294" s="53">
        <f t="shared" ref="Y294:Y298" si="264">IFERROR(V294/M294,1)</f>
        <v>0</v>
      </c>
      <c r="Z294" s="53">
        <f t="shared" ref="Z294:Z298" si="265">IFERROR(W294/M294,1)</f>
        <v>0</v>
      </c>
      <c r="AA294" s="53">
        <f t="shared" ref="AA294:AA298" si="266">IFERROR(X294/M294,1)</f>
        <v>0</v>
      </c>
    </row>
    <row r="295" spans="1:27" ht="18.75" customHeight="1" outlineLevel="6" x14ac:dyDescent="0.3">
      <c r="A295" s="1" t="s">
        <v>281</v>
      </c>
      <c r="B295" s="44"/>
      <c r="C295" s="18"/>
      <c r="D295" s="24"/>
      <c r="E295" s="29"/>
      <c r="F295" s="34"/>
      <c r="G295" s="39"/>
      <c r="H295" s="46" t="s">
        <v>344</v>
      </c>
      <c r="I295" s="46" t="s">
        <v>48</v>
      </c>
      <c r="J295" s="47" t="s">
        <v>293</v>
      </c>
      <c r="K295" s="48">
        <v>0.6</v>
      </c>
      <c r="L295" s="49">
        <f>VLOOKUP(H295,[4]Sheet2!K:P,6,0)</f>
        <v>3.5999999999999997E-4</v>
      </c>
      <c r="M295" s="50">
        <f>VLOOKUP(H295,[4]Sheet2!K:Q,7,0)</f>
        <v>1000</v>
      </c>
      <c r="N295" s="51"/>
      <c r="O295" s="51"/>
      <c r="P295" s="51"/>
      <c r="Q295" s="51"/>
      <c r="R295" s="51"/>
      <c r="S295" s="51"/>
      <c r="T295" s="51"/>
      <c r="U295" s="51"/>
      <c r="V295" s="52">
        <f>VLOOKUP(H295,[4]Sheet2!K:N,4,0)</f>
        <v>0</v>
      </c>
      <c r="W295" s="52">
        <f t="shared" si="228"/>
        <v>0</v>
      </c>
      <c r="X295" s="52">
        <f>VLOOKUP(H295,[4]Sheet2!K:N,4,0)</f>
        <v>0</v>
      </c>
      <c r="Y295" s="53">
        <f t="shared" si="264"/>
        <v>0</v>
      </c>
      <c r="Z295" s="53">
        <f t="shared" si="265"/>
        <v>0</v>
      </c>
      <c r="AA295" s="53">
        <f t="shared" si="266"/>
        <v>0</v>
      </c>
    </row>
    <row r="296" spans="1:27" ht="18.75" customHeight="1" outlineLevel="6" x14ac:dyDescent="0.3">
      <c r="B296" s="44"/>
      <c r="C296" s="18"/>
      <c r="D296" s="24"/>
      <c r="E296" s="29"/>
      <c r="F296" s="34"/>
      <c r="G296" s="39"/>
      <c r="H296" s="46" t="s">
        <v>345</v>
      </c>
      <c r="I296" s="46" t="s">
        <v>296</v>
      </c>
      <c r="J296" s="47" t="s">
        <v>293</v>
      </c>
      <c r="K296" s="48">
        <v>0.15</v>
      </c>
      <c r="L296" s="49">
        <f>VLOOKUP(H296,[4]Sheet2!K:P,6,0)</f>
        <v>8.9999999999999992E-5</v>
      </c>
      <c r="M296" s="50">
        <f>VLOOKUP(H296,[4]Sheet2!K:Q,7,0)</f>
        <v>1000</v>
      </c>
      <c r="N296" s="51"/>
      <c r="O296" s="51"/>
      <c r="P296" s="51"/>
      <c r="Q296" s="51"/>
      <c r="R296" s="51"/>
      <c r="S296" s="51"/>
      <c r="T296" s="51"/>
      <c r="U296" s="51"/>
      <c r="V296" s="52">
        <f>VLOOKUP(H296,[4]Sheet2!K:N,4,0)</f>
        <v>0</v>
      </c>
      <c r="W296" s="52">
        <f t="shared" si="228"/>
        <v>0</v>
      </c>
      <c r="X296" s="52">
        <f>VLOOKUP(H296,[4]Sheet2!K:N,4,0)</f>
        <v>0</v>
      </c>
      <c r="Y296" s="53">
        <f t="shared" si="264"/>
        <v>0</v>
      </c>
      <c r="Z296" s="53">
        <f t="shared" si="265"/>
        <v>0</v>
      </c>
      <c r="AA296" s="53">
        <f t="shared" si="266"/>
        <v>0</v>
      </c>
    </row>
    <row r="297" spans="1:27" ht="18.75" customHeight="1" outlineLevel="6" x14ac:dyDescent="0.3">
      <c r="B297" s="44"/>
      <c r="C297" s="18"/>
      <c r="D297" s="24"/>
      <c r="E297" s="29"/>
      <c r="F297" s="34"/>
      <c r="G297" s="39"/>
      <c r="H297" s="46" t="s">
        <v>346</v>
      </c>
      <c r="I297" s="46" t="s">
        <v>298</v>
      </c>
      <c r="J297" s="47" t="s">
        <v>293</v>
      </c>
      <c r="K297" s="48">
        <v>0.1</v>
      </c>
      <c r="L297" s="49">
        <f>VLOOKUP(H297,[4]Sheet2!K:P,6,0)</f>
        <v>5.9999999999999995E-5</v>
      </c>
      <c r="M297" s="50">
        <f>VLOOKUP(H297,[4]Sheet2!K:Q,7,0)</f>
        <v>1000</v>
      </c>
      <c r="N297" s="51"/>
      <c r="O297" s="51"/>
      <c r="P297" s="51"/>
      <c r="Q297" s="51"/>
      <c r="R297" s="51"/>
      <c r="S297" s="51"/>
      <c r="T297" s="51"/>
      <c r="U297" s="51"/>
      <c r="V297" s="52">
        <f>VLOOKUP(H297,[4]Sheet2!K:N,4,0)</f>
        <v>0</v>
      </c>
      <c r="W297" s="52">
        <f t="shared" si="228"/>
        <v>0</v>
      </c>
      <c r="X297" s="52">
        <f>VLOOKUP(H297,[4]Sheet2!K:N,4,0)</f>
        <v>0</v>
      </c>
      <c r="Y297" s="53">
        <f t="shared" si="264"/>
        <v>0</v>
      </c>
      <c r="Z297" s="53">
        <f t="shared" si="265"/>
        <v>0</v>
      </c>
      <c r="AA297" s="53">
        <f t="shared" si="266"/>
        <v>0</v>
      </c>
    </row>
    <row r="298" spans="1:27" ht="18.75" customHeight="1" outlineLevel="6" x14ac:dyDescent="0.3">
      <c r="B298" s="44"/>
      <c r="C298" s="18"/>
      <c r="D298" s="24"/>
      <c r="E298" s="29"/>
      <c r="F298" s="34"/>
      <c r="G298" s="39"/>
      <c r="H298" s="46" t="s">
        <v>347</v>
      </c>
      <c r="I298" s="46" t="s">
        <v>56</v>
      </c>
      <c r="J298" s="47" t="s">
        <v>293</v>
      </c>
      <c r="K298" s="48">
        <v>0.05</v>
      </c>
      <c r="L298" s="49">
        <f>VLOOKUP(H298,[4]Sheet2!K:P,6,0)</f>
        <v>2.9999999999999997E-5</v>
      </c>
      <c r="M298" s="50">
        <f>VLOOKUP(H298,[4]Sheet2!K:Q,7,0)</f>
        <v>1000</v>
      </c>
      <c r="N298" s="51"/>
      <c r="O298" s="51"/>
      <c r="P298" s="51"/>
      <c r="Q298" s="51"/>
      <c r="R298" s="51"/>
      <c r="S298" s="51"/>
      <c r="T298" s="51"/>
      <c r="U298" s="51"/>
      <c r="V298" s="52">
        <f>VLOOKUP(H298,[4]Sheet2!K:N,4,0)</f>
        <v>0</v>
      </c>
      <c r="W298" s="52">
        <f t="shared" si="228"/>
        <v>0</v>
      </c>
      <c r="X298" s="52">
        <f>VLOOKUP(H298,[4]Sheet2!K:N,4,0)</f>
        <v>0</v>
      </c>
      <c r="Y298" s="53">
        <f t="shared" si="264"/>
        <v>0</v>
      </c>
      <c r="Z298" s="53">
        <f t="shared" si="265"/>
        <v>0</v>
      </c>
      <c r="AA298" s="53">
        <f t="shared" si="266"/>
        <v>0</v>
      </c>
    </row>
    <row r="299" spans="1:27" ht="18.75" customHeight="1" outlineLevel="5" x14ac:dyDescent="0.3">
      <c r="B299" s="12"/>
      <c r="C299" s="18"/>
      <c r="D299" s="24"/>
      <c r="E299" s="29"/>
      <c r="F299" s="34"/>
      <c r="G299" s="39" t="s">
        <v>348</v>
      </c>
      <c r="H299" s="58"/>
      <c r="I299" s="58"/>
      <c r="J299" s="58"/>
      <c r="K299" s="58"/>
      <c r="L299" s="41">
        <f>SUM(L300:L304)</f>
        <v>1E-3</v>
      </c>
      <c r="M299" s="42">
        <f>M300</f>
        <v>1</v>
      </c>
      <c r="N299" s="40"/>
      <c r="O299" s="40"/>
      <c r="P299" s="40"/>
      <c r="Q299" s="40"/>
      <c r="R299" s="40"/>
      <c r="S299" s="40"/>
      <c r="T299" s="40"/>
      <c r="U299" s="40"/>
      <c r="V299" s="62">
        <f t="shared" ref="V299:X299" si="267">SUMPRODUCT(V300:V304,$K300:$K304)</f>
        <v>0</v>
      </c>
      <c r="W299" s="62">
        <f t="shared" si="267"/>
        <v>0</v>
      </c>
      <c r="X299" s="62">
        <f t="shared" si="267"/>
        <v>0</v>
      </c>
      <c r="Y299" s="43">
        <f>SUMPRODUCT(Y300:Y304,$K300:$K304)</f>
        <v>0</v>
      </c>
      <c r="Z299" s="43">
        <f t="shared" ref="Z299:AA299" si="268">SUMPRODUCT(Z300:Z304,$K300:$K304)</f>
        <v>0</v>
      </c>
      <c r="AA299" s="43">
        <f t="shared" si="268"/>
        <v>0</v>
      </c>
    </row>
    <row r="300" spans="1:27" ht="18.75" customHeight="1" outlineLevel="6" x14ac:dyDescent="0.3">
      <c r="B300" s="44"/>
      <c r="C300" s="18"/>
      <c r="D300" s="24"/>
      <c r="E300" s="29"/>
      <c r="F300" s="34"/>
      <c r="G300" s="39"/>
      <c r="H300" s="46" t="s">
        <v>349</v>
      </c>
      <c r="I300" s="46" t="s">
        <v>45</v>
      </c>
      <c r="J300" s="47" t="s">
        <v>293</v>
      </c>
      <c r="K300" s="48">
        <v>0.1</v>
      </c>
      <c r="L300" s="49">
        <f>VLOOKUP(H300,[4]Sheet2!K:P,6,0)</f>
        <v>1E-4</v>
      </c>
      <c r="M300" s="50">
        <f>VLOOKUP(H300,[4]Sheet2!K:Q,7,0)</f>
        <v>1</v>
      </c>
      <c r="N300" s="51"/>
      <c r="O300" s="51"/>
      <c r="P300" s="51"/>
      <c r="Q300" s="51"/>
      <c r="R300" s="51"/>
      <c r="S300" s="51"/>
      <c r="T300" s="51"/>
      <c r="U300" s="51"/>
      <c r="V300" s="52">
        <f>VLOOKUP(H300,[4]Sheet2!K:N,4,0)</f>
        <v>0</v>
      </c>
      <c r="W300" s="52">
        <f t="shared" si="228"/>
        <v>0</v>
      </c>
      <c r="X300" s="52">
        <f>VLOOKUP(H300,[4]Sheet2!K:N,4,0)</f>
        <v>0</v>
      </c>
      <c r="Y300" s="53">
        <f t="shared" ref="Y300:Y304" si="269">IFERROR(V300/M300,1)</f>
        <v>0</v>
      </c>
      <c r="Z300" s="53">
        <f t="shared" ref="Z300:Z304" si="270">IFERROR(W300/M300,1)</f>
        <v>0</v>
      </c>
      <c r="AA300" s="53">
        <f t="shared" ref="AA300:AA304" si="271">IFERROR(X300/M300,1)</f>
        <v>0</v>
      </c>
    </row>
    <row r="301" spans="1:27" ht="18.75" customHeight="1" outlineLevel="6" x14ac:dyDescent="0.3">
      <c r="A301" s="1" t="s">
        <v>281</v>
      </c>
      <c r="B301" s="44"/>
      <c r="C301" s="18"/>
      <c r="D301" s="24"/>
      <c r="E301" s="29"/>
      <c r="F301" s="34"/>
      <c r="G301" s="39"/>
      <c r="H301" s="46" t="s">
        <v>350</v>
      </c>
      <c r="I301" s="46" t="s">
        <v>48</v>
      </c>
      <c r="J301" s="47" t="s">
        <v>293</v>
      </c>
      <c r="K301" s="48">
        <v>0.6</v>
      </c>
      <c r="L301" s="49">
        <f>VLOOKUP(H301,[4]Sheet2!K:P,6,0)</f>
        <v>6.0000000000000006E-4</v>
      </c>
      <c r="M301" s="50">
        <f>VLOOKUP(H301,[4]Sheet2!K:Q,7,0)</f>
        <v>1</v>
      </c>
      <c r="N301" s="51"/>
      <c r="O301" s="51"/>
      <c r="P301" s="51"/>
      <c r="Q301" s="51"/>
      <c r="R301" s="51"/>
      <c r="S301" s="51"/>
      <c r="T301" s="51"/>
      <c r="U301" s="51"/>
      <c r="V301" s="52">
        <f>VLOOKUP(H301,[4]Sheet2!K:N,4,0)</f>
        <v>0</v>
      </c>
      <c r="W301" s="52">
        <f t="shared" si="228"/>
        <v>0</v>
      </c>
      <c r="X301" s="52">
        <f>VLOOKUP(H301,[4]Sheet2!K:N,4,0)</f>
        <v>0</v>
      </c>
      <c r="Y301" s="53">
        <f t="shared" si="269"/>
        <v>0</v>
      </c>
      <c r="Z301" s="53">
        <f t="shared" si="270"/>
        <v>0</v>
      </c>
      <c r="AA301" s="53">
        <f t="shared" si="271"/>
        <v>0</v>
      </c>
    </row>
    <row r="302" spans="1:27" ht="18.75" customHeight="1" outlineLevel="6" x14ac:dyDescent="0.3">
      <c r="B302" s="44"/>
      <c r="C302" s="18"/>
      <c r="D302" s="24"/>
      <c r="E302" s="29"/>
      <c r="F302" s="34"/>
      <c r="G302" s="39"/>
      <c r="H302" s="46" t="s">
        <v>351</v>
      </c>
      <c r="I302" s="46" t="s">
        <v>296</v>
      </c>
      <c r="J302" s="47" t="s">
        <v>293</v>
      </c>
      <c r="K302" s="48">
        <v>0.15</v>
      </c>
      <c r="L302" s="49">
        <f>VLOOKUP(H302,[4]Sheet2!K:P,6,0)</f>
        <v>1.5000000000000001E-4</v>
      </c>
      <c r="M302" s="50">
        <f>VLOOKUP(H302,[4]Sheet2!K:Q,7,0)</f>
        <v>1</v>
      </c>
      <c r="N302" s="51"/>
      <c r="O302" s="51"/>
      <c r="P302" s="51"/>
      <c r="Q302" s="51"/>
      <c r="R302" s="51"/>
      <c r="S302" s="51"/>
      <c r="T302" s="51"/>
      <c r="U302" s="51"/>
      <c r="V302" s="52">
        <f>VLOOKUP(H302,[4]Sheet2!K:N,4,0)</f>
        <v>0</v>
      </c>
      <c r="W302" s="52">
        <f t="shared" si="228"/>
        <v>0</v>
      </c>
      <c r="X302" s="52">
        <f>VLOOKUP(H302,[4]Sheet2!K:N,4,0)</f>
        <v>0</v>
      </c>
      <c r="Y302" s="53">
        <f t="shared" si="269"/>
        <v>0</v>
      </c>
      <c r="Z302" s="53">
        <f t="shared" si="270"/>
        <v>0</v>
      </c>
      <c r="AA302" s="53">
        <f t="shared" si="271"/>
        <v>0</v>
      </c>
    </row>
    <row r="303" spans="1:27" ht="18.75" customHeight="1" outlineLevel="6" x14ac:dyDescent="0.3">
      <c r="B303" s="44"/>
      <c r="C303" s="18"/>
      <c r="D303" s="24"/>
      <c r="E303" s="29"/>
      <c r="F303" s="34"/>
      <c r="G303" s="39"/>
      <c r="H303" s="46" t="s">
        <v>352</v>
      </c>
      <c r="I303" s="46" t="s">
        <v>298</v>
      </c>
      <c r="J303" s="47" t="s">
        <v>293</v>
      </c>
      <c r="K303" s="48">
        <v>0.1</v>
      </c>
      <c r="L303" s="49">
        <f>VLOOKUP(H303,[4]Sheet2!K:P,6,0)</f>
        <v>1E-4</v>
      </c>
      <c r="M303" s="50">
        <f>VLOOKUP(H303,[4]Sheet2!K:Q,7,0)</f>
        <v>1</v>
      </c>
      <c r="N303" s="51"/>
      <c r="O303" s="51"/>
      <c r="P303" s="51"/>
      <c r="Q303" s="51"/>
      <c r="R303" s="51"/>
      <c r="S303" s="51"/>
      <c r="T303" s="51"/>
      <c r="U303" s="51"/>
      <c r="V303" s="52">
        <f>VLOOKUP(H303,[4]Sheet2!K:N,4,0)</f>
        <v>0</v>
      </c>
      <c r="W303" s="52">
        <f t="shared" si="228"/>
        <v>0</v>
      </c>
      <c r="X303" s="52">
        <f>VLOOKUP(H303,[4]Sheet2!K:N,4,0)</f>
        <v>0</v>
      </c>
      <c r="Y303" s="53">
        <f t="shared" si="269"/>
        <v>0</v>
      </c>
      <c r="Z303" s="53">
        <f t="shared" si="270"/>
        <v>0</v>
      </c>
      <c r="AA303" s="53">
        <f t="shared" si="271"/>
        <v>0</v>
      </c>
    </row>
    <row r="304" spans="1:27" ht="18.75" customHeight="1" outlineLevel="6" x14ac:dyDescent="0.3">
      <c r="B304" s="44"/>
      <c r="C304" s="18"/>
      <c r="D304" s="24"/>
      <c r="E304" s="29"/>
      <c r="F304" s="34"/>
      <c r="G304" s="39"/>
      <c r="H304" s="46" t="s">
        <v>353</v>
      </c>
      <c r="I304" s="46" t="s">
        <v>56</v>
      </c>
      <c r="J304" s="47" t="s">
        <v>293</v>
      </c>
      <c r="K304" s="48">
        <v>0.05</v>
      </c>
      <c r="L304" s="49">
        <f>VLOOKUP(H304,[4]Sheet2!K:P,6,0)</f>
        <v>5.0000000000000002E-5</v>
      </c>
      <c r="M304" s="50">
        <f>VLOOKUP(H304,[4]Sheet2!K:Q,7,0)</f>
        <v>1</v>
      </c>
      <c r="N304" s="51"/>
      <c r="O304" s="51"/>
      <c r="P304" s="51"/>
      <c r="Q304" s="51"/>
      <c r="R304" s="51"/>
      <c r="S304" s="51"/>
      <c r="T304" s="51"/>
      <c r="U304" s="51"/>
      <c r="V304" s="52">
        <f>VLOOKUP(H304,[4]Sheet2!K:N,4,0)</f>
        <v>0</v>
      </c>
      <c r="W304" s="52">
        <f t="shared" si="228"/>
        <v>0</v>
      </c>
      <c r="X304" s="52">
        <f>VLOOKUP(H304,[4]Sheet2!K:N,4,0)</f>
        <v>0</v>
      </c>
      <c r="Y304" s="53">
        <f t="shared" si="269"/>
        <v>0</v>
      </c>
      <c r="Z304" s="53">
        <f t="shared" si="270"/>
        <v>0</v>
      </c>
      <c r="AA304" s="53">
        <f t="shared" si="271"/>
        <v>0</v>
      </c>
    </row>
    <row r="305" spans="1:27" ht="18.75" customHeight="1" outlineLevel="5" x14ac:dyDescent="0.3">
      <c r="B305" s="12"/>
      <c r="C305" s="18"/>
      <c r="D305" s="24"/>
      <c r="E305" s="29"/>
      <c r="F305" s="34"/>
      <c r="G305" s="39" t="s">
        <v>354</v>
      </c>
      <c r="H305" s="58"/>
      <c r="I305" s="58"/>
      <c r="J305" s="58"/>
      <c r="K305" s="58"/>
      <c r="L305" s="41">
        <f>SUM(L306:L310)</f>
        <v>8.0000000000000004E-4</v>
      </c>
      <c r="M305" s="42">
        <f>M306</f>
        <v>1789.2</v>
      </c>
      <c r="N305" s="40"/>
      <c r="O305" s="40"/>
      <c r="P305" s="40"/>
      <c r="Q305" s="40"/>
      <c r="R305" s="40"/>
      <c r="S305" s="40"/>
      <c r="T305" s="40"/>
      <c r="U305" s="40"/>
      <c r="V305" s="62">
        <f t="shared" ref="V305:X305" si="272">SUMPRODUCT(V306:V310,$K306:$K310)</f>
        <v>0</v>
      </c>
      <c r="W305" s="62">
        <f t="shared" si="272"/>
        <v>0</v>
      </c>
      <c r="X305" s="62">
        <f t="shared" si="272"/>
        <v>0</v>
      </c>
      <c r="Y305" s="43">
        <f>SUMPRODUCT(Y306:Y310,$K306:$K310)</f>
        <v>0</v>
      </c>
      <c r="Z305" s="43">
        <f t="shared" ref="Z305:AA305" si="273">SUMPRODUCT(Z306:Z310,$K306:$K310)</f>
        <v>0</v>
      </c>
      <c r="AA305" s="43">
        <f t="shared" si="273"/>
        <v>0</v>
      </c>
    </row>
    <row r="306" spans="1:27" ht="18.75" customHeight="1" outlineLevel="6" x14ac:dyDescent="0.3">
      <c r="B306" s="44"/>
      <c r="C306" s="18"/>
      <c r="D306" s="24"/>
      <c r="E306" s="29"/>
      <c r="F306" s="34"/>
      <c r="G306" s="39"/>
      <c r="H306" s="46" t="s">
        <v>355</v>
      </c>
      <c r="I306" s="46" t="s">
        <v>45</v>
      </c>
      <c r="J306" s="47" t="s">
        <v>293</v>
      </c>
      <c r="K306" s="48">
        <v>0.1</v>
      </c>
      <c r="L306" s="49">
        <f>VLOOKUP(H306,[4]Sheet2!K:P,6,0)</f>
        <v>8.0000000000000007E-5</v>
      </c>
      <c r="M306" s="50">
        <f>VLOOKUP(H306,[4]Sheet2!K:Q,7,0)</f>
        <v>1789.2</v>
      </c>
      <c r="N306" s="51"/>
      <c r="O306" s="51"/>
      <c r="P306" s="51"/>
      <c r="Q306" s="51"/>
      <c r="R306" s="51"/>
      <c r="S306" s="51"/>
      <c r="T306" s="51"/>
      <c r="U306" s="51"/>
      <c r="V306" s="52">
        <f>VLOOKUP(H306,[4]Sheet2!K:N,4,0)</f>
        <v>0</v>
      </c>
      <c r="W306" s="52">
        <f t="shared" si="228"/>
        <v>0</v>
      </c>
      <c r="X306" s="52">
        <f>VLOOKUP(H306,[4]Sheet2!K:N,4,0)</f>
        <v>0</v>
      </c>
      <c r="Y306" s="53">
        <f t="shared" ref="Y306:Y310" si="274">IFERROR(V306/M306,1)</f>
        <v>0</v>
      </c>
      <c r="Z306" s="53">
        <f t="shared" ref="Z306:Z310" si="275">IFERROR(W306/M306,1)</f>
        <v>0</v>
      </c>
      <c r="AA306" s="53">
        <f t="shared" ref="AA306:AA310" si="276">IFERROR(X306/M306,1)</f>
        <v>0</v>
      </c>
    </row>
    <row r="307" spans="1:27" ht="18.75" customHeight="1" outlineLevel="6" x14ac:dyDescent="0.3">
      <c r="A307" s="1" t="s">
        <v>281</v>
      </c>
      <c r="B307" s="44"/>
      <c r="C307" s="18"/>
      <c r="D307" s="24"/>
      <c r="E307" s="29"/>
      <c r="F307" s="34"/>
      <c r="G307" s="39"/>
      <c r="H307" s="46" t="s">
        <v>356</v>
      </c>
      <c r="I307" s="46" t="s">
        <v>48</v>
      </c>
      <c r="J307" s="47" t="s">
        <v>293</v>
      </c>
      <c r="K307" s="48">
        <v>0.6</v>
      </c>
      <c r="L307" s="49">
        <f>VLOOKUP(H307,[4]Sheet2!K:P,6,0)</f>
        <v>4.8000000000000001E-4</v>
      </c>
      <c r="M307" s="50">
        <f>VLOOKUP(H307,[4]Sheet2!K:Q,7,0)</f>
        <v>1789.2</v>
      </c>
      <c r="N307" s="51"/>
      <c r="O307" s="51"/>
      <c r="P307" s="51"/>
      <c r="Q307" s="51"/>
      <c r="R307" s="51"/>
      <c r="S307" s="51"/>
      <c r="T307" s="51"/>
      <c r="U307" s="51"/>
      <c r="V307" s="52">
        <f>VLOOKUP(H307,[4]Sheet2!K:N,4,0)</f>
        <v>0</v>
      </c>
      <c r="W307" s="52">
        <f t="shared" si="228"/>
        <v>0</v>
      </c>
      <c r="X307" s="52">
        <f>VLOOKUP(H307,[4]Sheet2!K:N,4,0)</f>
        <v>0</v>
      </c>
      <c r="Y307" s="53">
        <f t="shared" si="274"/>
        <v>0</v>
      </c>
      <c r="Z307" s="53">
        <f t="shared" si="275"/>
        <v>0</v>
      </c>
      <c r="AA307" s="53">
        <f t="shared" si="276"/>
        <v>0</v>
      </c>
    </row>
    <row r="308" spans="1:27" ht="18.75" customHeight="1" outlineLevel="6" x14ac:dyDescent="0.3">
      <c r="B308" s="44"/>
      <c r="C308" s="18"/>
      <c r="D308" s="24"/>
      <c r="E308" s="29"/>
      <c r="F308" s="34"/>
      <c r="G308" s="39"/>
      <c r="H308" s="46" t="s">
        <v>357</v>
      </c>
      <c r="I308" s="46" t="s">
        <v>296</v>
      </c>
      <c r="J308" s="47" t="s">
        <v>293</v>
      </c>
      <c r="K308" s="48">
        <v>0.15</v>
      </c>
      <c r="L308" s="49">
        <f>VLOOKUP(H308,[4]Sheet2!K:P,6,0)</f>
        <v>1.2E-4</v>
      </c>
      <c r="M308" s="50">
        <f>VLOOKUP(H308,[4]Sheet2!K:Q,7,0)</f>
        <v>1789.2</v>
      </c>
      <c r="N308" s="51"/>
      <c r="O308" s="51"/>
      <c r="P308" s="51"/>
      <c r="Q308" s="51"/>
      <c r="R308" s="51"/>
      <c r="S308" s="51"/>
      <c r="T308" s="51"/>
      <c r="U308" s="51"/>
      <c r="V308" s="52">
        <f>VLOOKUP(H308,[4]Sheet2!K:N,4,0)</f>
        <v>0</v>
      </c>
      <c r="W308" s="52">
        <f t="shared" si="228"/>
        <v>0</v>
      </c>
      <c r="X308" s="52">
        <f>VLOOKUP(H308,[4]Sheet2!K:N,4,0)</f>
        <v>0</v>
      </c>
      <c r="Y308" s="53">
        <f t="shared" si="274"/>
        <v>0</v>
      </c>
      <c r="Z308" s="53">
        <f t="shared" si="275"/>
        <v>0</v>
      </c>
      <c r="AA308" s="53">
        <f t="shared" si="276"/>
        <v>0</v>
      </c>
    </row>
    <row r="309" spans="1:27" ht="18.75" customHeight="1" outlineLevel="6" x14ac:dyDescent="0.3">
      <c r="B309" s="44"/>
      <c r="C309" s="18"/>
      <c r="D309" s="24"/>
      <c r="E309" s="29"/>
      <c r="F309" s="34"/>
      <c r="G309" s="39"/>
      <c r="H309" s="46" t="s">
        <v>358</v>
      </c>
      <c r="I309" s="46" t="s">
        <v>298</v>
      </c>
      <c r="J309" s="47" t="s">
        <v>293</v>
      </c>
      <c r="K309" s="48">
        <v>0.1</v>
      </c>
      <c r="L309" s="49">
        <f>VLOOKUP(H309,[4]Sheet2!K:P,6,0)</f>
        <v>8.0000000000000007E-5</v>
      </c>
      <c r="M309" s="50">
        <f>VLOOKUP(H309,[4]Sheet2!K:Q,7,0)</f>
        <v>1789.2</v>
      </c>
      <c r="N309" s="51"/>
      <c r="O309" s="51"/>
      <c r="P309" s="51"/>
      <c r="Q309" s="51"/>
      <c r="R309" s="51"/>
      <c r="S309" s="51"/>
      <c r="T309" s="51"/>
      <c r="U309" s="51"/>
      <c r="V309" s="52">
        <f>VLOOKUP(H309,[4]Sheet2!K:N,4,0)</f>
        <v>0</v>
      </c>
      <c r="W309" s="52">
        <f t="shared" si="228"/>
        <v>0</v>
      </c>
      <c r="X309" s="52">
        <f>VLOOKUP(H309,[4]Sheet2!K:N,4,0)</f>
        <v>0</v>
      </c>
      <c r="Y309" s="53">
        <f t="shared" si="274"/>
        <v>0</v>
      </c>
      <c r="Z309" s="53">
        <f t="shared" si="275"/>
        <v>0</v>
      </c>
      <c r="AA309" s="53">
        <f t="shared" si="276"/>
        <v>0</v>
      </c>
    </row>
    <row r="310" spans="1:27" ht="18.75" customHeight="1" outlineLevel="6" x14ac:dyDescent="0.3">
      <c r="B310" s="44"/>
      <c r="C310" s="18"/>
      <c r="D310" s="24"/>
      <c r="E310" s="29"/>
      <c r="F310" s="34"/>
      <c r="G310" s="39"/>
      <c r="H310" s="46" t="s">
        <v>359</v>
      </c>
      <c r="I310" s="46" t="s">
        <v>56</v>
      </c>
      <c r="J310" s="47" t="s">
        <v>293</v>
      </c>
      <c r="K310" s="48">
        <v>0.05</v>
      </c>
      <c r="L310" s="49">
        <f>VLOOKUP(H310,[4]Sheet2!K:P,6,0)</f>
        <v>4.0000000000000003E-5</v>
      </c>
      <c r="M310" s="50">
        <f>VLOOKUP(H310,[4]Sheet2!K:Q,7,0)</f>
        <v>1789.2</v>
      </c>
      <c r="N310" s="51"/>
      <c r="O310" s="51"/>
      <c r="P310" s="51"/>
      <c r="Q310" s="51"/>
      <c r="R310" s="51"/>
      <c r="S310" s="51"/>
      <c r="T310" s="51"/>
      <c r="U310" s="51"/>
      <c r="V310" s="52">
        <f>VLOOKUP(H310,[4]Sheet2!K:N,4,0)</f>
        <v>0</v>
      </c>
      <c r="W310" s="52">
        <f t="shared" si="228"/>
        <v>0</v>
      </c>
      <c r="X310" s="52">
        <f>VLOOKUP(H310,[4]Sheet2!K:N,4,0)</f>
        <v>0</v>
      </c>
      <c r="Y310" s="53">
        <f t="shared" si="274"/>
        <v>0</v>
      </c>
      <c r="Z310" s="53">
        <f t="shared" si="275"/>
        <v>0</v>
      </c>
      <c r="AA310" s="53">
        <f t="shared" si="276"/>
        <v>0</v>
      </c>
    </row>
    <row r="311" spans="1:27" ht="18.75" customHeight="1" outlineLevel="5" x14ac:dyDescent="0.3">
      <c r="B311" s="12"/>
      <c r="C311" s="18"/>
      <c r="D311" s="24"/>
      <c r="E311" s="29"/>
      <c r="F311" s="34"/>
      <c r="G311" s="39" t="s">
        <v>360</v>
      </c>
      <c r="H311" s="58"/>
      <c r="I311" s="58"/>
      <c r="J311" s="58"/>
      <c r="K311" s="58"/>
      <c r="L311" s="41">
        <f>SUM(L312:L316)</f>
        <v>1.4999999999999998E-3</v>
      </c>
      <c r="M311" s="42">
        <f>M312</f>
        <v>13550</v>
      </c>
      <c r="N311" s="40"/>
      <c r="O311" s="40"/>
      <c r="P311" s="40"/>
      <c r="Q311" s="40"/>
      <c r="R311" s="40"/>
      <c r="S311" s="40"/>
      <c r="T311" s="40"/>
      <c r="U311" s="40"/>
      <c r="V311" s="62">
        <f t="shared" ref="V311:X311" si="277">SUMPRODUCT(V312:V316,$K312:$K316)</f>
        <v>0</v>
      </c>
      <c r="W311" s="62">
        <f t="shared" si="277"/>
        <v>0</v>
      </c>
      <c r="X311" s="62">
        <f t="shared" si="277"/>
        <v>0</v>
      </c>
      <c r="Y311" s="43">
        <f>SUMPRODUCT(Y312:Y316,$K312:$K316)</f>
        <v>0</v>
      </c>
      <c r="Z311" s="43">
        <f t="shared" ref="Z311:AA311" si="278">SUMPRODUCT(Z312:Z316,$K312:$K316)</f>
        <v>0</v>
      </c>
      <c r="AA311" s="43">
        <f t="shared" si="278"/>
        <v>0</v>
      </c>
    </row>
    <row r="312" spans="1:27" ht="18.75" customHeight="1" outlineLevel="6" x14ac:dyDescent="0.3">
      <c r="B312" s="44"/>
      <c r="C312" s="18"/>
      <c r="D312" s="24"/>
      <c r="E312" s="29"/>
      <c r="F312" s="34"/>
      <c r="G312" s="39"/>
      <c r="H312" s="46" t="s">
        <v>361</v>
      </c>
      <c r="I312" s="46" t="s">
        <v>45</v>
      </c>
      <c r="J312" s="47" t="s">
        <v>293</v>
      </c>
      <c r="K312" s="48">
        <v>0.1</v>
      </c>
      <c r="L312" s="49">
        <f>VLOOKUP(H312,[4]Sheet2!K:P,6,0)</f>
        <v>1.5000000000000001E-4</v>
      </c>
      <c r="M312" s="50">
        <f>VLOOKUP(H312,[4]Sheet2!K:Q,7,0)</f>
        <v>13550</v>
      </c>
      <c r="N312" s="51"/>
      <c r="O312" s="51"/>
      <c r="P312" s="51"/>
      <c r="Q312" s="51"/>
      <c r="R312" s="51"/>
      <c r="S312" s="51"/>
      <c r="T312" s="51"/>
      <c r="U312" s="51"/>
      <c r="V312" s="52">
        <f>VLOOKUP(H312,[4]Sheet2!K:N,4,0)</f>
        <v>0</v>
      </c>
      <c r="W312" s="52">
        <f t="shared" si="228"/>
        <v>0</v>
      </c>
      <c r="X312" s="52">
        <f>VLOOKUP(H312,[4]Sheet2!K:N,4,0)</f>
        <v>0</v>
      </c>
      <c r="Y312" s="53">
        <f t="shared" ref="Y312:Y316" si="279">IFERROR(V312/M312,1)</f>
        <v>0</v>
      </c>
      <c r="Z312" s="53">
        <f t="shared" ref="Z312:Z316" si="280">IFERROR(W312/M312,1)</f>
        <v>0</v>
      </c>
      <c r="AA312" s="53">
        <f t="shared" ref="AA312:AA316" si="281">IFERROR(X312/M312,1)</f>
        <v>0</v>
      </c>
    </row>
    <row r="313" spans="1:27" ht="18.75" customHeight="1" outlineLevel="6" x14ac:dyDescent="0.3">
      <c r="A313" s="1" t="s">
        <v>281</v>
      </c>
      <c r="B313" s="44"/>
      <c r="C313" s="18"/>
      <c r="D313" s="24"/>
      <c r="E313" s="29"/>
      <c r="F313" s="34"/>
      <c r="G313" s="39"/>
      <c r="H313" s="46" t="s">
        <v>362</v>
      </c>
      <c r="I313" s="46" t="s">
        <v>48</v>
      </c>
      <c r="J313" s="47" t="s">
        <v>293</v>
      </c>
      <c r="K313" s="48">
        <v>0.6</v>
      </c>
      <c r="L313" s="49">
        <f>VLOOKUP(H313,[4]Sheet2!K:P,6,0)</f>
        <v>8.9999999999999998E-4</v>
      </c>
      <c r="M313" s="50">
        <f>VLOOKUP(H313,[4]Sheet2!K:Q,7,0)</f>
        <v>13550</v>
      </c>
      <c r="N313" s="51"/>
      <c r="O313" s="51"/>
      <c r="P313" s="51"/>
      <c r="Q313" s="51"/>
      <c r="R313" s="51"/>
      <c r="S313" s="51"/>
      <c r="T313" s="51"/>
      <c r="U313" s="51"/>
      <c r="V313" s="52">
        <f>VLOOKUP(H313,[4]Sheet2!K:N,4,0)</f>
        <v>0</v>
      </c>
      <c r="W313" s="52">
        <f t="shared" si="228"/>
        <v>0</v>
      </c>
      <c r="X313" s="52">
        <f>VLOOKUP(H313,[4]Sheet2!K:N,4,0)</f>
        <v>0</v>
      </c>
      <c r="Y313" s="53">
        <f t="shared" si="279"/>
        <v>0</v>
      </c>
      <c r="Z313" s="53">
        <f t="shared" si="280"/>
        <v>0</v>
      </c>
      <c r="AA313" s="53">
        <f t="shared" si="281"/>
        <v>0</v>
      </c>
    </row>
    <row r="314" spans="1:27" ht="18.75" customHeight="1" outlineLevel="6" x14ac:dyDescent="0.3">
      <c r="B314" s="44"/>
      <c r="C314" s="18"/>
      <c r="D314" s="24"/>
      <c r="E314" s="29"/>
      <c r="F314" s="34"/>
      <c r="G314" s="39"/>
      <c r="H314" s="46" t="s">
        <v>363</v>
      </c>
      <c r="I314" s="46" t="s">
        <v>296</v>
      </c>
      <c r="J314" s="47" t="s">
        <v>293</v>
      </c>
      <c r="K314" s="48">
        <v>0.15</v>
      </c>
      <c r="L314" s="49">
        <f>VLOOKUP(H314,[4]Sheet2!K:P,6,0)</f>
        <v>2.2499999999999999E-4</v>
      </c>
      <c r="M314" s="50">
        <f>VLOOKUP(H314,[4]Sheet2!K:Q,7,0)</f>
        <v>13550</v>
      </c>
      <c r="N314" s="51"/>
      <c r="O314" s="51"/>
      <c r="P314" s="51"/>
      <c r="Q314" s="51"/>
      <c r="R314" s="51"/>
      <c r="S314" s="51"/>
      <c r="T314" s="51"/>
      <c r="U314" s="51"/>
      <c r="V314" s="52">
        <f>VLOOKUP(H314,[4]Sheet2!K:N,4,0)</f>
        <v>0</v>
      </c>
      <c r="W314" s="52">
        <f t="shared" si="228"/>
        <v>0</v>
      </c>
      <c r="X314" s="52">
        <f>VLOOKUP(H314,[4]Sheet2!K:N,4,0)</f>
        <v>0</v>
      </c>
      <c r="Y314" s="53">
        <f t="shared" si="279"/>
        <v>0</v>
      </c>
      <c r="Z314" s="53">
        <f t="shared" si="280"/>
        <v>0</v>
      </c>
      <c r="AA314" s="53">
        <f t="shared" si="281"/>
        <v>0</v>
      </c>
    </row>
    <row r="315" spans="1:27" ht="18.75" customHeight="1" outlineLevel="6" x14ac:dyDescent="0.3">
      <c r="B315" s="44"/>
      <c r="C315" s="18"/>
      <c r="D315" s="24"/>
      <c r="E315" s="29"/>
      <c r="F315" s="34"/>
      <c r="G315" s="39"/>
      <c r="H315" s="46" t="s">
        <v>364</v>
      </c>
      <c r="I315" s="46" t="s">
        <v>298</v>
      </c>
      <c r="J315" s="47" t="s">
        <v>293</v>
      </c>
      <c r="K315" s="48">
        <v>0.1</v>
      </c>
      <c r="L315" s="49">
        <f>VLOOKUP(H315,[4]Sheet2!K:P,6,0)</f>
        <v>1.5000000000000001E-4</v>
      </c>
      <c r="M315" s="50">
        <f>VLOOKUP(H315,[4]Sheet2!K:Q,7,0)</f>
        <v>13550</v>
      </c>
      <c r="N315" s="51"/>
      <c r="O315" s="51"/>
      <c r="P315" s="51"/>
      <c r="Q315" s="51"/>
      <c r="R315" s="51"/>
      <c r="S315" s="51"/>
      <c r="T315" s="51"/>
      <c r="U315" s="51"/>
      <c r="V315" s="52">
        <f>VLOOKUP(H315,[4]Sheet2!K:N,4,0)</f>
        <v>0</v>
      </c>
      <c r="W315" s="52">
        <f t="shared" si="228"/>
        <v>0</v>
      </c>
      <c r="X315" s="52">
        <f>VLOOKUP(H315,[4]Sheet2!K:N,4,0)</f>
        <v>0</v>
      </c>
      <c r="Y315" s="53">
        <f t="shared" si="279"/>
        <v>0</v>
      </c>
      <c r="Z315" s="53">
        <f t="shared" si="280"/>
        <v>0</v>
      </c>
      <c r="AA315" s="53">
        <f t="shared" si="281"/>
        <v>0</v>
      </c>
    </row>
    <row r="316" spans="1:27" ht="18.75" customHeight="1" outlineLevel="6" x14ac:dyDescent="0.3">
      <c r="B316" s="44"/>
      <c r="C316" s="18"/>
      <c r="D316" s="24"/>
      <c r="E316" s="29"/>
      <c r="F316" s="34"/>
      <c r="G316" s="39"/>
      <c r="H316" s="46" t="s">
        <v>365</v>
      </c>
      <c r="I316" s="46" t="s">
        <v>56</v>
      </c>
      <c r="J316" s="47" t="s">
        <v>293</v>
      </c>
      <c r="K316" s="48">
        <v>0.05</v>
      </c>
      <c r="L316" s="49">
        <f>VLOOKUP(H316,[4]Sheet2!K:P,6,0)</f>
        <v>7.5000000000000007E-5</v>
      </c>
      <c r="M316" s="50">
        <f>VLOOKUP(H316,[4]Sheet2!K:Q,7,0)</f>
        <v>13550</v>
      </c>
      <c r="N316" s="51"/>
      <c r="O316" s="51"/>
      <c r="P316" s="51"/>
      <c r="Q316" s="51"/>
      <c r="R316" s="51"/>
      <c r="S316" s="51"/>
      <c r="T316" s="51"/>
      <c r="U316" s="51"/>
      <c r="V316" s="52">
        <f>VLOOKUP(H316,[4]Sheet2!K:N,4,0)</f>
        <v>0</v>
      </c>
      <c r="W316" s="52">
        <f t="shared" ref="W316" si="282">X316-V316</f>
        <v>0</v>
      </c>
      <c r="X316" s="52">
        <f>VLOOKUP(H316,[4]Sheet2!K:N,4,0)</f>
        <v>0</v>
      </c>
      <c r="Y316" s="53">
        <f t="shared" si="279"/>
        <v>0</v>
      </c>
      <c r="Z316" s="53">
        <f t="shared" si="280"/>
        <v>0</v>
      </c>
      <c r="AA316" s="53">
        <f t="shared" si="281"/>
        <v>0</v>
      </c>
    </row>
    <row r="317" spans="1:27" ht="18.75" customHeight="1" outlineLevel="5" x14ac:dyDescent="0.3">
      <c r="B317" s="12"/>
      <c r="C317" s="18"/>
      <c r="D317" s="24"/>
      <c r="E317" s="29"/>
      <c r="F317" s="34"/>
      <c r="G317" s="39" t="s">
        <v>366</v>
      </c>
      <c r="H317" s="58"/>
      <c r="I317" s="58"/>
      <c r="J317" s="58"/>
      <c r="K317" s="58"/>
      <c r="L317" s="41">
        <f>SUM(L318:L322)</f>
        <v>8.0000000000000004E-4</v>
      </c>
      <c r="M317" s="42">
        <f>M318</f>
        <v>1840</v>
      </c>
      <c r="N317" s="40"/>
      <c r="O317" s="40"/>
      <c r="P317" s="40"/>
      <c r="Q317" s="40"/>
      <c r="R317" s="40"/>
      <c r="S317" s="40"/>
      <c r="T317" s="40"/>
      <c r="U317" s="40"/>
      <c r="V317" s="62">
        <f t="shared" ref="V317:X317" si="283">SUMPRODUCT(V318:V322,$K318:$K322)</f>
        <v>0</v>
      </c>
      <c r="W317" s="62">
        <f t="shared" si="283"/>
        <v>0</v>
      </c>
      <c r="X317" s="62">
        <f t="shared" si="283"/>
        <v>0</v>
      </c>
      <c r="Y317" s="43">
        <f>SUMPRODUCT(Y318:Y322,$K318:$K322)</f>
        <v>0</v>
      </c>
      <c r="Z317" s="43">
        <f t="shared" ref="Z317:AA317" si="284">SUMPRODUCT(Z318:Z322,$K318:$K322)</f>
        <v>0</v>
      </c>
      <c r="AA317" s="43">
        <f t="shared" si="284"/>
        <v>0</v>
      </c>
    </row>
    <row r="318" spans="1:27" ht="18.75" customHeight="1" outlineLevel="6" x14ac:dyDescent="0.3">
      <c r="B318" s="44"/>
      <c r="C318" s="18"/>
      <c r="D318" s="24"/>
      <c r="E318" s="29"/>
      <c r="F318" s="34"/>
      <c r="G318" s="39"/>
      <c r="H318" s="46" t="s">
        <v>367</v>
      </c>
      <c r="I318" s="46" t="s">
        <v>45</v>
      </c>
      <c r="J318" s="47" t="s">
        <v>293</v>
      </c>
      <c r="K318" s="48">
        <v>0.1</v>
      </c>
      <c r="L318" s="49">
        <f>VLOOKUP(H318,[4]Sheet2!K:P,6,0)</f>
        <v>8.0000000000000007E-5</v>
      </c>
      <c r="M318" s="50">
        <f>VLOOKUP(H318,[4]Sheet2!K:Q,7,0)</f>
        <v>1840</v>
      </c>
      <c r="N318" s="51"/>
      <c r="O318" s="51"/>
      <c r="P318" s="51"/>
      <c r="Q318" s="51"/>
      <c r="R318" s="51"/>
      <c r="S318" s="51"/>
      <c r="T318" s="51"/>
      <c r="U318" s="51"/>
      <c r="V318" s="52">
        <f>VLOOKUP(H318,[4]Sheet2!K:N,4,0)</f>
        <v>0</v>
      </c>
      <c r="W318" s="52">
        <f t="shared" ref="W318:W322" si="285">X318-V318</f>
        <v>0</v>
      </c>
      <c r="X318" s="52">
        <f>VLOOKUP(H318,[4]Sheet2!K:N,4,0)</f>
        <v>0</v>
      </c>
      <c r="Y318" s="53">
        <f t="shared" ref="Y318:Y322" si="286">IFERROR(V318/M318,1)</f>
        <v>0</v>
      </c>
      <c r="Z318" s="53">
        <f t="shared" ref="Z318:Z322" si="287">IFERROR(W318/M318,1)</f>
        <v>0</v>
      </c>
      <c r="AA318" s="53">
        <f t="shared" ref="AA318:AA322" si="288">IFERROR(X318/M318,1)</f>
        <v>0</v>
      </c>
    </row>
    <row r="319" spans="1:27" ht="18.75" customHeight="1" outlineLevel="6" x14ac:dyDescent="0.3">
      <c r="A319" s="1" t="s">
        <v>281</v>
      </c>
      <c r="B319" s="44"/>
      <c r="C319" s="18"/>
      <c r="D319" s="24"/>
      <c r="E319" s="29"/>
      <c r="F319" s="34"/>
      <c r="G319" s="39"/>
      <c r="H319" s="46" t="s">
        <v>368</v>
      </c>
      <c r="I319" s="46" t="s">
        <v>48</v>
      </c>
      <c r="J319" s="47" t="s">
        <v>293</v>
      </c>
      <c r="K319" s="48">
        <v>0.6</v>
      </c>
      <c r="L319" s="49">
        <f>VLOOKUP(H319,[4]Sheet2!K:P,6,0)</f>
        <v>4.8000000000000001E-4</v>
      </c>
      <c r="M319" s="50">
        <f>VLOOKUP(H319,[4]Sheet2!K:Q,7,0)</f>
        <v>1840</v>
      </c>
      <c r="N319" s="51"/>
      <c r="O319" s="51"/>
      <c r="P319" s="51"/>
      <c r="Q319" s="51"/>
      <c r="R319" s="51"/>
      <c r="S319" s="51"/>
      <c r="T319" s="51"/>
      <c r="U319" s="51"/>
      <c r="V319" s="52">
        <f>VLOOKUP(H319,[4]Sheet2!K:N,4,0)</f>
        <v>0</v>
      </c>
      <c r="W319" s="52">
        <f t="shared" si="285"/>
        <v>0</v>
      </c>
      <c r="X319" s="52">
        <f>VLOOKUP(H319,[4]Sheet2!K:N,4,0)</f>
        <v>0</v>
      </c>
      <c r="Y319" s="53">
        <f t="shared" si="286"/>
        <v>0</v>
      </c>
      <c r="Z319" s="53">
        <f t="shared" si="287"/>
        <v>0</v>
      </c>
      <c r="AA319" s="53">
        <f t="shared" si="288"/>
        <v>0</v>
      </c>
    </row>
    <row r="320" spans="1:27" ht="18.75" customHeight="1" outlineLevel="6" x14ac:dyDescent="0.3">
      <c r="B320" s="44"/>
      <c r="C320" s="18"/>
      <c r="D320" s="24"/>
      <c r="E320" s="29"/>
      <c r="F320" s="34"/>
      <c r="G320" s="39"/>
      <c r="H320" s="46" t="s">
        <v>369</v>
      </c>
      <c r="I320" s="46" t="s">
        <v>296</v>
      </c>
      <c r="J320" s="47" t="s">
        <v>293</v>
      </c>
      <c r="K320" s="48">
        <v>0.15</v>
      </c>
      <c r="L320" s="49">
        <f>VLOOKUP(H320,[4]Sheet2!K:P,6,0)</f>
        <v>1.2E-4</v>
      </c>
      <c r="M320" s="50">
        <f>VLOOKUP(H320,[4]Sheet2!K:Q,7,0)</f>
        <v>1840</v>
      </c>
      <c r="N320" s="51"/>
      <c r="O320" s="51"/>
      <c r="P320" s="51"/>
      <c r="Q320" s="51"/>
      <c r="R320" s="51"/>
      <c r="S320" s="51"/>
      <c r="T320" s="51"/>
      <c r="U320" s="51"/>
      <c r="V320" s="52">
        <f>VLOOKUP(H320,[4]Sheet2!K:N,4,0)</f>
        <v>0</v>
      </c>
      <c r="W320" s="52">
        <f t="shared" si="285"/>
        <v>0</v>
      </c>
      <c r="X320" s="52">
        <f>VLOOKUP(H320,[4]Sheet2!K:N,4,0)</f>
        <v>0</v>
      </c>
      <c r="Y320" s="53">
        <f t="shared" si="286"/>
        <v>0</v>
      </c>
      <c r="Z320" s="53">
        <f t="shared" si="287"/>
        <v>0</v>
      </c>
      <c r="AA320" s="53">
        <f t="shared" si="288"/>
        <v>0</v>
      </c>
    </row>
    <row r="321" spans="1:27" ht="18.75" customHeight="1" outlineLevel="6" x14ac:dyDescent="0.3">
      <c r="B321" s="44"/>
      <c r="C321" s="18"/>
      <c r="D321" s="24"/>
      <c r="E321" s="29"/>
      <c r="F321" s="34"/>
      <c r="G321" s="39"/>
      <c r="H321" s="46" t="s">
        <v>370</v>
      </c>
      <c r="I321" s="46" t="s">
        <v>298</v>
      </c>
      <c r="J321" s="47" t="s">
        <v>293</v>
      </c>
      <c r="K321" s="48">
        <v>0.1</v>
      </c>
      <c r="L321" s="49">
        <f>VLOOKUP(H321,[4]Sheet2!K:P,6,0)</f>
        <v>8.0000000000000007E-5</v>
      </c>
      <c r="M321" s="50">
        <f>VLOOKUP(H321,[4]Sheet2!K:Q,7,0)</f>
        <v>1840</v>
      </c>
      <c r="N321" s="51"/>
      <c r="O321" s="51"/>
      <c r="P321" s="51"/>
      <c r="Q321" s="51"/>
      <c r="R321" s="51"/>
      <c r="S321" s="51"/>
      <c r="T321" s="51"/>
      <c r="U321" s="51"/>
      <c r="V321" s="52">
        <f>VLOOKUP(H321,[4]Sheet2!K:N,4,0)</f>
        <v>0</v>
      </c>
      <c r="W321" s="52">
        <f t="shared" si="285"/>
        <v>0</v>
      </c>
      <c r="X321" s="52">
        <f>VLOOKUP(H321,[4]Sheet2!K:N,4,0)</f>
        <v>0</v>
      </c>
      <c r="Y321" s="53">
        <f t="shared" si="286"/>
        <v>0</v>
      </c>
      <c r="Z321" s="53">
        <f t="shared" si="287"/>
        <v>0</v>
      </c>
      <c r="AA321" s="53">
        <f t="shared" si="288"/>
        <v>0</v>
      </c>
    </row>
    <row r="322" spans="1:27" ht="18.75" customHeight="1" outlineLevel="6" x14ac:dyDescent="0.3">
      <c r="B322" s="44"/>
      <c r="C322" s="18"/>
      <c r="D322" s="24"/>
      <c r="E322" s="29"/>
      <c r="F322" s="34"/>
      <c r="G322" s="39"/>
      <c r="H322" s="46" t="s">
        <v>371</v>
      </c>
      <c r="I322" s="46" t="s">
        <v>56</v>
      </c>
      <c r="J322" s="47" t="s">
        <v>293</v>
      </c>
      <c r="K322" s="48">
        <v>0.05</v>
      </c>
      <c r="L322" s="49">
        <f>VLOOKUP(H322,[4]Sheet2!K:P,6,0)</f>
        <v>4.0000000000000003E-5</v>
      </c>
      <c r="M322" s="50">
        <f>VLOOKUP(H322,[4]Sheet2!K:Q,7,0)</f>
        <v>1840</v>
      </c>
      <c r="N322" s="51"/>
      <c r="O322" s="51"/>
      <c r="P322" s="51"/>
      <c r="Q322" s="51"/>
      <c r="R322" s="51"/>
      <c r="S322" s="51"/>
      <c r="T322" s="51"/>
      <c r="U322" s="51"/>
      <c r="V322" s="52">
        <f>VLOOKUP(H322,[4]Sheet2!K:N,4,0)</f>
        <v>0</v>
      </c>
      <c r="W322" s="52">
        <f t="shared" si="285"/>
        <v>0</v>
      </c>
      <c r="X322" s="52">
        <f>VLOOKUP(H322,[4]Sheet2!K:N,4,0)</f>
        <v>0</v>
      </c>
      <c r="Y322" s="53">
        <f t="shared" si="286"/>
        <v>0</v>
      </c>
      <c r="Z322" s="53">
        <f t="shared" si="287"/>
        <v>0</v>
      </c>
      <c r="AA322" s="53">
        <f t="shared" si="288"/>
        <v>0</v>
      </c>
    </row>
    <row r="323" spans="1:27" ht="18.75" customHeight="1" outlineLevel="4" x14ac:dyDescent="0.3">
      <c r="B323" s="12"/>
      <c r="C323" s="18"/>
      <c r="D323" s="24"/>
      <c r="E323" s="29"/>
      <c r="F323" s="34" t="s">
        <v>372</v>
      </c>
      <c r="G323" s="34"/>
      <c r="H323" s="57"/>
      <c r="I323" s="57"/>
      <c r="J323" s="57"/>
      <c r="K323" s="57"/>
      <c r="L323" s="36">
        <f>L324</f>
        <v>8.0000000000000002E-3</v>
      </c>
      <c r="M323" s="37">
        <f>M324</f>
        <v>5068</v>
      </c>
      <c r="N323" s="35"/>
      <c r="O323" s="35"/>
      <c r="P323" s="35"/>
      <c r="Q323" s="35"/>
      <c r="R323" s="35"/>
      <c r="S323" s="35"/>
      <c r="T323" s="35"/>
      <c r="U323" s="35"/>
      <c r="V323" s="61">
        <f t="shared" ref="V323:X323" si="289">(V324*$L324)/$L323</f>
        <v>3326.3</v>
      </c>
      <c r="W323" s="61">
        <f t="shared" si="289"/>
        <v>0</v>
      </c>
      <c r="X323" s="61">
        <f t="shared" si="289"/>
        <v>3326.3</v>
      </c>
      <c r="Y323" s="38">
        <f>(Y324*$L324)/$L323</f>
        <v>0.65633385951065515</v>
      </c>
      <c r="Z323" s="38">
        <f t="shared" ref="Z323:AA323" si="290">(Z324*$L324)/$L323</f>
        <v>0</v>
      </c>
      <c r="AA323" s="38">
        <f t="shared" si="290"/>
        <v>0.65633385951065515</v>
      </c>
    </row>
    <row r="324" spans="1:27" ht="18.75" customHeight="1" outlineLevel="5" x14ac:dyDescent="0.3">
      <c r="B324" s="12"/>
      <c r="C324" s="18"/>
      <c r="D324" s="24"/>
      <c r="E324" s="29"/>
      <c r="F324" s="34"/>
      <c r="G324" s="39" t="s">
        <v>373</v>
      </c>
      <c r="H324" s="58"/>
      <c r="I324" s="58"/>
      <c r="J324" s="58"/>
      <c r="K324" s="58"/>
      <c r="L324" s="41">
        <f>SUM(L325:L329)</f>
        <v>8.0000000000000002E-3</v>
      </c>
      <c r="M324" s="42">
        <f>M325</f>
        <v>5068</v>
      </c>
      <c r="N324" s="40"/>
      <c r="O324" s="40"/>
      <c r="P324" s="40"/>
      <c r="Q324" s="40"/>
      <c r="R324" s="40"/>
      <c r="S324" s="40"/>
      <c r="T324" s="40"/>
      <c r="U324" s="40"/>
      <c r="V324" s="62">
        <f t="shared" ref="V324:X324" si="291">SUMPRODUCT(V325:V329,$K325:$K329)</f>
        <v>3326.3</v>
      </c>
      <c r="W324" s="62">
        <f t="shared" si="291"/>
        <v>0</v>
      </c>
      <c r="X324" s="62">
        <f t="shared" si="291"/>
        <v>3326.3</v>
      </c>
      <c r="Y324" s="43">
        <f>SUMPRODUCT(Y325:Y329,$K325:$K329)</f>
        <v>0.65633385951065515</v>
      </c>
      <c r="Z324" s="43">
        <f t="shared" ref="Z324:AA324" si="292">SUMPRODUCT(Z325:Z329,$K325:$K329)</f>
        <v>0</v>
      </c>
      <c r="AA324" s="43">
        <f t="shared" si="292"/>
        <v>0.65633385951065515</v>
      </c>
    </row>
    <row r="325" spans="1:27" ht="18.75" customHeight="1" outlineLevel="6" x14ac:dyDescent="0.3">
      <c r="B325" s="44"/>
      <c r="C325" s="18"/>
      <c r="D325" s="24"/>
      <c r="E325" s="29"/>
      <c r="F325" s="34"/>
      <c r="G325" s="39"/>
      <c r="H325" s="46" t="s">
        <v>374</v>
      </c>
      <c r="I325" s="46" t="s">
        <v>45</v>
      </c>
      <c r="J325" s="47" t="s">
        <v>30</v>
      </c>
      <c r="K325" s="48">
        <v>0.05</v>
      </c>
      <c r="L325" s="49">
        <f>VLOOKUP(H325,[4]Sheet2!K:P,6,0)</f>
        <v>4.0000000000000002E-4</v>
      </c>
      <c r="M325" s="50">
        <f>VLOOKUP(H325,[4]Sheet2!K:Q,7,0)</f>
        <v>5068</v>
      </c>
      <c r="N325" s="51"/>
      <c r="O325" s="51"/>
      <c r="P325" s="51"/>
      <c r="Q325" s="51"/>
      <c r="R325" s="51"/>
      <c r="S325" s="51"/>
      <c r="T325" s="51"/>
      <c r="U325" s="51"/>
      <c r="V325" s="52">
        <f>VLOOKUP(H325,[4]Sheet2!K:N,4,0)</f>
        <v>5068</v>
      </c>
      <c r="W325" s="52">
        <f t="shared" ref="W325:W329" si="293">X325-V325</f>
        <v>0</v>
      </c>
      <c r="X325" s="52">
        <f>VLOOKUP(H325,[4]Sheet2!K:N,4,0)</f>
        <v>5068</v>
      </c>
      <c r="Y325" s="53">
        <f t="shared" ref="Y325:Y329" si="294">IFERROR(V325/M325,1)</f>
        <v>1</v>
      </c>
      <c r="Z325" s="53">
        <f t="shared" ref="Z325:Z329" si="295">IFERROR(W325/M325,1)</f>
        <v>0</v>
      </c>
      <c r="AA325" s="53">
        <f t="shared" ref="AA325:AA329" si="296">IFERROR(X325/M325,1)</f>
        <v>1</v>
      </c>
    </row>
    <row r="326" spans="1:27" ht="18.75" customHeight="1" outlineLevel="6" x14ac:dyDescent="0.3">
      <c r="A326" s="1" t="s">
        <v>375</v>
      </c>
      <c r="B326" s="44"/>
      <c r="C326" s="18"/>
      <c r="D326" s="24"/>
      <c r="E326" s="29"/>
      <c r="F326" s="34"/>
      <c r="G326" s="39"/>
      <c r="H326" s="46" t="s">
        <v>376</v>
      </c>
      <c r="I326" s="46" t="s">
        <v>283</v>
      </c>
      <c r="J326" s="47" t="s">
        <v>30</v>
      </c>
      <c r="K326" s="48">
        <v>0.55000000000000004</v>
      </c>
      <c r="L326" s="49">
        <f>VLOOKUP(H326,[4]Sheet2!K:P,6,0)</f>
        <v>4.4000000000000003E-3</v>
      </c>
      <c r="M326" s="50">
        <f>VLOOKUP(H326,[4]Sheet2!K:Q,7,0)</f>
        <v>5068</v>
      </c>
      <c r="N326" s="51"/>
      <c r="O326" s="51"/>
      <c r="P326" s="51"/>
      <c r="Q326" s="51"/>
      <c r="R326" s="51"/>
      <c r="S326" s="51"/>
      <c r="T326" s="51"/>
      <c r="U326" s="51"/>
      <c r="V326" s="52">
        <f>VLOOKUP(H326,[4]Sheet2!K:N,4,0)</f>
        <v>5068</v>
      </c>
      <c r="W326" s="52">
        <f t="shared" si="293"/>
        <v>0</v>
      </c>
      <c r="X326" s="52">
        <f>VLOOKUP(H326,[4]Sheet2!K:N,4,0)</f>
        <v>5068</v>
      </c>
      <c r="Y326" s="53">
        <f t="shared" si="294"/>
        <v>1</v>
      </c>
      <c r="Z326" s="53">
        <f t="shared" si="295"/>
        <v>0</v>
      </c>
      <c r="AA326" s="53">
        <f t="shared" si="296"/>
        <v>1</v>
      </c>
    </row>
    <row r="327" spans="1:27" ht="18.75" customHeight="1" outlineLevel="6" x14ac:dyDescent="0.3">
      <c r="B327" s="44"/>
      <c r="C327" s="18"/>
      <c r="D327" s="24"/>
      <c r="E327" s="29"/>
      <c r="F327" s="34"/>
      <c r="G327" s="39"/>
      <c r="H327" s="46" t="s">
        <v>377</v>
      </c>
      <c r="I327" s="46" t="s">
        <v>296</v>
      </c>
      <c r="J327" s="47" t="s">
        <v>30</v>
      </c>
      <c r="K327" s="48">
        <v>0.25</v>
      </c>
      <c r="L327" s="49">
        <f>VLOOKUP(H327,[4]Sheet2!K:P,6,0)</f>
        <v>2E-3</v>
      </c>
      <c r="M327" s="50">
        <f>VLOOKUP(H327,[4]Sheet2!K:Q,7,0)</f>
        <v>5068</v>
      </c>
      <c r="N327" s="51"/>
      <c r="O327" s="51"/>
      <c r="P327" s="51"/>
      <c r="Q327" s="51"/>
      <c r="R327" s="51"/>
      <c r="S327" s="51"/>
      <c r="T327" s="51"/>
      <c r="U327" s="51"/>
      <c r="V327" s="52">
        <f>VLOOKUP(H327,[4]Sheet2!K:N,4,0)</f>
        <v>1142</v>
      </c>
      <c r="W327" s="52">
        <f t="shared" si="293"/>
        <v>0</v>
      </c>
      <c r="X327" s="52">
        <f>VLOOKUP(H327,[4]Sheet2!K:N,4,0)</f>
        <v>1142</v>
      </c>
      <c r="Y327" s="53">
        <f t="shared" si="294"/>
        <v>0.22533543804262035</v>
      </c>
      <c r="Z327" s="53">
        <f t="shared" si="295"/>
        <v>0</v>
      </c>
      <c r="AA327" s="53">
        <f t="shared" si="296"/>
        <v>0.22533543804262035</v>
      </c>
    </row>
    <row r="328" spans="1:27" ht="18.75" customHeight="1" outlineLevel="6" x14ac:dyDescent="0.3">
      <c r="B328" s="44"/>
      <c r="C328" s="18"/>
      <c r="D328" s="24"/>
      <c r="E328" s="29"/>
      <c r="F328" s="34"/>
      <c r="G328" s="39"/>
      <c r="H328" s="46" t="s">
        <v>378</v>
      </c>
      <c r="I328" s="46" t="s">
        <v>71</v>
      </c>
      <c r="J328" s="47" t="s">
        <v>30</v>
      </c>
      <c r="K328" s="48">
        <v>0.1</v>
      </c>
      <c r="L328" s="49">
        <f>VLOOKUP(H328,[4]Sheet2!K:P,6,0)</f>
        <v>8.0000000000000004E-4</v>
      </c>
      <c r="M328" s="50">
        <f>VLOOKUP(H328,[4]Sheet2!K:Q,7,0)</f>
        <v>5068</v>
      </c>
      <c r="N328" s="51"/>
      <c r="O328" s="51"/>
      <c r="P328" s="51"/>
      <c r="Q328" s="51"/>
      <c r="R328" s="51"/>
      <c r="S328" s="51"/>
      <c r="T328" s="51"/>
      <c r="U328" s="51"/>
      <c r="V328" s="52">
        <f>VLOOKUP(H328,[4]Sheet2!K:N,4,0)</f>
        <v>0</v>
      </c>
      <c r="W328" s="52">
        <f t="shared" si="293"/>
        <v>0</v>
      </c>
      <c r="X328" s="52">
        <f>VLOOKUP(H328,[4]Sheet2!K:N,4,0)</f>
        <v>0</v>
      </c>
      <c r="Y328" s="53">
        <f t="shared" si="294"/>
        <v>0</v>
      </c>
      <c r="Z328" s="53">
        <f t="shared" si="295"/>
        <v>0</v>
      </c>
      <c r="AA328" s="53">
        <f t="shared" si="296"/>
        <v>0</v>
      </c>
    </row>
    <row r="329" spans="1:27" ht="18.75" customHeight="1" outlineLevel="6" x14ac:dyDescent="0.3">
      <c r="B329" s="44"/>
      <c r="C329" s="18"/>
      <c r="D329" s="24"/>
      <c r="E329" s="29"/>
      <c r="F329" s="34"/>
      <c r="G329" s="39"/>
      <c r="H329" s="46" t="s">
        <v>379</v>
      </c>
      <c r="I329" s="46" t="s">
        <v>56</v>
      </c>
      <c r="J329" s="47" t="s">
        <v>30</v>
      </c>
      <c r="K329" s="48">
        <v>0.05</v>
      </c>
      <c r="L329" s="49">
        <f>VLOOKUP(H329,[4]Sheet2!K:P,6,0)</f>
        <v>4.0000000000000002E-4</v>
      </c>
      <c r="M329" s="50">
        <f>VLOOKUP(H329,[4]Sheet2!K:Q,7,0)</f>
        <v>5068</v>
      </c>
      <c r="N329" s="51"/>
      <c r="O329" s="51"/>
      <c r="P329" s="51"/>
      <c r="Q329" s="51"/>
      <c r="R329" s="51"/>
      <c r="S329" s="51"/>
      <c r="T329" s="51"/>
      <c r="U329" s="51"/>
      <c r="V329" s="52">
        <f>VLOOKUP(H329,[4]Sheet2!K:N,4,0)</f>
        <v>0</v>
      </c>
      <c r="W329" s="52">
        <f t="shared" si="293"/>
        <v>0</v>
      </c>
      <c r="X329" s="52">
        <f>VLOOKUP(H329,[4]Sheet2!K:N,4,0)</f>
        <v>0</v>
      </c>
      <c r="Y329" s="53">
        <f t="shared" si="294"/>
        <v>0</v>
      </c>
      <c r="Z329" s="53">
        <f t="shared" si="295"/>
        <v>0</v>
      </c>
      <c r="AA329" s="53">
        <f t="shared" si="296"/>
        <v>0</v>
      </c>
    </row>
    <row r="330" spans="1:27" ht="18.75" customHeight="1" outlineLevel="3" x14ac:dyDescent="0.3">
      <c r="B330" s="12"/>
      <c r="C330" s="18"/>
      <c r="D330" s="24"/>
      <c r="E330" s="29" t="s">
        <v>380</v>
      </c>
      <c r="F330" s="29"/>
      <c r="G330" s="29"/>
      <c r="H330" s="56"/>
      <c r="I330" s="56"/>
      <c r="J330" s="56"/>
      <c r="K330" s="56"/>
      <c r="L330" s="31">
        <f>L331</f>
        <v>5.4999999999999993E-2</v>
      </c>
      <c r="M330" s="32">
        <f>M331</f>
        <v>230164.2</v>
      </c>
      <c r="N330" s="30"/>
      <c r="O330" s="30"/>
      <c r="P330" s="30"/>
      <c r="Q330" s="30"/>
      <c r="R330" s="30"/>
      <c r="S330" s="30"/>
      <c r="T330" s="30"/>
      <c r="U330" s="30"/>
      <c r="V330" s="63">
        <f t="shared" ref="V330:AA330" si="297">V331</f>
        <v>148070.52000000002</v>
      </c>
      <c r="W330" s="63">
        <f t="shared" si="297"/>
        <v>0</v>
      </c>
      <c r="X330" s="63">
        <f t="shared" si="297"/>
        <v>148070.52000000002</v>
      </c>
      <c r="Y330" s="33">
        <f t="shared" si="297"/>
        <v>0.58636464310882919</v>
      </c>
      <c r="Z330" s="33">
        <f t="shared" si="297"/>
        <v>0</v>
      </c>
      <c r="AA330" s="33">
        <f t="shared" si="297"/>
        <v>0.58636464310882919</v>
      </c>
    </row>
    <row r="331" spans="1:27" ht="18.75" customHeight="1" outlineLevel="4" x14ac:dyDescent="0.3">
      <c r="B331" s="12"/>
      <c r="C331" s="18"/>
      <c r="D331" s="24"/>
      <c r="E331" s="29"/>
      <c r="F331" s="34" t="s">
        <v>381</v>
      </c>
      <c r="G331" s="34"/>
      <c r="H331" s="57"/>
      <c r="I331" s="57"/>
      <c r="J331" s="57"/>
      <c r="K331" s="57"/>
      <c r="L331" s="36">
        <f>L332+L338+L344+L350+L356+L362+L368+L374+L380+L386+L392+L398</f>
        <v>5.4999999999999993E-2</v>
      </c>
      <c r="M331" s="37">
        <f>M332+M338+M344+M350+M356+M362+M368+M374+M380+M386+M392+M398</f>
        <v>230164.2</v>
      </c>
      <c r="N331" s="35"/>
      <c r="O331" s="35"/>
      <c r="P331" s="35"/>
      <c r="Q331" s="35"/>
      <c r="R331" s="35"/>
      <c r="S331" s="35"/>
      <c r="T331" s="35"/>
      <c r="U331" s="35"/>
      <c r="V331" s="61">
        <f>(V332+V338+V344+V350+V356+V362+V368+V374+V380+V386+V392+V398)</f>
        <v>148070.52000000002</v>
      </c>
      <c r="W331" s="61">
        <f t="shared" ref="W331" si="298">(W332*$L332+W338*$L338+W344*$L344+W350*$L350+W356*$L356+W362*$L362+W368*$L368+W374*$L374+W380*$L380+W386*$L386+W392*$L392+W398*$L398)/$L331</f>
        <v>0</v>
      </c>
      <c r="X331" s="61">
        <f>(X332+X338+X344+X350+X356+X362+X368+X374+X380+X386+X392+X398)</f>
        <v>148070.52000000002</v>
      </c>
      <c r="Y331" s="59">
        <f>(Y332*$L332+Y338*$L338+Y344*$L344+Y350*$L350+Y356*$L356+Y362*$L362+Y368*$L368+Y374*$L374+Y380*$L380+Y386*$L386+Y392*$L392+Y398*$L398)/$L331</f>
        <v>0.58636464310882919</v>
      </c>
      <c r="Z331" s="59">
        <f t="shared" ref="Z331:AA331" si="299">(Z332*$L332+Z338*$L338+Z344*$L344+Z350*$L350+Z356*$L356+Z362*$L362+Z368*$L368+Z374*$L374+Z380*$L380+Z386*$L386+Z392*$L392+Z398*$L398)/$L331</f>
        <v>0</v>
      </c>
      <c r="AA331" s="59">
        <f t="shared" si="299"/>
        <v>0.58636464310882919</v>
      </c>
    </row>
    <row r="332" spans="1:27" ht="18.75" customHeight="1" outlineLevel="5" x14ac:dyDescent="0.3">
      <c r="B332" s="12"/>
      <c r="C332" s="18"/>
      <c r="D332" s="24"/>
      <c r="E332" s="29"/>
      <c r="F332" s="34"/>
      <c r="G332" s="39" t="s">
        <v>382</v>
      </c>
      <c r="H332" s="58"/>
      <c r="I332" s="58"/>
      <c r="J332" s="58"/>
      <c r="K332" s="58"/>
      <c r="L332" s="41">
        <f>SUM(L333:L337)</f>
        <v>4.5000000000000005E-3</v>
      </c>
      <c r="M332" s="42">
        <f>M333</f>
        <v>10128.6</v>
      </c>
      <c r="N332" s="40"/>
      <c r="O332" s="40"/>
      <c r="P332" s="40"/>
      <c r="Q332" s="40"/>
      <c r="R332" s="40"/>
      <c r="S332" s="40"/>
      <c r="T332" s="40"/>
      <c r="U332" s="40"/>
      <c r="V332" s="62">
        <f t="shared" ref="V332:X332" si="300">SUMPRODUCT(V333:V337,$K333:$K337)</f>
        <v>0</v>
      </c>
      <c r="W332" s="62">
        <f t="shared" si="300"/>
        <v>0</v>
      </c>
      <c r="X332" s="62">
        <f t="shared" si="300"/>
        <v>0</v>
      </c>
      <c r="Y332" s="43">
        <f>SUMPRODUCT(Y333:Y337,$K333:$K337)</f>
        <v>0</v>
      </c>
      <c r="Z332" s="43">
        <f t="shared" ref="Z332" si="301">SUMPRODUCT(Z333:Z337,$K333:$K337)</f>
        <v>0</v>
      </c>
      <c r="AA332" s="43">
        <f>SUMPRODUCT(AA333:AA337,$K333:$K337)</f>
        <v>0</v>
      </c>
    </row>
    <row r="333" spans="1:27" ht="18.75" customHeight="1" outlineLevel="6" x14ac:dyDescent="0.3">
      <c r="B333" s="44"/>
      <c r="C333" s="18"/>
      <c r="D333" s="24"/>
      <c r="E333" s="29"/>
      <c r="F333" s="34"/>
      <c r="G333" s="39"/>
      <c r="H333" s="46" t="s">
        <v>383</v>
      </c>
      <c r="I333" s="46" t="s">
        <v>45</v>
      </c>
      <c r="J333" s="47" t="s">
        <v>293</v>
      </c>
      <c r="K333" s="48">
        <v>0.1</v>
      </c>
      <c r="L333" s="49">
        <f>VLOOKUP(H333,[4]Sheet2!K:P,6,0)</f>
        <v>4.5000000000000004E-4</v>
      </c>
      <c r="M333" s="50">
        <f>VLOOKUP(H333,[4]Sheet2!K:Q,7,0)</f>
        <v>10128.6</v>
      </c>
      <c r="N333" s="51"/>
      <c r="O333" s="51"/>
      <c r="P333" s="51"/>
      <c r="Q333" s="51"/>
      <c r="R333" s="51"/>
      <c r="S333" s="51"/>
      <c r="T333" s="51"/>
      <c r="U333" s="51"/>
      <c r="V333" s="52">
        <f>VLOOKUP(H333,[4]Sheet2!K:N,4,0)</f>
        <v>0</v>
      </c>
      <c r="W333" s="52">
        <f t="shared" ref="W333:W337" si="302">X333-V333</f>
        <v>0</v>
      </c>
      <c r="X333" s="52">
        <f>VLOOKUP(H333,[4]Sheet2!K:N,4,0)</f>
        <v>0</v>
      </c>
      <c r="Y333" s="53">
        <f t="shared" ref="Y333:Y337" si="303">IFERROR(V333/M333,1)</f>
        <v>0</v>
      </c>
      <c r="Z333" s="53">
        <f t="shared" ref="Z333:Z337" si="304">IFERROR(W333/M333,1)</f>
        <v>0</v>
      </c>
      <c r="AA333" s="53">
        <f t="shared" ref="AA333:AA337" si="305">IFERROR(X333/M333,1)</f>
        <v>0</v>
      </c>
    </row>
    <row r="334" spans="1:27" ht="18.75" customHeight="1" outlineLevel="6" x14ac:dyDescent="0.3">
      <c r="A334" s="1" t="s">
        <v>384</v>
      </c>
      <c r="B334" s="44"/>
      <c r="C334" s="18"/>
      <c r="D334" s="24"/>
      <c r="E334" s="29"/>
      <c r="F334" s="34"/>
      <c r="G334" s="39"/>
      <c r="H334" s="46" t="s">
        <v>385</v>
      </c>
      <c r="I334" s="46" t="s">
        <v>48</v>
      </c>
      <c r="J334" s="47" t="s">
        <v>293</v>
      </c>
      <c r="K334" s="48">
        <v>0.6</v>
      </c>
      <c r="L334" s="49">
        <f>VLOOKUP(H334,[4]Sheet2!K:P,6,0)</f>
        <v>2.7000000000000001E-3</v>
      </c>
      <c r="M334" s="50">
        <f>VLOOKUP(H334,[4]Sheet2!K:Q,7,0)</f>
        <v>10128.6</v>
      </c>
      <c r="N334" s="51"/>
      <c r="O334" s="51"/>
      <c r="P334" s="51"/>
      <c r="Q334" s="51"/>
      <c r="R334" s="51"/>
      <c r="S334" s="51"/>
      <c r="T334" s="51"/>
      <c r="U334" s="51"/>
      <c r="V334" s="52">
        <f>VLOOKUP(H334,[4]Sheet2!K:N,4,0)</f>
        <v>0</v>
      </c>
      <c r="W334" s="52">
        <f t="shared" si="302"/>
        <v>0</v>
      </c>
      <c r="X334" s="52">
        <f>VLOOKUP(H334,[4]Sheet2!K:N,4,0)</f>
        <v>0</v>
      </c>
      <c r="Y334" s="53">
        <f t="shared" si="303"/>
        <v>0</v>
      </c>
      <c r="Z334" s="53">
        <f t="shared" si="304"/>
        <v>0</v>
      </c>
      <c r="AA334" s="53">
        <f t="shared" si="305"/>
        <v>0</v>
      </c>
    </row>
    <row r="335" spans="1:27" ht="18.75" customHeight="1" outlineLevel="6" x14ac:dyDescent="0.3">
      <c r="B335" s="44"/>
      <c r="C335" s="18"/>
      <c r="D335" s="24"/>
      <c r="E335" s="29"/>
      <c r="F335" s="34"/>
      <c r="G335" s="39"/>
      <c r="H335" s="46" t="s">
        <v>386</v>
      </c>
      <c r="I335" s="46" t="s">
        <v>296</v>
      </c>
      <c r="J335" s="47" t="s">
        <v>293</v>
      </c>
      <c r="K335" s="48">
        <v>0.15</v>
      </c>
      <c r="L335" s="49">
        <f>VLOOKUP(H335,[4]Sheet2!K:P,6,0)</f>
        <v>6.7500000000000004E-4</v>
      </c>
      <c r="M335" s="50">
        <f>VLOOKUP(H335,[4]Sheet2!K:Q,7,0)</f>
        <v>10128.6</v>
      </c>
      <c r="N335" s="51"/>
      <c r="O335" s="51"/>
      <c r="P335" s="51"/>
      <c r="Q335" s="51"/>
      <c r="R335" s="51"/>
      <c r="S335" s="51"/>
      <c r="T335" s="51"/>
      <c r="U335" s="51"/>
      <c r="V335" s="52">
        <f>VLOOKUP(H335,[4]Sheet2!K:N,4,0)</f>
        <v>0</v>
      </c>
      <c r="W335" s="52">
        <f t="shared" si="302"/>
        <v>0</v>
      </c>
      <c r="X335" s="52">
        <f>VLOOKUP(H335,[4]Sheet2!K:N,4,0)</f>
        <v>0</v>
      </c>
      <c r="Y335" s="53">
        <f t="shared" si="303"/>
        <v>0</v>
      </c>
      <c r="Z335" s="53">
        <f t="shared" si="304"/>
        <v>0</v>
      </c>
      <c r="AA335" s="53">
        <f t="shared" si="305"/>
        <v>0</v>
      </c>
    </row>
    <row r="336" spans="1:27" ht="18.75" customHeight="1" outlineLevel="6" x14ac:dyDescent="0.3">
      <c r="B336" s="44"/>
      <c r="C336" s="18"/>
      <c r="D336" s="24"/>
      <c r="E336" s="29"/>
      <c r="F336" s="34"/>
      <c r="G336" s="39"/>
      <c r="H336" s="46" t="s">
        <v>387</v>
      </c>
      <c r="I336" s="46" t="s">
        <v>298</v>
      </c>
      <c r="J336" s="47" t="s">
        <v>293</v>
      </c>
      <c r="K336" s="48">
        <v>0.1</v>
      </c>
      <c r="L336" s="49">
        <f>VLOOKUP(H336,[4]Sheet2!K:P,6,0)</f>
        <v>4.5000000000000004E-4</v>
      </c>
      <c r="M336" s="50">
        <f>VLOOKUP(H336,[4]Sheet2!K:Q,7,0)</f>
        <v>10128.6</v>
      </c>
      <c r="N336" s="51"/>
      <c r="O336" s="51"/>
      <c r="P336" s="51"/>
      <c r="Q336" s="51"/>
      <c r="R336" s="51"/>
      <c r="S336" s="51"/>
      <c r="T336" s="51"/>
      <c r="U336" s="51"/>
      <c r="V336" s="52">
        <f>VLOOKUP(H336,[4]Sheet2!K:N,4,0)</f>
        <v>0</v>
      </c>
      <c r="W336" s="52">
        <f t="shared" si="302"/>
        <v>0</v>
      </c>
      <c r="X336" s="52">
        <f>VLOOKUP(H336,[4]Sheet2!K:N,4,0)</f>
        <v>0</v>
      </c>
      <c r="Y336" s="53">
        <f t="shared" si="303"/>
        <v>0</v>
      </c>
      <c r="Z336" s="53">
        <f t="shared" si="304"/>
        <v>0</v>
      </c>
      <c r="AA336" s="53">
        <f t="shared" si="305"/>
        <v>0</v>
      </c>
    </row>
    <row r="337" spans="1:27" ht="18.75" customHeight="1" outlineLevel="6" x14ac:dyDescent="0.3">
      <c r="B337" s="44"/>
      <c r="C337" s="18"/>
      <c r="D337" s="24"/>
      <c r="E337" s="29"/>
      <c r="F337" s="34"/>
      <c r="G337" s="39"/>
      <c r="H337" s="46" t="s">
        <v>388</v>
      </c>
      <c r="I337" s="46" t="s">
        <v>56</v>
      </c>
      <c r="J337" s="47" t="s">
        <v>293</v>
      </c>
      <c r="K337" s="48">
        <v>0.05</v>
      </c>
      <c r="L337" s="49">
        <f>VLOOKUP(H337,[4]Sheet2!K:P,6,0)</f>
        <v>2.2500000000000002E-4</v>
      </c>
      <c r="M337" s="50">
        <f>VLOOKUP(H337,[4]Sheet2!K:Q,7,0)</f>
        <v>10128.6</v>
      </c>
      <c r="N337" s="51"/>
      <c r="O337" s="51"/>
      <c r="P337" s="51"/>
      <c r="Q337" s="51"/>
      <c r="R337" s="51"/>
      <c r="S337" s="51"/>
      <c r="T337" s="51"/>
      <c r="U337" s="51"/>
      <c r="V337" s="52">
        <f>VLOOKUP(H337,[4]Sheet2!K:N,4,0)</f>
        <v>0</v>
      </c>
      <c r="W337" s="52">
        <f t="shared" si="302"/>
        <v>0</v>
      </c>
      <c r="X337" s="52">
        <f>VLOOKUP(H337,[4]Sheet2!K:N,4,0)</f>
        <v>0</v>
      </c>
      <c r="Y337" s="53">
        <f t="shared" si="303"/>
        <v>0</v>
      </c>
      <c r="Z337" s="53">
        <f t="shared" si="304"/>
        <v>0</v>
      </c>
      <c r="AA337" s="53">
        <f t="shared" si="305"/>
        <v>0</v>
      </c>
    </row>
    <row r="338" spans="1:27" ht="18.75" customHeight="1" outlineLevel="5" x14ac:dyDescent="0.3">
      <c r="B338" s="12"/>
      <c r="C338" s="18"/>
      <c r="D338" s="24"/>
      <c r="E338" s="29"/>
      <c r="F338" s="34"/>
      <c r="G338" s="39" t="s">
        <v>389</v>
      </c>
      <c r="H338" s="58"/>
      <c r="I338" s="58"/>
      <c r="J338" s="58"/>
      <c r="K338" s="58"/>
      <c r="L338" s="41">
        <f>SUM(L339:L343)</f>
        <v>4.5000000000000005E-3</v>
      </c>
      <c r="M338" s="42">
        <f>M339</f>
        <v>14628.6</v>
      </c>
      <c r="N338" s="40"/>
      <c r="O338" s="40"/>
      <c r="P338" s="40"/>
      <c r="Q338" s="40"/>
      <c r="R338" s="40"/>
      <c r="S338" s="40"/>
      <c r="T338" s="40"/>
      <c r="U338" s="40"/>
      <c r="V338" s="62">
        <f t="shared" ref="V338:X338" si="306">SUMPRODUCT(V339:V343,$K339:$K343)</f>
        <v>11540.52</v>
      </c>
      <c r="W338" s="62">
        <f t="shared" si="306"/>
        <v>0</v>
      </c>
      <c r="X338" s="62">
        <f t="shared" si="306"/>
        <v>11540.52</v>
      </c>
      <c r="Y338" s="43">
        <f>SUMPRODUCT(Y339:Y343,$K339:$K343)</f>
        <v>0.78890119355235633</v>
      </c>
      <c r="Z338" s="43">
        <f t="shared" ref="Z338:AA338" si="307">SUMPRODUCT(Z339:Z343,$K339:$K343)</f>
        <v>0</v>
      </c>
      <c r="AA338" s="43">
        <f t="shared" si="307"/>
        <v>0.78890119355235633</v>
      </c>
    </row>
    <row r="339" spans="1:27" ht="18.75" customHeight="1" outlineLevel="6" x14ac:dyDescent="0.3">
      <c r="B339" s="44"/>
      <c r="C339" s="18"/>
      <c r="D339" s="24"/>
      <c r="E339" s="29"/>
      <c r="F339" s="34"/>
      <c r="G339" s="39"/>
      <c r="H339" s="46" t="s">
        <v>390</v>
      </c>
      <c r="I339" s="46" t="s">
        <v>45</v>
      </c>
      <c r="J339" s="47" t="s">
        <v>293</v>
      </c>
      <c r="K339" s="48">
        <v>0.1</v>
      </c>
      <c r="L339" s="49">
        <f>VLOOKUP(H339,[4]Sheet2!K:P,6,0)</f>
        <v>4.5000000000000004E-4</v>
      </c>
      <c r="M339" s="50">
        <f>VLOOKUP(H339,[4]Sheet2!K:Q,7,0)</f>
        <v>14628.6</v>
      </c>
      <c r="N339" s="51"/>
      <c r="O339" s="51"/>
      <c r="P339" s="51"/>
      <c r="Q339" s="51"/>
      <c r="R339" s="51"/>
      <c r="S339" s="51"/>
      <c r="T339" s="51"/>
      <c r="U339" s="51"/>
      <c r="V339" s="52">
        <f>VLOOKUP(H339,[4]Sheet2!K:N,4,0)</f>
        <v>14628.6</v>
      </c>
      <c r="W339" s="52">
        <f t="shared" ref="W339:W343" si="308">X339-V339</f>
        <v>0</v>
      </c>
      <c r="X339" s="52">
        <f>VLOOKUP(H339,[4]Sheet2!K:N,4,0)</f>
        <v>14628.6</v>
      </c>
      <c r="Y339" s="53">
        <f t="shared" ref="Y339:Y343" si="309">IFERROR(V339/M339,1)</f>
        <v>1</v>
      </c>
      <c r="Z339" s="53">
        <f t="shared" ref="Z339:Z343" si="310">IFERROR(W339/M339,1)</f>
        <v>0</v>
      </c>
      <c r="AA339" s="53">
        <f t="shared" ref="AA339:AA343" si="311">IFERROR(X339/M339,1)</f>
        <v>1</v>
      </c>
    </row>
    <row r="340" spans="1:27" ht="18.75" customHeight="1" outlineLevel="6" x14ac:dyDescent="0.3">
      <c r="A340" s="1" t="s">
        <v>384</v>
      </c>
      <c r="B340" s="44"/>
      <c r="C340" s="18"/>
      <c r="D340" s="24"/>
      <c r="E340" s="29"/>
      <c r="F340" s="34"/>
      <c r="G340" s="39"/>
      <c r="H340" s="46" t="s">
        <v>391</v>
      </c>
      <c r="I340" s="46" t="s">
        <v>48</v>
      </c>
      <c r="J340" s="47" t="s">
        <v>293</v>
      </c>
      <c r="K340" s="48">
        <v>0.6</v>
      </c>
      <c r="L340" s="49">
        <f>VLOOKUP(H340,[4]Sheet2!K:P,6,0)</f>
        <v>2.7000000000000001E-3</v>
      </c>
      <c r="M340" s="50">
        <f>VLOOKUP(H340,[4]Sheet2!K:Q,7,0)</f>
        <v>14628.6</v>
      </c>
      <c r="N340" s="51"/>
      <c r="O340" s="51"/>
      <c r="P340" s="51"/>
      <c r="Q340" s="51"/>
      <c r="R340" s="51"/>
      <c r="S340" s="51"/>
      <c r="T340" s="51"/>
      <c r="U340" s="51"/>
      <c r="V340" s="52">
        <f>VLOOKUP(H340,[4]Sheet2!K:N,4,0)</f>
        <v>14628.6</v>
      </c>
      <c r="W340" s="52">
        <f t="shared" si="308"/>
        <v>0</v>
      </c>
      <c r="X340" s="52">
        <f>VLOOKUP(H340,[4]Sheet2!K:N,4,0)</f>
        <v>14628.6</v>
      </c>
      <c r="Y340" s="53">
        <f t="shared" si="309"/>
        <v>1</v>
      </c>
      <c r="Z340" s="53">
        <f t="shared" si="310"/>
        <v>0</v>
      </c>
      <c r="AA340" s="53">
        <f t="shared" si="311"/>
        <v>1</v>
      </c>
    </row>
    <row r="341" spans="1:27" ht="18.75" customHeight="1" outlineLevel="6" x14ac:dyDescent="0.3">
      <c r="B341" s="44"/>
      <c r="C341" s="18"/>
      <c r="D341" s="24"/>
      <c r="E341" s="29"/>
      <c r="F341" s="34"/>
      <c r="G341" s="39"/>
      <c r="H341" s="46" t="s">
        <v>392</v>
      </c>
      <c r="I341" s="46" t="s">
        <v>296</v>
      </c>
      <c r="J341" s="47" t="s">
        <v>293</v>
      </c>
      <c r="K341" s="48">
        <v>0.15</v>
      </c>
      <c r="L341" s="49">
        <f>VLOOKUP(H341,[4]Sheet2!K:P,6,0)</f>
        <v>6.7500000000000004E-4</v>
      </c>
      <c r="M341" s="50">
        <f>VLOOKUP(H341,[4]Sheet2!K:Q,7,0)</f>
        <v>14628.6</v>
      </c>
      <c r="N341" s="51"/>
      <c r="O341" s="51"/>
      <c r="P341" s="51"/>
      <c r="Q341" s="51"/>
      <c r="R341" s="51"/>
      <c r="S341" s="51"/>
      <c r="T341" s="51"/>
      <c r="U341" s="51"/>
      <c r="V341" s="52">
        <f>VLOOKUP(H341,[4]Sheet2!K:N,4,0)</f>
        <v>8670</v>
      </c>
      <c r="W341" s="52">
        <f t="shared" si="308"/>
        <v>0</v>
      </c>
      <c r="X341" s="52">
        <f>VLOOKUP(H341,[4]Sheet2!K:N,4,0)</f>
        <v>8670</v>
      </c>
      <c r="Y341" s="53">
        <f t="shared" si="309"/>
        <v>0.59267462368237556</v>
      </c>
      <c r="Z341" s="53">
        <f t="shared" si="310"/>
        <v>0</v>
      </c>
      <c r="AA341" s="53">
        <f t="shared" si="311"/>
        <v>0.59267462368237556</v>
      </c>
    </row>
    <row r="342" spans="1:27" ht="18.75" customHeight="1" outlineLevel="6" x14ac:dyDescent="0.3">
      <c r="B342" s="44"/>
      <c r="C342" s="18"/>
      <c r="D342" s="24"/>
      <c r="E342" s="29"/>
      <c r="F342" s="34"/>
      <c r="G342" s="39"/>
      <c r="H342" s="46" t="s">
        <v>393</v>
      </c>
      <c r="I342" s="46" t="s">
        <v>298</v>
      </c>
      <c r="J342" s="47" t="s">
        <v>293</v>
      </c>
      <c r="K342" s="48">
        <v>0.1</v>
      </c>
      <c r="L342" s="49">
        <f>VLOOKUP(H342,[4]Sheet2!K:P,6,0)</f>
        <v>4.5000000000000004E-4</v>
      </c>
      <c r="M342" s="50">
        <f>VLOOKUP(H342,[4]Sheet2!K:Q,7,0)</f>
        <v>14628.6</v>
      </c>
      <c r="N342" s="51"/>
      <c r="O342" s="51"/>
      <c r="P342" s="51"/>
      <c r="Q342" s="51"/>
      <c r="R342" s="51"/>
      <c r="S342" s="51"/>
      <c r="T342" s="51"/>
      <c r="U342" s="51"/>
      <c r="V342" s="52">
        <f>VLOOKUP(H342,[4]Sheet2!K:N,4,0)</f>
        <v>0</v>
      </c>
      <c r="W342" s="52">
        <f t="shared" si="308"/>
        <v>0</v>
      </c>
      <c r="X342" s="52">
        <f>VLOOKUP(H342,[4]Sheet2!K:N,4,0)</f>
        <v>0</v>
      </c>
      <c r="Y342" s="53">
        <f t="shared" si="309"/>
        <v>0</v>
      </c>
      <c r="Z342" s="53">
        <f t="shared" si="310"/>
        <v>0</v>
      </c>
      <c r="AA342" s="53">
        <f t="shared" si="311"/>
        <v>0</v>
      </c>
    </row>
    <row r="343" spans="1:27" ht="18.75" customHeight="1" outlineLevel="6" x14ac:dyDescent="0.3">
      <c r="B343" s="44"/>
      <c r="C343" s="18"/>
      <c r="D343" s="24"/>
      <c r="E343" s="29"/>
      <c r="F343" s="34"/>
      <c r="G343" s="39"/>
      <c r="H343" s="46" t="s">
        <v>394</v>
      </c>
      <c r="I343" s="46" t="s">
        <v>56</v>
      </c>
      <c r="J343" s="47" t="s">
        <v>293</v>
      </c>
      <c r="K343" s="48">
        <v>0.05</v>
      </c>
      <c r="L343" s="49">
        <f>VLOOKUP(H343,[4]Sheet2!K:P,6,0)</f>
        <v>2.2500000000000002E-4</v>
      </c>
      <c r="M343" s="50">
        <f>VLOOKUP(H343,[4]Sheet2!K:Q,7,0)</f>
        <v>14628.6</v>
      </c>
      <c r="N343" s="51"/>
      <c r="O343" s="51"/>
      <c r="P343" s="51"/>
      <c r="Q343" s="51"/>
      <c r="R343" s="51"/>
      <c r="S343" s="51"/>
      <c r="T343" s="51"/>
      <c r="U343" s="51"/>
      <c r="V343" s="52">
        <f>VLOOKUP(H343,[4]Sheet2!K:N,4,0)</f>
        <v>0</v>
      </c>
      <c r="W343" s="52">
        <f t="shared" si="308"/>
        <v>0</v>
      </c>
      <c r="X343" s="52">
        <f>VLOOKUP(H343,[4]Sheet2!K:N,4,0)</f>
        <v>0</v>
      </c>
      <c r="Y343" s="53">
        <f t="shared" si="309"/>
        <v>0</v>
      </c>
      <c r="Z343" s="53">
        <f t="shared" si="310"/>
        <v>0</v>
      </c>
      <c r="AA343" s="53">
        <f t="shared" si="311"/>
        <v>0</v>
      </c>
    </row>
    <row r="344" spans="1:27" ht="18.75" customHeight="1" outlineLevel="5" x14ac:dyDescent="0.3">
      <c r="B344" s="12"/>
      <c r="C344" s="18"/>
      <c r="D344" s="24"/>
      <c r="E344" s="29"/>
      <c r="F344" s="34"/>
      <c r="G344" s="39" t="s">
        <v>395</v>
      </c>
      <c r="H344" s="58"/>
      <c r="I344" s="58"/>
      <c r="J344" s="58"/>
      <c r="K344" s="58"/>
      <c r="L344" s="41">
        <f>SUM(L345:L349)</f>
        <v>4.8999999999999998E-3</v>
      </c>
      <c r="M344" s="42">
        <f>M345</f>
        <v>17100</v>
      </c>
      <c r="N344" s="40"/>
      <c r="O344" s="40"/>
      <c r="P344" s="40"/>
      <c r="Q344" s="40"/>
      <c r="R344" s="40"/>
      <c r="S344" s="40"/>
      <c r="T344" s="40"/>
      <c r="U344" s="40"/>
      <c r="V344" s="62">
        <f t="shared" ref="V344:X344" si="312">SUMPRODUCT(V345:V349,$K345:$K349)</f>
        <v>17100</v>
      </c>
      <c r="W344" s="62">
        <f t="shared" si="312"/>
        <v>0</v>
      </c>
      <c r="X344" s="62">
        <f t="shared" si="312"/>
        <v>17100</v>
      </c>
      <c r="Y344" s="43">
        <f>SUMPRODUCT(Y345:Y349,$K345:$K349)</f>
        <v>1</v>
      </c>
      <c r="Z344" s="43">
        <f t="shared" ref="Z344:AA344" si="313">SUMPRODUCT(Z345:Z349,$K345:$K349)</f>
        <v>0</v>
      </c>
      <c r="AA344" s="43">
        <f t="shared" si="313"/>
        <v>1</v>
      </c>
    </row>
    <row r="345" spans="1:27" ht="18.75" customHeight="1" outlineLevel="6" x14ac:dyDescent="0.3">
      <c r="B345" s="44"/>
      <c r="C345" s="18"/>
      <c r="D345" s="24"/>
      <c r="E345" s="29"/>
      <c r="F345" s="34"/>
      <c r="G345" s="39"/>
      <c r="H345" s="46" t="s">
        <v>396</v>
      </c>
      <c r="I345" s="46" t="s">
        <v>45</v>
      </c>
      <c r="J345" s="47" t="s">
        <v>293</v>
      </c>
      <c r="K345" s="48">
        <v>0.1</v>
      </c>
      <c r="L345" s="49">
        <f>VLOOKUP(H345,[4]Sheet2!K:P,6,0)</f>
        <v>4.8999999999999998E-4</v>
      </c>
      <c r="M345" s="50">
        <f>VLOOKUP(H345,[4]Sheet2!K:Q,7,0)</f>
        <v>17100</v>
      </c>
      <c r="N345" s="51"/>
      <c r="O345" s="51"/>
      <c r="P345" s="51"/>
      <c r="Q345" s="51"/>
      <c r="R345" s="51"/>
      <c r="S345" s="51"/>
      <c r="T345" s="51"/>
      <c r="U345" s="51"/>
      <c r="V345" s="52">
        <f>VLOOKUP(H345,[4]Sheet2!K:N,4,0)</f>
        <v>17100</v>
      </c>
      <c r="W345" s="52">
        <f t="shared" ref="W345:W349" si="314">X345-V345</f>
        <v>0</v>
      </c>
      <c r="X345" s="52">
        <f>VLOOKUP(H345,[4]Sheet2!K:N,4,0)</f>
        <v>17100</v>
      </c>
      <c r="Y345" s="53">
        <f t="shared" ref="Y345:Y349" si="315">IFERROR(V345/M345,1)</f>
        <v>1</v>
      </c>
      <c r="Z345" s="53">
        <f t="shared" ref="Z345:Z349" si="316">IFERROR(W345/M345,1)</f>
        <v>0</v>
      </c>
      <c r="AA345" s="53">
        <f t="shared" ref="AA345:AA349" si="317">IFERROR(X345/M345,1)</f>
        <v>1</v>
      </c>
    </row>
    <row r="346" spans="1:27" ht="18.75" customHeight="1" outlineLevel="6" x14ac:dyDescent="0.3">
      <c r="A346" s="1" t="s">
        <v>384</v>
      </c>
      <c r="B346" s="44"/>
      <c r="C346" s="18"/>
      <c r="D346" s="24"/>
      <c r="E346" s="29"/>
      <c r="F346" s="34"/>
      <c r="G346" s="39"/>
      <c r="H346" s="46" t="s">
        <v>397</v>
      </c>
      <c r="I346" s="46" t="s">
        <v>48</v>
      </c>
      <c r="J346" s="47" t="s">
        <v>293</v>
      </c>
      <c r="K346" s="48">
        <v>0.6</v>
      </c>
      <c r="L346" s="49">
        <f>VLOOKUP(H346,[4]Sheet2!K:P,6,0)</f>
        <v>2.9399999999999999E-3</v>
      </c>
      <c r="M346" s="50">
        <f>VLOOKUP(H346,[4]Sheet2!K:Q,7,0)</f>
        <v>17100</v>
      </c>
      <c r="N346" s="51"/>
      <c r="O346" s="51"/>
      <c r="P346" s="51"/>
      <c r="Q346" s="51"/>
      <c r="R346" s="51"/>
      <c r="S346" s="51"/>
      <c r="T346" s="51"/>
      <c r="U346" s="51"/>
      <c r="V346" s="52">
        <f>VLOOKUP(H346,[4]Sheet2!K:N,4,0)</f>
        <v>17100</v>
      </c>
      <c r="W346" s="52">
        <f t="shared" si="314"/>
        <v>0</v>
      </c>
      <c r="X346" s="52">
        <f>VLOOKUP(H346,[4]Sheet2!K:N,4,0)</f>
        <v>17100</v>
      </c>
      <c r="Y346" s="53">
        <f t="shared" si="315"/>
        <v>1</v>
      </c>
      <c r="Z346" s="53">
        <f t="shared" si="316"/>
        <v>0</v>
      </c>
      <c r="AA346" s="53">
        <f t="shared" si="317"/>
        <v>1</v>
      </c>
    </row>
    <row r="347" spans="1:27" ht="18.75" customHeight="1" outlineLevel="6" x14ac:dyDescent="0.3">
      <c r="B347" s="44"/>
      <c r="C347" s="18"/>
      <c r="D347" s="24"/>
      <c r="E347" s="29"/>
      <c r="F347" s="34"/>
      <c r="G347" s="39"/>
      <c r="H347" s="46" t="s">
        <v>398</v>
      </c>
      <c r="I347" s="46" t="s">
        <v>296</v>
      </c>
      <c r="J347" s="47" t="s">
        <v>293</v>
      </c>
      <c r="K347" s="48">
        <v>0.15</v>
      </c>
      <c r="L347" s="49">
        <f>VLOOKUP(H347,[4]Sheet2!K:P,6,0)</f>
        <v>7.3499999999999998E-4</v>
      </c>
      <c r="M347" s="50">
        <f>VLOOKUP(H347,[4]Sheet2!K:Q,7,0)</f>
        <v>17100</v>
      </c>
      <c r="N347" s="51"/>
      <c r="O347" s="51"/>
      <c r="P347" s="51"/>
      <c r="Q347" s="51"/>
      <c r="R347" s="51"/>
      <c r="S347" s="51"/>
      <c r="T347" s="51"/>
      <c r="U347" s="51"/>
      <c r="V347" s="52">
        <f>VLOOKUP(H347,[4]Sheet2!K:N,4,0)</f>
        <v>17100</v>
      </c>
      <c r="W347" s="52">
        <f t="shared" si="314"/>
        <v>0</v>
      </c>
      <c r="X347" s="52">
        <f>VLOOKUP(H347,[4]Sheet2!K:N,4,0)</f>
        <v>17100</v>
      </c>
      <c r="Y347" s="53">
        <f t="shared" si="315"/>
        <v>1</v>
      </c>
      <c r="Z347" s="53">
        <f t="shared" si="316"/>
        <v>0</v>
      </c>
      <c r="AA347" s="53">
        <f t="shared" si="317"/>
        <v>1</v>
      </c>
    </row>
    <row r="348" spans="1:27" ht="18.75" customHeight="1" outlineLevel="6" x14ac:dyDescent="0.3">
      <c r="B348" s="44"/>
      <c r="C348" s="18"/>
      <c r="D348" s="24"/>
      <c r="E348" s="29"/>
      <c r="F348" s="34"/>
      <c r="G348" s="39"/>
      <c r="H348" s="46" t="s">
        <v>399</v>
      </c>
      <c r="I348" s="46" t="s">
        <v>298</v>
      </c>
      <c r="J348" s="47" t="s">
        <v>293</v>
      </c>
      <c r="K348" s="48">
        <v>0.1</v>
      </c>
      <c r="L348" s="49">
        <f>VLOOKUP(H348,[4]Sheet2!K:P,6,0)</f>
        <v>4.8999999999999998E-4</v>
      </c>
      <c r="M348" s="50">
        <f>VLOOKUP(H348,[4]Sheet2!K:Q,7,0)</f>
        <v>17100</v>
      </c>
      <c r="N348" s="51"/>
      <c r="O348" s="51"/>
      <c r="P348" s="51"/>
      <c r="Q348" s="51"/>
      <c r="R348" s="51"/>
      <c r="S348" s="51"/>
      <c r="T348" s="51"/>
      <c r="U348" s="51"/>
      <c r="V348" s="52">
        <f>VLOOKUP(H348,[4]Sheet2!K:N,4,0)</f>
        <v>17100</v>
      </c>
      <c r="W348" s="52">
        <f t="shared" si="314"/>
        <v>0</v>
      </c>
      <c r="X348" s="52">
        <f>VLOOKUP(H348,[4]Sheet2!K:N,4,0)</f>
        <v>17100</v>
      </c>
      <c r="Y348" s="53">
        <f t="shared" si="315"/>
        <v>1</v>
      </c>
      <c r="Z348" s="53">
        <f t="shared" si="316"/>
        <v>0</v>
      </c>
      <c r="AA348" s="53">
        <f t="shared" si="317"/>
        <v>1</v>
      </c>
    </row>
    <row r="349" spans="1:27" ht="18.75" customHeight="1" outlineLevel="6" x14ac:dyDescent="0.3">
      <c r="B349" s="44"/>
      <c r="C349" s="18"/>
      <c r="D349" s="24"/>
      <c r="E349" s="29"/>
      <c r="F349" s="34"/>
      <c r="G349" s="39"/>
      <c r="H349" s="46" t="s">
        <v>400</v>
      </c>
      <c r="I349" s="46" t="s">
        <v>56</v>
      </c>
      <c r="J349" s="47" t="s">
        <v>293</v>
      </c>
      <c r="K349" s="48">
        <v>0.05</v>
      </c>
      <c r="L349" s="49">
        <f>VLOOKUP(H349,[4]Sheet2!K:P,6,0)</f>
        <v>2.4499999999999999E-4</v>
      </c>
      <c r="M349" s="50">
        <f>VLOOKUP(H349,[4]Sheet2!K:Q,7,0)</f>
        <v>17100</v>
      </c>
      <c r="N349" s="51"/>
      <c r="O349" s="51"/>
      <c r="P349" s="51"/>
      <c r="Q349" s="51"/>
      <c r="R349" s="51"/>
      <c r="S349" s="51"/>
      <c r="T349" s="51"/>
      <c r="U349" s="51"/>
      <c r="V349" s="52">
        <f>VLOOKUP(H349,[4]Sheet2!K:N,4,0)</f>
        <v>17100</v>
      </c>
      <c r="W349" s="52">
        <f t="shared" si="314"/>
        <v>0</v>
      </c>
      <c r="X349" s="52">
        <f>VLOOKUP(H349,[4]Sheet2!K:N,4,0)</f>
        <v>17100</v>
      </c>
      <c r="Y349" s="53">
        <f t="shared" si="315"/>
        <v>1</v>
      </c>
      <c r="Z349" s="53">
        <f t="shared" si="316"/>
        <v>0</v>
      </c>
      <c r="AA349" s="53">
        <f t="shared" si="317"/>
        <v>1</v>
      </c>
    </row>
    <row r="350" spans="1:27" ht="18.75" customHeight="1" outlineLevel="5" x14ac:dyDescent="0.3">
      <c r="B350" s="12"/>
      <c r="C350" s="18"/>
      <c r="D350" s="24"/>
      <c r="E350" s="29"/>
      <c r="F350" s="34"/>
      <c r="G350" s="39" t="s">
        <v>401</v>
      </c>
      <c r="H350" s="58"/>
      <c r="I350" s="58"/>
      <c r="J350" s="58"/>
      <c r="K350" s="58"/>
      <c r="L350" s="41">
        <f>SUM(L351:L355)</f>
        <v>4.8999999999999998E-3</v>
      </c>
      <c r="M350" s="42">
        <f>M351</f>
        <v>17100</v>
      </c>
      <c r="N350" s="40"/>
      <c r="O350" s="40"/>
      <c r="P350" s="40"/>
      <c r="Q350" s="40"/>
      <c r="R350" s="40"/>
      <c r="S350" s="40"/>
      <c r="T350" s="40"/>
      <c r="U350" s="40"/>
      <c r="V350" s="62">
        <f t="shared" ref="V350:X350" si="318">SUMPRODUCT(V351:V355,$K351:$K355)</f>
        <v>17100</v>
      </c>
      <c r="W350" s="62">
        <f t="shared" si="318"/>
        <v>0</v>
      </c>
      <c r="X350" s="62">
        <f t="shared" si="318"/>
        <v>17100</v>
      </c>
      <c r="Y350" s="43">
        <f>SUMPRODUCT(Y351:Y355,$K351:$K355)</f>
        <v>1</v>
      </c>
      <c r="Z350" s="43">
        <f t="shared" ref="Z350:AA350" si="319">SUMPRODUCT(Z351:Z355,$K351:$K355)</f>
        <v>0</v>
      </c>
      <c r="AA350" s="43">
        <f t="shared" si="319"/>
        <v>1</v>
      </c>
    </row>
    <row r="351" spans="1:27" ht="18.75" customHeight="1" outlineLevel="6" x14ac:dyDescent="0.3">
      <c r="B351" s="44"/>
      <c r="C351" s="18"/>
      <c r="D351" s="24"/>
      <c r="E351" s="29"/>
      <c r="F351" s="34"/>
      <c r="G351" s="39"/>
      <c r="H351" s="46" t="s">
        <v>402</v>
      </c>
      <c r="I351" s="46" t="s">
        <v>45</v>
      </c>
      <c r="J351" s="47" t="s">
        <v>293</v>
      </c>
      <c r="K351" s="48">
        <v>0.1</v>
      </c>
      <c r="L351" s="49">
        <f>VLOOKUP(H351,[4]Sheet2!K:P,6,0)</f>
        <v>4.8999999999999998E-4</v>
      </c>
      <c r="M351" s="50">
        <f>VLOOKUP(H351,[4]Sheet2!K:Q,7,0)</f>
        <v>17100</v>
      </c>
      <c r="N351" s="51"/>
      <c r="O351" s="51"/>
      <c r="P351" s="51"/>
      <c r="Q351" s="51"/>
      <c r="R351" s="51"/>
      <c r="S351" s="51"/>
      <c r="T351" s="51"/>
      <c r="U351" s="51"/>
      <c r="V351" s="52">
        <f>VLOOKUP(H351,[4]Sheet2!K:N,4,0)</f>
        <v>17100</v>
      </c>
      <c r="W351" s="52">
        <f t="shared" ref="W351:W355" si="320">X351-V351</f>
        <v>0</v>
      </c>
      <c r="X351" s="52">
        <f>VLOOKUP(H351,[4]Sheet2!K:N,4,0)</f>
        <v>17100</v>
      </c>
      <c r="Y351" s="53">
        <f t="shared" ref="Y351:Y355" si="321">IFERROR(V351/M351,1)</f>
        <v>1</v>
      </c>
      <c r="Z351" s="53">
        <f t="shared" ref="Z351:Z355" si="322">IFERROR(W351/M351,1)</f>
        <v>0</v>
      </c>
      <c r="AA351" s="53">
        <f t="shared" ref="AA351:AA355" si="323">IFERROR(X351/M351,1)</f>
        <v>1</v>
      </c>
    </row>
    <row r="352" spans="1:27" ht="18.75" customHeight="1" outlineLevel="6" x14ac:dyDescent="0.3">
      <c r="A352" s="1" t="s">
        <v>384</v>
      </c>
      <c r="B352" s="44"/>
      <c r="C352" s="18"/>
      <c r="D352" s="24"/>
      <c r="E352" s="29"/>
      <c r="F352" s="34"/>
      <c r="G352" s="39"/>
      <c r="H352" s="46" t="s">
        <v>403</v>
      </c>
      <c r="I352" s="46" t="s">
        <v>48</v>
      </c>
      <c r="J352" s="47" t="s">
        <v>293</v>
      </c>
      <c r="K352" s="48">
        <v>0.6</v>
      </c>
      <c r="L352" s="49">
        <f>VLOOKUP(H352,[4]Sheet2!K:P,6,0)</f>
        <v>2.9399999999999999E-3</v>
      </c>
      <c r="M352" s="50">
        <f>VLOOKUP(H352,[4]Sheet2!K:Q,7,0)</f>
        <v>17100</v>
      </c>
      <c r="N352" s="51"/>
      <c r="O352" s="51"/>
      <c r="P352" s="51"/>
      <c r="Q352" s="51"/>
      <c r="R352" s="51"/>
      <c r="S352" s="51"/>
      <c r="T352" s="51"/>
      <c r="U352" s="51"/>
      <c r="V352" s="52">
        <f>VLOOKUP(H352,[4]Sheet2!K:N,4,0)</f>
        <v>17100</v>
      </c>
      <c r="W352" s="52">
        <f t="shared" si="320"/>
        <v>0</v>
      </c>
      <c r="X352" s="52">
        <f>VLOOKUP(H352,[4]Sheet2!K:N,4,0)</f>
        <v>17100</v>
      </c>
      <c r="Y352" s="53">
        <f t="shared" si="321"/>
        <v>1</v>
      </c>
      <c r="Z352" s="53">
        <f t="shared" si="322"/>
        <v>0</v>
      </c>
      <c r="AA352" s="53">
        <f t="shared" si="323"/>
        <v>1</v>
      </c>
    </row>
    <row r="353" spans="1:27" ht="18.75" customHeight="1" outlineLevel="6" x14ac:dyDescent="0.3">
      <c r="B353" s="44"/>
      <c r="C353" s="18"/>
      <c r="D353" s="24"/>
      <c r="E353" s="29"/>
      <c r="F353" s="34"/>
      <c r="G353" s="39"/>
      <c r="H353" s="46" t="s">
        <v>404</v>
      </c>
      <c r="I353" s="46" t="s">
        <v>296</v>
      </c>
      <c r="J353" s="47" t="s">
        <v>293</v>
      </c>
      <c r="K353" s="48">
        <v>0.15</v>
      </c>
      <c r="L353" s="49">
        <f>VLOOKUP(H353,[4]Sheet2!K:P,6,0)</f>
        <v>7.3499999999999998E-4</v>
      </c>
      <c r="M353" s="50">
        <f>VLOOKUP(H353,[4]Sheet2!K:Q,7,0)</f>
        <v>17100</v>
      </c>
      <c r="N353" s="51"/>
      <c r="O353" s="51"/>
      <c r="P353" s="51"/>
      <c r="Q353" s="51"/>
      <c r="R353" s="51"/>
      <c r="S353" s="51"/>
      <c r="T353" s="51"/>
      <c r="U353" s="51"/>
      <c r="V353" s="52">
        <f>VLOOKUP(H353,[4]Sheet2!K:N,4,0)</f>
        <v>17100</v>
      </c>
      <c r="W353" s="52">
        <f t="shared" si="320"/>
        <v>0</v>
      </c>
      <c r="X353" s="52">
        <f>VLOOKUP(H353,[4]Sheet2!K:N,4,0)</f>
        <v>17100</v>
      </c>
      <c r="Y353" s="53">
        <f t="shared" si="321"/>
        <v>1</v>
      </c>
      <c r="Z353" s="53">
        <f t="shared" si="322"/>
        <v>0</v>
      </c>
      <c r="AA353" s="53">
        <f t="shared" si="323"/>
        <v>1</v>
      </c>
    </row>
    <row r="354" spans="1:27" ht="18.75" customHeight="1" outlineLevel="6" x14ac:dyDescent="0.3">
      <c r="B354" s="44"/>
      <c r="C354" s="18"/>
      <c r="D354" s="24"/>
      <c r="E354" s="29"/>
      <c r="F354" s="34"/>
      <c r="G354" s="39"/>
      <c r="H354" s="46" t="s">
        <v>405</v>
      </c>
      <c r="I354" s="46" t="s">
        <v>298</v>
      </c>
      <c r="J354" s="47" t="s">
        <v>293</v>
      </c>
      <c r="K354" s="48">
        <v>0.1</v>
      </c>
      <c r="L354" s="49">
        <f>VLOOKUP(H354,[4]Sheet2!K:P,6,0)</f>
        <v>4.8999999999999998E-4</v>
      </c>
      <c r="M354" s="50">
        <f>VLOOKUP(H354,[4]Sheet2!K:Q,7,0)</f>
        <v>17100</v>
      </c>
      <c r="N354" s="51"/>
      <c r="O354" s="51"/>
      <c r="P354" s="51"/>
      <c r="Q354" s="51"/>
      <c r="R354" s="51"/>
      <c r="S354" s="51"/>
      <c r="T354" s="51"/>
      <c r="U354" s="51"/>
      <c r="V354" s="52">
        <f>VLOOKUP(H354,[4]Sheet2!K:N,4,0)</f>
        <v>17100</v>
      </c>
      <c r="W354" s="52">
        <f t="shared" si="320"/>
        <v>0</v>
      </c>
      <c r="X354" s="52">
        <f>VLOOKUP(H354,[4]Sheet2!K:N,4,0)</f>
        <v>17100</v>
      </c>
      <c r="Y354" s="53">
        <f t="shared" si="321"/>
        <v>1</v>
      </c>
      <c r="Z354" s="53">
        <f t="shared" si="322"/>
        <v>0</v>
      </c>
      <c r="AA354" s="53">
        <f t="shared" si="323"/>
        <v>1</v>
      </c>
    </row>
    <row r="355" spans="1:27" ht="18.75" customHeight="1" outlineLevel="6" x14ac:dyDescent="0.3">
      <c r="B355" s="44"/>
      <c r="C355" s="18"/>
      <c r="D355" s="24"/>
      <c r="E355" s="29"/>
      <c r="F355" s="34"/>
      <c r="G355" s="39"/>
      <c r="H355" s="46" t="s">
        <v>406</v>
      </c>
      <c r="I355" s="46" t="s">
        <v>56</v>
      </c>
      <c r="J355" s="47" t="s">
        <v>293</v>
      </c>
      <c r="K355" s="48">
        <v>0.05</v>
      </c>
      <c r="L355" s="49">
        <f>VLOOKUP(H355,[4]Sheet2!K:P,6,0)</f>
        <v>2.4499999999999999E-4</v>
      </c>
      <c r="M355" s="50">
        <f>VLOOKUP(H355,[4]Sheet2!K:Q,7,0)</f>
        <v>17100</v>
      </c>
      <c r="N355" s="51"/>
      <c r="O355" s="51"/>
      <c r="P355" s="51"/>
      <c r="Q355" s="51"/>
      <c r="R355" s="51"/>
      <c r="S355" s="51"/>
      <c r="T355" s="51"/>
      <c r="U355" s="51"/>
      <c r="V355" s="52">
        <f>VLOOKUP(H355,[4]Sheet2!K:N,4,0)</f>
        <v>17100</v>
      </c>
      <c r="W355" s="52">
        <f t="shared" si="320"/>
        <v>0</v>
      </c>
      <c r="X355" s="52">
        <f>VLOOKUP(H355,[4]Sheet2!K:N,4,0)</f>
        <v>17100</v>
      </c>
      <c r="Y355" s="53">
        <f t="shared" si="321"/>
        <v>1</v>
      </c>
      <c r="Z355" s="53">
        <f t="shared" si="322"/>
        <v>0</v>
      </c>
      <c r="AA355" s="53">
        <f t="shared" si="323"/>
        <v>1</v>
      </c>
    </row>
    <row r="356" spans="1:27" ht="18.75" customHeight="1" outlineLevel="5" x14ac:dyDescent="0.3">
      <c r="B356" s="12"/>
      <c r="C356" s="18"/>
      <c r="D356" s="24"/>
      <c r="E356" s="29"/>
      <c r="F356" s="34"/>
      <c r="G356" s="39" t="s">
        <v>407</v>
      </c>
      <c r="H356" s="58"/>
      <c r="I356" s="58"/>
      <c r="J356" s="58"/>
      <c r="K356" s="58"/>
      <c r="L356" s="41">
        <f>SUM(L357:L361)</f>
        <v>4.8999999999999998E-3</v>
      </c>
      <c r="M356" s="42">
        <f>M357</f>
        <v>17100</v>
      </c>
      <c r="N356" s="40"/>
      <c r="O356" s="40"/>
      <c r="P356" s="40"/>
      <c r="Q356" s="40"/>
      <c r="R356" s="40"/>
      <c r="S356" s="40"/>
      <c r="T356" s="40"/>
      <c r="U356" s="40"/>
      <c r="V356" s="62">
        <f t="shared" ref="V356:X356" si="324">SUMPRODUCT(V357:V361,$K357:$K361)</f>
        <v>17100</v>
      </c>
      <c r="W356" s="62">
        <f t="shared" si="324"/>
        <v>0</v>
      </c>
      <c r="X356" s="62">
        <f t="shared" si="324"/>
        <v>17100</v>
      </c>
      <c r="Y356" s="43">
        <f>SUMPRODUCT(Y357:Y361,$K357:$K361)</f>
        <v>1</v>
      </c>
      <c r="Z356" s="43">
        <f t="shared" ref="Z356:AA356" si="325">SUMPRODUCT(Z357:Z361,$K357:$K361)</f>
        <v>0</v>
      </c>
      <c r="AA356" s="43">
        <f t="shared" si="325"/>
        <v>1</v>
      </c>
    </row>
    <row r="357" spans="1:27" ht="18.75" customHeight="1" outlineLevel="6" x14ac:dyDescent="0.3">
      <c r="B357" s="44"/>
      <c r="C357" s="18"/>
      <c r="D357" s="24"/>
      <c r="E357" s="29"/>
      <c r="F357" s="34"/>
      <c r="G357" s="39"/>
      <c r="H357" s="46" t="s">
        <v>408</v>
      </c>
      <c r="I357" s="46" t="s">
        <v>45</v>
      </c>
      <c r="J357" s="47" t="s">
        <v>293</v>
      </c>
      <c r="K357" s="48">
        <v>0.1</v>
      </c>
      <c r="L357" s="49">
        <f>VLOOKUP(H357,[4]Sheet2!K:P,6,0)</f>
        <v>4.8999999999999998E-4</v>
      </c>
      <c r="M357" s="50">
        <f>VLOOKUP(H357,[4]Sheet2!K:Q,7,0)</f>
        <v>17100</v>
      </c>
      <c r="N357" s="51"/>
      <c r="O357" s="51"/>
      <c r="P357" s="51"/>
      <c r="Q357" s="51"/>
      <c r="R357" s="51"/>
      <c r="S357" s="51"/>
      <c r="T357" s="51"/>
      <c r="U357" s="51"/>
      <c r="V357" s="52">
        <f>VLOOKUP(H357,[4]Sheet2!K:N,4,0)</f>
        <v>17100</v>
      </c>
      <c r="W357" s="52">
        <f t="shared" ref="W357:W361" si="326">X357-V357</f>
        <v>0</v>
      </c>
      <c r="X357" s="52">
        <f>VLOOKUP(H357,[4]Sheet2!K:N,4,0)</f>
        <v>17100</v>
      </c>
      <c r="Y357" s="53">
        <f t="shared" ref="Y357:Y361" si="327">IFERROR(V357/M357,1)</f>
        <v>1</v>
      </c>
      <c r="Z357" s="53">
        <f t="shared" ref="Z357:Z361" si="328">IFERROR(W357/M357,1)</f>
        <v>0</v>
      </c>
      <c r="AA357" s="53">
        <f t="shared" ref="AA357:AA361" si="329">IFERROR(X357/M357,1)</f>
        <v>1</v>
      </c>
    </row>
    <row r="358" spans="1:27" ht="18.75" customHeight="1" outlineLevel="6" x14ac:dyDescent="0.3">
      <c r="A358" s="1" t="s">
        <v>384</v>
      </c>
      <c r="B358" s="44"/>
      <c r="C358" s="18"/>
      <c r="D358" s="24"/>
      <c r="E358" s="29"/>
      <c r="F358" s="34"/>
      <c r="G358" s="39"/>
      <c r="H358" s="46" t="s">
        <v>409</v>
      </c>
      <c r="I358" s="46" t="s">
        <v>48</v>
      </c>
      <c r="J358" s="47" t="s">
        <v>293</v>
      </c>
      <c r="K358" s="48">
        <v>0.6</v>
      </c>
      <c r="L358" s="49">
        <f>VLOOKUP(H358,[4]Sheet2!K:P,6,0)</f>
        <v>2.9399999999999999E-3</v>
      </c>
      <c r="M358" s="50">
        <f>VLOOKUP(H358,[4]Sheet2!K:Q,7,0)</f>
        <v>17100</v>
      </c>
      <c r="N358" s="51"/>
      <c r="O358" s="51"/>
      <c r="P358" s="51"/>
      <c r="Q358" s="51"/>
      <c r="R358" s="51"/>
      <c r="S358" s="51"/>
      <c r="T358" s="51"/>
      <c r="U358" s="51"/>
      <c r="V358" s="52">
        <f>VLOOKUP(H358,[4]Sheet2!K:N,4,0)</f>
        <v>17100</v>
      </c>
      <c r="W358" s="52">
        <f t="shared" si="326"/>
        <v>0</v>
      </c>
      <c r="X358" s="52">
        <f>VLOOKUP(H358,[4]Sheet2!K:N,4,0)</f>
        <v>17100</v>
      </c>
      <c r="Y358" s="53">
        <f t="shared" si="327"/>
        <v>1</v>
      </c>
      <c r="Z358" s="53">
        <f t="shared" si="328"/>
        <v>0</v>
      </c>
      <c r="AA358" s="53">
        <f t="shared" si="329"/>
        <v>1</v>
      </c>
    </row>
    <row r="359" spans="1:27" ht="18.75" customHeight="1" outlineLevel="6" x14ac:dyDescent="0.3">
      <c r="B359" s="44"/>
      <c r="C359" s="18"/>
      <c r="D359" s="24"/>
      <c r="E359" s="29"/>
      <c r="F359" s="34"/>
      <c r="G359" s="39"/>
      <c r="H359" s="46" t="s">
        <v>410</v>
      </c>
      <c r="I359" s="46" t="s">
        <v>296</v>
      </c>
      <c r="J359" s="47" t="s">
        <v>293</v>
      </c>
      <c r="K359" s="48">
        <v>0.15</v>
      </c>
      <c r="L359" s="49">
        <f>VLOOKUP(H359,[4]Sheet2!K:P,6,0)</f>
        <v>7.3499999999999998E-4</v>
      </c>
      <c r="M359" s="50">
        <f>VLOOKUP(H359,[4]Sheet2!K:Q,7,0)</f>
        <v>17100</v>
      </c>
      <c r="N359" s="51"/>
      <c r="O359" s="51"/>
      <c r="P359" s="51"/>
      <c r="Q359" s="51"/>
      <c r="R359" s="51"/>
      <c r="S359" s="51"/>
      <c r="T359" s="51"/>
      <c r="U359" s="51"/>
      <c r="V359" s="52">
        <f>VLOOKUP(H359,[4]Sheet2!K:N,4,0)</f>
        <v>17100</v>
      </c>
      <c r="W359" s="52">
        <f t="shared" si="326"/>
        <v>0</v>
      </c>
      <c r="X359" s="52">
        <f>VLOOKUP(H359,[4]Sheet2!K:N,4,0)</f>
        <v>17100</v>
      </c>
      <c r="Y359" s="53">
        <f t="shared" si="327"/>
        <v>1</v>
      </c>
      <c r="Z359" s="53">
        <f t="shared" si="328"/>
        <v>0</v>
      </c>
      <c r="AA359" s="53">
        <f t="shared" si="329"/>
        <v>1</v>
      </c>
    </row>
    <row r="360" spans="1:27" ht="18.75" customHeight="1" outlineLevel="6" x14ac:dyDescent="0.3">
      <c r="B360" s="44"/>
      <c r="C360" s="18"/>
      <c r="D360" s="24"/>
      <c r="E360" s="29"/>
      <c r="F360" s="34"/>
      <c r="G360" s="39"/>
      <c r="H360" s="46" t="s">
        <v>411</v>
      </c>
      <c r="I360" s="46" t="s">
        <v>298</v>
      </c>
      <c r="J360" s="47" t="s">
        <v>293</v>
      </c>
      <c r="K360" s="48">
        <v>0.1</v>
      </c>
      <c r="L360" s="49">
        <f>VLOOKUP(H360,[4]Sheet2!K:P,6,0)</f>
        <v>4.8999999999999998E-4</v>
      </c>
      <c r="M360" s="50">
        <f>VLOOKUP(H360,[4]Sheet2!K:Q,7,0)</f>
        <v>17100</v>
      </c>
      <c r="N360" s="51"/>
      <c r="O360" s="51"/>
      <c r="P360" s="51"/>
      <c r="Q360" s="51"/>
      <c r="R360" s="51"/>
      <c r="S360" s="51"/>
      <c r="T360" s="51"/>
      <c r="U360" s="51"/>
      <c r="V360" s="52">
        <f>VLOOKUP(H360,[4]Sheet2!K:N,4,0)</f>
        <v>17100</v>
      </c>
      <c r="W360" s="52">
        <f t="shared" si="326"/>
        <v>0</v>
      </c>
      <c r="X360" s="52">
        <f>VLOOKUP(H360,[4]Sheet2!K:N,4,0)</f>
        <v>17100</v>
      </c>
      <c r="Y360" s="53">
        <f t="shared" si="327"/>
        <v>1</v>
      </c>
      <c r="Z360" s="53">
        <f t="shared" si="328"/>
        <v>0</v>
      </c>
      <c r="AA360" s="53">
        <f t="shared" si="329"/>
        <v>1</v>
      </c>
    </row>
    <row r="361" spans="1:27" ht="18.75" customHeight="1" outlineLevel="6" x14ac:dyDescent="0.3">
      <c r="B361" s="44"/>
      <c r="C361" s="18"/>
      <c r="D361" s="24"/>
      <c r="E361" s="29"/>
      <c r="F361" s="34"/>
      <c r="G361" s="39"/>
      <c r="H361" s="46" t="s">
        <v>412</v>
      </c>
      <c r="I361" s="46" t="s">
        <v>56</v>
      </c>
      <c r="J361" s="47" t="s">
        <v>293</v>
      </c>
      <c r="K361" s="48">
        <v>0.05</v>
      </c>
      <c r="L361" s="49">
        <f>VLOOKUP(H361,[4]Sheet2!K:P,6,0)</f>
        <v>2.4499999999999999E-4</v>
      </c>
      <c r="M361" s="50">
        <f>VLOOKUP(H361,[4]Sheet2!K:Q,7,0)</f>
        <v>17100</v>
      </c>
      <c r="N361" s="51"/>
      <c r="O361" s="51"/>
      <c r="P361" s="51"/>
      <c r="Q361" s="51"/>
      <c r="R361" s="51"/>
      <c r="S361" s="51"/>
      <c r="T361" s="51"/>
      <c r="U361" s="51"/>
      <c r="V361" s="52">
        <f>VLOOKUP(H361,[4]Sheet2!K:N,4,0)</f>
        <v>17100</v>
      </c>
      <c r="W361" s="52">
        <f t="shared" si="326"/>
        <v>0</v>
      </c>
      <c r="X361" s="52">
        <f>VLOOKUP(H361,[4]Sheet2!K:N,4,0)</f>
        <v>17100</v>
      </c>
      <c r="Y361" s="53">
        <f t="shared" si="327"/>
        <v>1</v>
      </c>
      <c r="Z361" s="53">
        <f t="shared" si="328"/>
        <v>0</v>
      </c>
      <c r="AA361" s="53">
        <f t="shared" si="329"/>
        <v>1</v>
      </c>
    </row>
    <row r="362" spans="1:27" ht="18.75" customHeight="1" outlineLevel="5" x14ac:dyDescent="0.3">
      <c r="B362" s="12"/>
      <c r="C362" s="18"/>
      <c r="D362" s="24"/>
      <c r="E362" s="29"/>
      <c r="F362" s="34"/>
      <c r="G362" s="39" t="s">
        <v>413</v>
      </c>
      <c r="H362" s="58"/>
      <c r="I362" s="58"/>
      <c r="J362" s="58"/>
      <c r="K362" s="58"/>
      <c r="L362" s="41">
        <f>SUM(L363:L367)</f>
        <v>5.9999999999999993E-3</v>
      </c>
      <c r="M362" s="42">
        <f>M363</f>
        <v>35200</v>
      </c>
      <c r="N362" s="40"/>
      <c r="O362" s="40"/>
      <c r="P362" s="40"/>
      <c r="Q362" s="40"/>
      <c r="R362" s="40"/>
      <c r="S362" s="40"/>
      <c r="T362" s="40"/>
      <c r="U362" s="40"/>
      <c r="V362" s="62">
        <f t="shared" ref="V362:X362" si="330">SUMPRODUCT(V363:V367,$K363:$K367)</f>
        <v>35200</v>
      </c>
      <c r="W362" s="62">
        <f t="shared" si="330"/>
        <v>0</v>
      </c>
      <c r="X362" s="62">
        <f t="shared" si="330"/>
        <v>35200</v>
      </c>
      <c r="Y362" s="43">
        <f>SUMPRODUCT(Y363:Y367,$K363:$K367)</f>
        <v>1</v>
      </c>
      <c r="Z362" s="43">
        <f t="shared" ref="Z362:AA362" si="331">SUMPRODUCT(Z363:Z367,$K363:$K367)</f>
        <v>0</v>
      </c>
      <c r="AA362" s="43">
        <f t="shared" si="331"/>
        <v>1</v>
      </c>
    </row>
    <row r="363" spans="1:27" ht="18.75" customHeight="1" outlineLevel="6" x14ac:dyDescent="0.3">
      <c r="B363" s="44"/>
      <c r="C363" s="18"/>
      <c r="D363" s="24"/>
      <c r="E363" s="29"/>
      <c r="F363" s="34"/>
      <c r="G363" s="39"/>
      <c r="H363" s="46" t="s">
        <v>414</v>
      </c>
      <c r="I363" s="46" t="s">
        <v>45</v>
      </c>
      <c r="J363" s="47" t="s">
        <v>293</v>
      </c>
      <c r="K363" s="48">
        <v>0.1</v>
      </c>
      <c r="L363" s="49">
        <f>VLOOKUP(H363,[4]Sheet2!K:P,6,0)</f>
        <v>6.0000000000000006E-4</v>
      </c>
      <c r="M363" s="50">
        <f>VLOOKUP(H363,[4]Sheet2!K:Q,7,0)</f>
        <v>35200</v>
      </c>
      <c r="N363" s="51"/>
      <c r="O363" s="51"/>
      <c r="P363" s="51"/>
      <c r="Q363" s="51"/>
      <c r="R363" s="51"/>
      <c r="S363" s="51"/>
      <c r="T363" s="51"/>
      <c r="U363" s="51"/>
      <c r="V363" s="52">
        <f>VLOOKUP(H363,[4]Sheet2!K:N,4,0)</f>
        <v>35200</v>
      </c>
      <c r="W363" s="52">
        <f t="shared" ref="W363:W367" si="332">X363-V363</f>
        <v>0</v>
      </c>
      <c r="X363" s="52">
        <f>VLOOKUP(H363,[4]Sheet2!K:N,4,0)</f>
        <v>35200</v>
      </c>
      <c r="Y363" s="53">
        <f t="shared" ref="Y363:Y367" si="333">IFERROR(V363/M363,1)</f>
        <v>1</v>
      </c>
      <c r="Z363" s="53">
        <f t="shared" ref="Z363:Z367" si="334">IFERROR(W363/M363,1)</f>
        <v>0</v>
      </c>
      <c r="AA363" s="53">
        <f t="shared" ref="AA363:AA367" si="335">IFERROR(X363/M363,1)</f>
        <v>1</v>
      </c>
    </row>
    <row r="364" spans="1:27" ht="18.75" customHeight="1" outlineLevel="6" x14ac:dyDescent="0.3">
      <c r="A364" s="1" t="s">
        <v>384</v>
      </c>
      <c r="B364" s="44"/>
      <c r="C364" s="18"/>
      <c r="D364" s="24"/>
      <c r="E364" s="29"/>
      <c r="F364" s="34"/>
      <c r="G364" s="39"/>
      <c r="H364" s="46" t="s">
        <v>415</v>
      </c>
      <c r="I364" s="46" t="s">
        <v>48</v>
      </c>
      <c r="J364" s="47" t="s">
        <v>293</v>
      </c>
      <c r="K364" s="48">
        <v>0.6</v>
      </c>
      <c r="L364" s="49">
        <f>VLOOKUP(H364,[4]Sheet2!K:P,6,0)</f>
        <v>3.5999999999999999E-3</v>
      </c>
      <c r="M364" s="50">
        <f>VLOOKUP(H364,[4]Sheet2!K:Q,7,0)</f>
        <v>35200</v>
      </c>
      <c r="N364" s="51"/>
      <c r="O364" s="51"/>
      <c r="P364" s="51"/>
      <c r="Q364" s="51"/>
      <c r="R364" s="51"/>
      <c r="S364" s="51"/>
      <c r="T364" s="51"/>
      <c r="U364" s="51"/>
      <c r="V364" s="52">
        <f>VLOOKUP(H364,[4]Sheet2!K:N,4,0)</f>
        <v>35200</v>
      </c>
      <c r="W364" s="52">
        <f t="shared" si="332"/>
        <v>0</v>
      </c>
      <c r="X364" s="52">
        <f>VLOOKUP(H364,[4]Sheet2!K:N,4,0)</f>
        <v>35200</v>
      </c>
      <c r="Y364" s="53">
        <f t="shared" si="333"/>
        <v>1</v>
      </c>
      <c r="Z364" s="53">
        <f t="shared" si="334"/>
        <v>0</v>
      </c>
      <c r="AA364" s="53">
        <f t="shared" si="335"/>
        <v>1</v>
      </c>
    </row>
    <row r="365" spans="1:27" ht="18.75" customHeight="1" outlineLevel="6" x14ac:dyDescent="0.3">
      <c r="B365" s="44"/>
      <c r="C365" s="18"/>
      <c r="D365" s="24"/>
      <c r="E365" s="29"/>
      <c r="F365" s="34"/>
      <c r="G365" s="39"/>
      <c r="H365" s="46" t="s">
        <v>416</v>
      </c>
      <c r="I365" s="46" t="s">
        <v>296</v>
      </c>
      <c r="J365" s="47" t="s">
        <v>293</v>
      </c>
      <c r="K365" s="48">
        <v>0.15</v>
      </c>
      <c r="L365" s="49">
        <f>VLOOKUP(H365,[4]Sheet2!K:P,6,0)</f>
        <v>8.9999999999999998E-4</v>
      </c>
      <c r="M365" s="50">
        <f>VLOOKUP(H365,[4]Sheet2!K:Q,7,0)</f>
        <v>35200</v>
      </c>
      <c r="N365" s="51"/>
      <c r="O365" s="51"/>
      <c r="P365" s="51"/>
      <c r="Q365" s="51"/>
      <c r="R365" s="51"/>
      <c r="S365" s="51"/>
      <c r="T365" s="51"/>
      <c r="U365" s="51"/>
      <c r="V365" s="52">
        <f>VLOOKUP(H365,[4]Sheet2!K:N,4,0)</f>
        <v>35200</v>
      </c>
      <c r="W365" s="52">
        <f t="shared" si="332"/>
        <v>0</v>
      </c>
      <c r="X365" s="52">
        <f>VLOOKUP(H365,[4]Sheet2!K:N,4,0)</f>
        <v>35200</v>
      </c>
      <c r="Y365" s="53">
        <f t="shared" si="333"/>
        <v>1</v>
      </c>
      <c r="Z365" s="53">
        <f t="shared" si="334"/>
        <v>0</v>
      </c>
      <c r="AA365" s="53">
        <f t="shared" si="335"/>
        <v>1</v>
      </c>
    </row>
    <row r="366" spans="1:27" ht="18.75" customHeight="1" outlineLevel="6" x14ac:dyDescent="0.3">
      <c r="B366" s="44"/>
      <c r="C366" s="18"/>
      <c r="D366" s="24"/>
      <c r="E366" s="29"/>
      <c r="F366" s="34"/>
      <c r="G366" s="39"/>
      <c r="H366" s="46" t="s">
        <v>417</v>
      </c>
      <c r="I366" s="46" t="s">
        <v>298</v>
      </c>
      <c r="J366" s="47" t="s">
        <v>293</v>
      </c>
      <c r="K366" s="48">
        <v>0.1</v>
      </c>
      <c r="L366" s="49">
        <f>VLOOKUP(H366,[4]Sheet2!K:P,6,0)</f>
        <v>6.0000000000000006E-4</v>
      </c>
      <c r="M366" s="50">
        <f>VLOOKUP(H366,[4]Sheet2!K:Q,7,0)</f>
        <v>35200</v>
      </c>
      <c r="N366" s="51"/>
      <c r="O366" s="51"/>
      <c r="P366" s="51"/>
      <c r="Q366" s="51"/>
      <c r="R366" s="51"/>
      <c r="S366" s="51"/>
      <c r="T366" s="51"/>
      <c r="U366" s="51"/>
      <c r="V366" s="52">
        <f>VLOOKUP(H366,[4]Sheet2!K:N,4,0)</f>
        <v>35200</v>
      </c>
      <c r="W366" s="52">
        <f t="shared" si="332"/>
        <v>0</v>
      </c>
      <c r="X366" s="52">
        <f>VLOOKUP(H366,[4]Sheet2!K:N,4,0)</f>
        <v>35200</v>
      </c>
      <c r="Y366" s="53">
        <f t="shared" si="333"/>
        <v>1</v>
      </c>
      <c r="Z366" s="53">
        <f t="shared" si="334"/>
        <v>0</v>
      </c>
      <c r="AA366" s="53">
        <f t="shared" si="335"/>
        <v>1</v>
      </c>
    </row>
    <row r="367" spans="1:27" ht="18.75" customHeight="1" outlineLevel="6" x14ac:dyDescent="0.3">
      <c r="B367" s="44"/>
      <c r="C367" s="18"/>
      <c r="D367" s="24"/>
      <c r="E367" s="29"/>
      <c r="F367" s="34"/>
      <c r="G367" s="39"/>
      <c r="H367" s="46" t="s">
        <v>418</v>
      </c>
      <c r="I367" s="46" t="s">
        <v>56</v>
      </c>
      <c r="J367" s="47" t="s">
        <v>293</v>
      </c>
      <c r="K367" s="48">
        <v>0.05</v>
      </c>
      <c r="L367" s="49">
        <f>VLOOKUP(H367,[4]Sheet2!K:P,6,0)</f>
        <v>3.0000000000000003E-4</v>
      </c>
      <c r="M367" s="50">
        <f>VLOOKUP(H367,[4]Sheet2!K:Q,7,0)</f>
        <v>35200</v>
      </c>
      <c r="N367" s="51"/>
      <c r="O367" s="51"/>
      <c r="P367" s="51"/>
      <c r="Q367" s="51"/>
      <c r="R367" s="51"/>
      <c r="S367" s="51"/>
      <c r="T367" s="51"/>
      <c r="U367" s="51"/>
      <c r="V367" s="52">
        <f>VLOOKUP(H367,[4]Sheet2!K:N,4,0)</f>
        <v>35200</v>
      </c>
      <c r="W367" s="52">
        <f t="shared" si="332"/>
        <v>0</v>
      </c>
      <c r="X367" s="52">
        <f>VLOOKUP(H367,[4]Sheet2!K:N,4,0)</f>
        <v>35200</v>
      </c>
      <c r="Y367" s="53">
        <f t="shared" si="333"/>
        <v>1</v>
      </c>
      <c r="Z367" s="53">
        <f t="shared" si="334"/>
        <v>0</v>
      </c>
      <c r="AA367" s="53">
        <f t="shared" si="335"/>
        <v>1</v>
      </c>
    </row>
    <row r="368" spans="1:27" ht="18.75" customHeight="1" outlineLevel="5" x14ac:dyDescent="0.3">
      <c r="B368" s="12"/>
      <c r="C368" s="18"/>
      <c r="D368" s="24"/>
      <c r="E368" s="29"/>
      <c r="F368" s="34"/>
      <c r="G368" s="39" t="s">
        <v>419</v>
      </c>
      <c r="H368" s="58"/>
      <c r="I368" s="58"/>
      <c r="J368" s="58"/>
      <c r="K368" s="58"/>
      <c r="L368" s="41">
        <f>SUM(L369:L373)</f>
        <v>8.0000000000000002E-3</v>
      </c>
      <c r="M368" s="42">
        <f>M369</f>
        <v>50030</v>
      </c>
      <c r="N368" s="40"/>
      <c r="O368" s="40"/>
      <c r="P368" s="40"/>
      <c r="Q368" s="40"/>
      <c r="R368" s="40"/>
      <c r="S368" s="40"/>
      <c r="T368" s="40"/>
      <c r="U368" s="40"/>
      <c r="V368" s="62">
        <f t="shared" ref="V368:X368" si="336">SUMPRODUCT(V369:V373,$K369:$K373)</f>
        <v>50030</v>
      </c>
      <c r="W368" s="62">
        <f t="shared" si="336"/>
        <v>0</v>
      </c>
      <c r="X368" s="62">
        <f t="shared" si="336"/>
        <v>50030</v>
      </c>
      <c r="Y368" s="43">
        <f>SUMPRODUCT(Y369:Y373,$K369:$K373)</f>
        <v>1</v>
      </c>
      <c r="Z368" s="43">
        <f t="shared" ref="Z368:AA368" si="337">SUMPRODUCT(Z369:Z373,$K369:$K373)</f>
        <v>0</v>
      </c>
      <c r="AA368" s="43">
        <f t="shared" si="337"/>
        <v>1</v>
      </c>
    </row>
    <row r="369" spans="1:27" ht="18.75" customHeight="1" outlineLevel="6" x14ac:dyDescent="0.3">
      <c r="B369" s="44"/>
      <c r="C369" s="18"/>
      <c r="D369" s="24"/>
      <c r="E369" s="29"/>
      <c r="F369" s="34"/>
      <c r="G369" s="39"/>
      <c r="H369" s="46" t="s">
        <v>420</v>
      </c>
      <c r="I369" s="46" t="s">
        <v>45</v>
      </c>
      <c r="J369" s="47" t="s">
        <v>293</v>
      </c>
      <c r="K369" s="48">
        <v>0.1</v>
      </c>
      <c r="L369" s="49">
        <f>VLOOKUP(H369,[4]Sheet2!K:P,6,0)</f>
        <v>8.0000000000000004E-4</v>
      </c>
      <c r="M369" s="50">
        <f>VLOOKUP(H369,[4]Sheet2!K:Q,7,0)</f>
        <v>50030</v>
      </c>
      <c r="N369" s="51"/>
      <c r="O369" s="51"/>
      <c r="P369" s="51"/>
      <c r="Q369" s="51"/>
      <c r="R369" s="51"/>
      <c r="S369" s="51"/>
      <c r="T369" s="51"/>
      <c r="U369" s="51"/>
      <c r="V369" s="52">
        <f>VLOOKUP(H369,[4]Sheet2!K:N,4,0)</f>
        <v>50030</v>
      </c>
      <c r="W369" s="52">
        <f t="shared" ref="W369:W373" si="338">X369-V369</f>
        <v>0</v>
      </c>
      <c r="X369" s="52">
        <f>VLOOKUP(H369,[4]Sheet2!K:N,4,0)</f>
        <v>50030</v>
      </c>
      <c r="Y369" s="53">
        <f t="shared" ref="Y369:Y373" si="339">IFERROR(V369/M369,1)</f>
        <v>1</v>
      </c>
      <c r="Z369" s="53">
        <f t="shared" ref="Z369:Z373" si="340">IFERROR(W369/M369,1)</f>
        <v>0</v>
      </c>
      <c r="AA369" s="53">
        <f t="shared" ref="AA369:AA373" si="341">IFERROR(X369/M369,1)</f>
        <v>1</v>
      </c>
    </row>
    <row r="370" spans="1:27" ht="18.75" customHeight="1" outlineLevel="6" x14ac:dyDescent="0.3">
      <c r="A370" s="1" t="s">
        <v>384</v>
      </c>
      <c r="B370" s="44"/>
      <c r="C370" s="18"/>
      <c r="D370" s="24"/>
      <c r="E370" s="29"/>
      <c r="F370" s="34"/>
      <c r="G370" s="39"/>
      <c r="H370" s="46" t="s">
        <v>421</v>
      </c>
      <c r="I370" s="46" t="s">
        <v>48</v>
      </c>
      <c r="J370" s="47" t="s">
        <v>293</v>
      </c>
      <c r="K370" s="48">
        <v>0.6</v>
      </c>
      <c r="L370" s="49">
        <f>VLOOKUP(H370,[4]Sheet2!K:P,6,0)</f>
        <v>4.8000000000000004E-3</v>
      </c>
      <c r="M370" s="50">
        <f>VLOOKUP(H370,[4]Sheet2!K:Q,7,0)</f>
        <v>50030</v>
      </c>
      <c r="N370" s="51"/>
      <c r="O370" s="51"/>
      <c r="P370" s="51"/>
      <c r="Q370" s="51"/>
      <c r="R370" s="51"/>
      <c r="S370" s="51"/>
      <c r="T370" s="51"/>
      <c r="U370" s="51"/>
      <c r="V370" s="52">
        <f>VLOOKUP(H370,[4]Sheet2!K:N,4,0)</f>
        <v>50030</v>
      </c>
      <c r="W370" s="52">
        <f t="shared" si="338"/>
        <v>0</v>
      </c>
      <c r="X370" s="52">
        <f>VLOOKUP(H370,[4]Sheet2!K:N,4,0)</f>
        <v>50030</v>
      </c>
      <c r="Y370" s="53">
        <f t="shared" si="339"/>
        <v>1</v>
      </c>
      <c r="Z370" s="53">
        <f t="shared" si="340"/>
        <v>0</v>
      </c>
      <c r="AA370" s="53">
        <f t="shared" si="341"/>
        <v>1</v>
      </c>
    </row>
    <row r="371" spans="1:27" ht="18.75" customHeight="1" outlineLevel="6" x14ac:dyDescent="0.3">
      <c r="B371" s="44"/>
      <c r="C371" s="18"/>
      <c r="D371" s="24"/>
      <c r="E371" s="29"/>
      <c r="F371" s="34"/>
      <c r="G371" s="39"/>
      <c r="H371" s="46" t="s">
        <v>422</v>
      </c>
      <c r="I371" s="46" t="s">
        <v>296</v>
      </c>
      <c r="J371" s="47" t="s">
        <v>293</v>
      </c>
      <c r="K371" s="48">
        <v>0.15</v>
      </c>
      <c r="L371" s="49">
        <f>VLOOKUP(H371,[4]Sheet2!K:P,6,0)</f>
        <v>1.2000000000000001E-3</v>
      </c>
      <c r="M371" s="50">
        <f>VLOOKUP(H371,[4]Sheet2!K:Q,7,0)</f>
        <v>50030</v>
      </c>
      <c r="N371" s="51"/>
      <c r="O371" s="51"/>
      <c r="P371" s="51"/>
      <c r="Q371" s="51"/>
      <c r="R371" s="51"/>
      <c r="S371" s="51"/>
      <c r="T371" s="51"/>
      <c r="U371" s="51"/>
      <c r="V371" s="52">
        <f>VLOOKUP(H371,[4]Sheet2!K:N,4,0)</f>
        <v>50030</v>
      </c>
      <c r="W371" s="52">
        <f t="shared" si="338"/>
        <v>0</v>
      </c>
      <c r="X371" s="52">
        <f>VLOOKUP(H371,[4]Sheet2!K:N,4,0)</f>
        <v>50030</v>
      </c>
      <c r="Y371" s="53">
        <f t="shared" si="339"/>
        <v>1</v>
      </c>
      <c r="Z371" s="53">
        <f t="shared" si="340"/>
        <v>0</v>
      </c>
      <c r="AA371" s="53">
        <f t="shared" si="341"/>
        <v>1</v>
      </c>
    </row>
    <row r="372" spans="1:27" ht="18.75" customHeight="1" outlineLevel="6" x14ac:dyDescent="0.3">
      <c r="B372" s="44"/>
      <c r="C372" s="18"/>
      <c r="D372" s="24"/>
      <c r="E372" s="29"/>
      <c r="F372" s="34"/>
      <c r="G372" s="39"/>
      <c r="H372" s="46" t="s">
        <v>423</v>
      </c>
      <c r="I372" s="46" t="s">
        <v>298</v>
      </c>
      <c r="J372" s="47" t="s">
        <v>293</v>
      </c>
      <c r="K372" s="48">
        <v>0.1</v>
      </c>
      <c r="L372" s="49">
        <f>VLOOKUP(H372,[4]Sheet2!K:P,6,0)</f>
        <v>8.0000000000000004E-4</v>
      </c>
      <c r="M372" s="50">
        <f>VLOOKUP(H372,[4]Sheet2!K:Q,7,0)</f>
        <v>50030</v>
      </c>
      <c r="N372" s="51"/>
      <c r="O372" s="51"/>
      <c r="P372" s="51"/>
      <c r="Q372" s="51"/>
      <c r="R372" s="51"/>
      <c r="S372" s="51"/>
      <c r="T372" s="51"/>
      <c r="U372" s="51"/>
      <c r="V372" s="52">
        <f>VLOOKUP(H372,[4]Sheet2!K:N,4,0)</f>
        <v>50030</v>
      </c>
      <c r="W372" s="52">
        <f t="shared" si="338"/>
        <v>0</v>
      </c>
      <c r="X372" s="52">
        <f>VLOOKUP(H372,[4]Sheet2!K:N,4,0)</f>
        <v>50030</v>
      </c>
      <c r="Y372" s="53">
        <f t="shared" si="339"/>
        <v>1</v>
      </c>
      <c r="Z372" s="53">
        <f t="shared" si="340"/>
        <v>0</v>
      </c>
      <c r="AA372" s="53">
        <f t="shared" si="341"/>
        <v>1</v>
      </c>
    </row>
    <row r="373" spans="1:27" ht="18.75" customHeight="1" outlineLevel="6" x14ac:dyDescent="0.3">
      <c r="B373" s="44"/>
      <c r="C373" s="18"/>
      <c r="D373" s="24"/>
      <c r="E373" s="29"/>
      <c r="F373" s="34"/>
      <c r="G373" s="39"/>
      <c r="H373" s="46" t="s">
        <v>424</v>
      </c>
      <c r="I373" s="46" t="s">
        <v>56</v>
      </c>
      <c r="J373" s="47" t="s">
        <v>293</v>
      </c>
      <c r="K373" s="48">
        <v>0.05</v>
      </c>
      <c r="L373" s="49">
        <f>VLOOKUP(H373,[4]Sheet2!K:P,6,0)</f>
        <v>4.0000000000000002E-4</v>
      </c>
      <c r="M373" s="50">
        <f>VLOOKUP(H373,[4]Sheet2!K:Q,7,0)</f>
        <v>50030</v>
      </c>
      <c r="N373" s="51"/>
      <c r="O373" s="51"/>
      <c r="P373" s="51"/>
      <c r="Q373" s="51"/>
      <c r="R373" s="51"/>
      <c r="S373" s="51"/>
      <c r="T373" s="51"/>
      <c r="U373" s="51"/>
      <c r="V373" s="52">
        <f>VLOOKUP(H373,[4]Sheet2!K:N,4,0)</f>
        <v>50030</v>
      </c>
      <c r="W373" s="52">
        <f t="shared" si="338"/>
        <v>0</v>
      </c>
      <c r="X373" s="52">
        <f>VLOOKUP(H373,[4]Sheet2!K:N,4,0)</f>
        <v>50030</v>
      </c>
      <c r="Y373" s="53">
        <f t="shared" si="339"/>
        <v>1</v>
      </c>
      <c r="Z373" s="53">
        <f t="shared" si="340"/>
        <v>0</v>
      </c>
      <c r="AA373" s="53">
        <f t="shared" si="341"/>
        <v>1</v>
      </c>
    </row>
    <row r="374" spans="1:27" ht="18.75" customHeight="1" outlineLevel="5" x14ac:dyDescent="0.3">
      <c r="B374" s="12"/>
      <c r="C374" s="18"/>
      <c r="D374" s="24"/>
      <c r="E374" s="29"/>
      <c r="F374" s="34"/>
      <c r="G374" s="39" t="s">
        <v>425</v>
      </c>
      <c r="H374" s="58"/>
      <c r="I374" s="58"/>
      <c r="J374" s="58"/>
      <c r="K374" s="58"/>
      <c r="L374" s="41">
        <f>SUM(L375:L379)</f>
        <v>2.8000000000000004E-3</v>
      </c>
      <c r="M374" s="42">
        <f>M375</f>
        <v>10700</v>
      </c>
      <c r="N374" s="40"/>
      <c r="O374" s="40"/>
      <c r="P374" s="40"/>
      <c r="Q374" s="40"/>
      <c r="R374" s="40"/>
      <c r="S374" s="40"/>
      <c r="T374" s="40"/>
      <c r="U374" s="40"/>
      <c r="V374" s="62">
        <f t="shared" ref="V374:X374" si="342">SUMPRODUCT(V375:V379,$K375:$K379)</f>
        <v>0</v>
      </c>
      <c r="W374" s="62">
        <f t="shared" si="342"/>
        <v>0</v>
      </c>
      <c r="X374" s="62">
        <f t="shared" si="342"/>
        <v>0</v>
      </c>
      <c r="Y374" s="43">
        <f>SUMPRODUCT(Y375:Y379,$K375:$K379)</f>
        <v>0</v>
      </c>
      <c r="Z374" s="43">
        <f t="shared" ref="Z374:AA374" si="343">SUMPRODUCT(Z375:Z379,$K375:$K379)</f>
        <v>0</v>
      </c>
      <c r="AA374" s="43">
        <f t="shared" si="343"/>
        <v>0</v>
      </c>
    </row>
    <row r="375" spans="1:27" ht="18.75" customHeight="1" outlineLevel="6" x14ac:dyDescent="0.3">
      <c r="B375" s="44"/>
      <c r="C375" s="18"/>
      <c r="D375" s="24"/>
      <c r="E375" s="29"/>
      <c r="F375" s="34"/>
      <c r="G375" s="39"/>
      <c r="H375" s="46" t="s">
        <v>426</v>
      </c>
      <c r="I375" s="46" t="s">
        <v>45</v>
      </c>
      <c r="J375" s="47" t="s">
        <v>293</v>
      </c>
      <c r="K375" s="48">
        <v>0.1</v>
      </c>
      <c r="L375" s="49">
        <f>VLOOKUP(H375,[4]Sheet2!K:P,6,0)</f>
        <v>2.8000000000000003E-4</v>
      </c>
      <c r="M375" s="50">
        <f>VLOOKUP(H375,[4]Sheet2!K:Q,7,0)</f>
        <v>10700</v>
      </c>
      <c r="N375" s="51"/>
      <c r="O375" s="51"/>
      <c r="P375" s="51"/>
      <c r="Q375" s="51"/>
      <c r="R375" s="51"/>
      <c r="S375" s="51"/>
      <c r="T375" s="51"/>
      <c r="U375" s="51"/>
      <c r="V375" s="52">
        <f>VLOOKUP(H375,[4]Sheet2!K:N,4,0)</f>
        <v>0</v>
      </c>
      <c r="W375" s="52">
        <f t="shared" ref="W375:W403" si="344">X375-V375</f>
        <v>0</v>
      </c>
      <c r="X375" s="52">
        <f>VLOOKUP(H375,[4]Sheet2!K:N,4,0)</f>
        <v>0</v>
      </c>
      <c r="Y375" s="53">
        <f t="shared" ref="Y375:Y379" si="345">IFERROR(V375/M375,1)</f>
        <v>0</v>
      </c>
      <c r="Z375" s="53">
        <f t="shared" ref="Z375:Z379" si="346">IFERROR(W375/M375,1)</f>
        <v>0</v>
      </c>
      <c r="AA375" s="53">
        <f t="shared" ref="AA375:AA379" si="347">IFERROR(X375/M375,1)</f>
        <v>0</v>
      </c>
    </row>
    <row r="376" spans="1:27" ht="18.75" customHeight="1" outlineLevel="6" x14ac:dyDescent="0.3">
      <c r="A376" s="1" t="s">
        <v>384</v>
      </c>
      <c r="B376" s="44"/>
      <c r="C376" s="18"/>
      <c r="D376" s="24"/>
      <c r="E376" s="29"/>
      <c r="F376" s="34"/>
      <c r="G376" s="39"/>
      <c r="H376" s="46" t="s">
        <v>427</v>
      </c>
      <c r="I376" s="46" t="s">
        <v>48</v>
      </c>
      <c r="J376" s="47" t="s">
        <v>293</v>
      </c>
      <c r="K376" s="48">
        <v>0.6</v>
      </c>
      <c r="L376" s="49">
        <f>VLOOKUP(H376,[4]Sheet2!K:P,6,0)</f>
        <v>1.6800000000000003E-3</v>
      </c>
      <c r="M376" s="50">
        <f>VLOOKUP(H376,[4]Sheet2!K:Q,7,0)</f>
        <v>10700</v>
      </c>
      <c r="N376" s="51"/>
      <c r="O376" s="51"/>
      <c r="P376" s="51"/>
      <c r="Q376" s="51"/>
      <c r="R376" s="51"/>
      <c r="S376" s="51"/>
      <c r="T376" s="51"/>
      <c r="U376" s="51"/>
      <c r="V376" s="52">
        <f>VLOOKUP(H376,[4]Sheet2!K:N,4,0)</f>
        <v>0</v>
      </c>
      <c r="W376" s="52">
        <f t="shared" si="344"/>
        <v>0</v>
      </c>
      <c r="X376" s="52">
        <f>VLOOKUP(H376,[4]Sheet2!K:N,4,0)</f>
        <v>0</v>
      </c>
      <c r="Y376" s="53">
        <f t="shared" si="345"/>
        <v>0</v>
      </c>
      <c r="Z376" s="53">
        <f t="shared" si="346"/>
        <v>0</v>
      </c>
      <c r="AA376" s="53">
        <f t="shared" si="347"/>
        <v>0</v>
      </c>
    </row>
    <row r="377" spans="1:27" ht="18.75" customHeight="1" outlineLevel="6" x14ac:dyDescent="0.3">
      <c r="B377" s="44"/>
      <c r="C377" s="18"/>
      <c r="D377" s="24"/>
      <c r="E377" s="29"/>
      <c r="F377" s="34"/>
      <c r="G377" s="39"/>
      <c r="H377" s="46" t="s">
        <v>428</v>
      </c>
      <c r="I377" s="46" t="s">
        <v>296</v>
      </c>
      <c r="J377" s="47" t="s">
        <v>293</v>
      </c>
      <c r="K377" s="48">
        <v>0.15</v>
      </c>
      <c r="L377" s="49">
        <f>VLOOKUP(H377,[4]Sheet2!K:P,6,0)</f>
        <v>4.2000000000000007E-4</v>
      </c>
      <c r="M377" s="50">
        <f>VLOOKUP(H377,[4]Sheet2!K:Q,7,0)</f>
        <v>10700</v>
      </c>
      <c r="N377" s="51"/>
      <c r="O377" s="51"/>
      <c r="P377" s="51"/>
      <c r="Q377" s="51"/>
      <c r="R377" s="51"/>
      <c r="S377" s="51"/>
      <c r="T377" s="51"/>
      <c r="U377" s="51"/>
      <c r="V377" s="52">
        <f>VLOOKUP(H377,[4]Sheet2!K:N,4,0)</f>
        <v>0</v>
      </c>
      <c r="W377" s="52">
        <f t="shared" si="344"/>
        <v>0</v>
      </c>
      <c r="X377" s="52">
        <f>VLOOKUP(H377,[4]Sheet2!K:N,4,0)</f>
        <v>0</v>
      </c>
      <c r="Y377" s="53">
        <f t="shared" si="345"/>
        <v>0</v>
      </c>
      <c r="Z377" s="53">
        <f t="shared" si="346"/>
        <v>0</v>
      </c>
      <c r="AA377" s="53">
        <f t="shared" si="347"/>
        <v>0</v>
      </c>
    </row>
    <row r="378" spans="1:27" ht="18.75" customHeight="1" outlineLevel="6" x14ac:dyDescent="0.3">
      <c r="B378" s="44"/>
      <c r="C378" s="18"/>
      <c r="D378" s="24"/>
      <c r="E378" s="29"/>
      <c r="F378" s="34"/>
      <c r="G378" s="39"/>
      <c r="H378" s="46" t="s">
        <v>429</v>
      </c>
      <c r="I378" s="46" t="s">
        <v>298</v>
      </c>
      <c r="J378" s="47" t="s">
        <v>293</v>
      </c>
      <c r="K378" s="48">
        <v>0.1</v>
      </c>
      <c r="L378" s="49">
        <f>VLOOKUP(H378,[4]Sheet2!K:P,6,0)</f>
        <v>2.8000000000000003E-4</v>
      </c>
      <c r="M378" s="50">
        <f>VLOOKUP(H378,[4]Sheet2!K:Q,7,0)</f>
        <v>10700</v>
      </c>
      <c r="N378" s="51"/>
      <c r="O378" s="51"/>
      <c r="P378" s="51"/>
      <c r="Q378" s="51"/>
      <c r="R378" s="51"/>
      <c r="S378" s="51"/>
      <c r="T378" s="51"/>
      <c r="U378" s="51"/>
      <c r="V378" s="52">
        <f>VLOOKUP(H378,[4]Sheet2!K:N,4,0)</f>
        <v>0</v>
      </c>
      <c r="W378" s="52">
        <f t="shared" si="344"/>
        <v>0</v>
      </c>
      <c r="X378" s="52">
        <f>VLOOKUP(H378,[4]Sheet2!K:N,4,0)</f>
        <v>0</v>
      </c>
      <c r="Y378" s="53">
        <f t="shared" si="345"/>
        <v>0</v>
      </c>
      <c r="Z378" s="53">
        <f t="shared" si="346"/>
        <v>0</v>
      </c>
      <c r="AA378" s="53">
        <f t="shared" si="347"/>
        <v>0</v>
      </c>
    </row>
    <row r="379" spans="1:27" ht="18.75" customHeight="1" outlineLevel="6" x14ac:dyDescent="0.3">
      <c r="B379" s="44"/>
      <c r="C379" s="18"/>
      <c r="D379" s="24"/>
      <c r="E379" s="29"/>
      <c r="F379" s="34"/>
      <c r="G379" s="39"/>
      <c r="H379" s="46" t="s">
        <v>430</v>
      </c>
      <c r="I379" s="46" t="s">
        <v>56</v>
      </c>
      <c r="J379" s="47" t="s">
        <v>293</v>
      </c>
      <c r="K379" s="48">
        <v>0.05</v>
      </c>
      <c r="L379" s="49">
        <f>VLOOKUP(H379,[4]Sheet2!K:P,6,0)</f>
        <v>1.4000000000000001E-4</v>
      </c>
      <c r="M379" s="50">
        <f>VLOOKUP(H379,[4]Sheet2!K:Q,7,0)</f>
        <v>10700</v>
      </c>
      <c r="N379" s="51"/>
      <c r="O379" s="51"/>
      <c r="P379" s="51"/>
      <c r="Q379" s="51"/>
      <c r="R379" s="51"/>
      <c r="S379" s="51"/>
      <c r="T379" s="51"/>
      <c r="U379" s="51"/>
      <c r="V379" s="52">
        <f>VLOOKUP(H379,[4]Sheet2!K:N,4,0)</f>
        <v>0</v>
      </c>
      <c r="W379" s="52">
        <f t="shared" si="344"/>
        <v>0</v>
      </c>
      <c r="X379" s="52">
        <f>VLOOKUP(H379,[4]Sheet2!K:N,4,0)</f>
        <v>0</v>
      </c>
      <c r="Y379" s="53">
        <f t="shared" si="345"/>
        <v>0</v>
      </c>
      <c r="Z379" s="53">
        <f t="shared" si="346"/>
        <v>0</v>
      </c>
      <c r="AA379" s="53">
        <f t="shared" si="347"/>
        <v>0</v>
      </c>
    </row>
    <row r="380" spans="1:27" ht="18.75" customHeight="1" outlineLevel="5" x14ac:dyDescent="0.3">
      <c r="B380" s="12"/>
      <c r="C380" s="18"/>
      <c r="D380" s="24"/>
      <c r="E380" s="29"/>
      <c r="F380" s="34"/>
      <c r="G380" s="39" t="s">
        <v>431</v>
      </c>
      <c r="H380" s="58"/>
      <c r="I380" s="58"/>
      <c r="J380" s="58"/>
      <c r="K380" s="58"/>
      <c r="L380" s="41">
        <f>SUM(L381:L385)</f>
        <v>5.9999999999999993E-3</v>
      </c>
      <c r="M380" s="42">
        <f>M381</f>
        <v>36000</v>
      </c>
      <c r="N380" s="40"/>
      <c r="O380" s="40"/>
      <c r="P380" s="40"/>
      <c r="Q380" s="40"/>
      <c r="R380" s="40"/>
      <c r="S380" s="40"/>
      <c r="T380" s="40"/>
      <c r="U380" s="40"/>
      <c r="V380" s="62">
        <f t="shared" ref="V380:X380" si="348">SUMPRODUCT(V381:V385,$K381:$K385)</f>
        <v>0</v>
      </c>
      <c r="W380" s="62">
        <f t="shared" si="348"/>
        <v>0</v>
      </c>
      <c r="X380" s="62">
        <f t="shared" si="348"/>
        <v>0</v>
      </c>
      <c r="Y380" s="43">
        <f>SUMPRODUCT(Y381:Y385,$K381:$K385)</f>
        <v>0</v>
      </c>
      <c r="Z380" s="43">
        <f t="shared" ref="Z380:AA380" si="349">SUMPRODUCT(Z381:Z385,$K381:$K385)</f>
        <v>0</v>
      </c>
      <c r="AA380" s="43">
        <f t="shared" si="349"/>
        <v>0</v>
      </c>
    </row>
    <row r="381" spans="1:27" ht="18.75" customHeight="1" outlineLevel="6" x14ac:dyDescent="0.3">
      <c r="B381" s="44"/>
      <c r="C381" s="18"/>
      <c r="D381" s="24"/>
      <c r="E381" s="29"/>
      <c r="F381" s="34"/>
      <c r="G381" s="39"/>
      <c r="H381" s="46" t="s">
        <v>432</v>
      </c>
      <c r="I381" s="46" t="s">
        <v>45</v>
      </c>
      <c r="J381" s="47" t="s">
        <v>293</v>
      </c>
      <c r="K381" s="48">
        <v>0.1</v>
      </c>
      <c r="L381" s="49">
        <f>VLOOKUP(H381,[4]Sheet2!K:P,6,0)</f>
        <v>6.0000000000000006E-4</v>
      </c>
      <c r="M381" s="50">
        <f>VLOOKUP(H381,[4]Sheet2!K:Q,7,0)</f>
        <v>36000</v>
      </c>
      <c r="N381" s="51"/>
      <c r="O381" s="51"/>
      <c r="P381" s="51"/>
      <c r="Q381" s="51"/>
      <c r="R381" s="51"/>
      <c r="S381" s="51"/>
      <c r="T381" s="51"/>
      <c r="U381" s="51"/>
      <c r="V381" s="52">
        <f>VLOOKUP(H381,[4]Sheet2!K:N,4,0)</f>
        <v>0</v>
      </c>
      <c r="W381" s="52">
        <f t="shared" si="344"/>
        <v>0</v>
      </c>
      <c r="X381" s="52">
        <f>VLOOKUP(H381,[4]Sheet2!K:N,4,0)</f>
        <v>0</v>
      </c>
      <c r="Y381" s="53">
        <f t="shared" ref="Y381:Y385" si="350">IFERROR(V381/M381,1)</f>
        <v>0</v>
      </c>
      <c r="Z381" s="53">
        <f t="shared" ref="Z381:Z385" si="351">IFERROR(W381/M381,1)</f>
        <v>0</v>
      </c>
      <c r="AA381" s="53">
        <f t="shared" ref="AA381:AA385" si="352">IFERROR(X381/M381,1)</f>
        <v>0</v>
      </c>
    </row>
    <row r="382" spans="1:27" ht="18.75" customHeight="1" outlineLevel="6" x14ac:dyDescent="0.3">
      <c r="A382" s="1" t="s">
        <v>384</v>
      </c>
      <c r="B382" s="44"/>
      <c r="C382" s="18"/>
      <c r="D382" s="24"/>
      <c r="E382" s="29"/>
      <c r="F382" s="34"/>
      <c r="G382" s="39"/>
      <c r="H382" s="46" t="s">
        <v>433</v>
      </c>
      <c r="I382" s="46" t="s">
        <v>48</v>
      </c>
      <c r="J382" s="47" t="s">
        <v>293</v>
      </c>
      <c r="K382" s="48">
        <v>0.6</v>
      </c>
      <c r="L382" s="49">
        <f>VLOOKUP(H382,[4]Sheet2!K:P,6,0)</f>
        <v>3.5999999999999999E-3</v>
      </c>
      <c r="M382" s="50">
        <f>VLOOKUP(H382,[4]Sheet2!K:Q,7,0)</f>
        <v>36000</v>
      </c>
      <c r="N382" s="51"/>
      <c r="O382" s="51"/>
      <c r="P382" s="51"/>
      <c r="Q382" s="51"/>
      <c r="R382" s="51"/>
      <c r="S382" s="51"/>
      <c r="T382" s="51"/>
      <c r="U382" s="51"/>
      <c r="V382" s="52">
        <f>VLOOKUP(H382,[4]Sheet2!K:N,4,0)</f>
        <v>0</v>
      </c>
      <c r="W382" s="52">
        <f t="shared" si="344"/>
        <v>0</v>
      </c>
      <c r="X382" s="52">
        <f>VLOOKUP(H382,[4]Sheet2!K:N,4,0)</f>
        <v>0</v>
      </c>
      <c r="Y382" s="53">
        <f t="shared" si="350"/>
        <v>0</v>
      </c>
      <c r="Z382" s="53">
        <f t="shared" si="351"/>
        <v>0</v>
      </c>
      <c r="AA382" s="53">
        <f t="shared" si="352"/>
        <v>0</v>
      </c>
    </row>
    <row r="383" spans="1:27" ht="18.75" customHeight="1" outlineLevel="6" x14ac:dyDescent="0.3">
      <c r="B383" s="44"/>
      <c r="C383" s="18"/>
      <c r="D383" s="24"/>
      <c r="E383" s="29"/>
      <c r="F383" s="34"/>
      <c r="G383" s="39"/>
      <c r="H383" s="46" t="s">
        <v>434</v>
      </c>
      <c r="I383" s="46" t="s">
        <v>296</v>
      </c>
      <c r="J383" s="47" t="s">
        <v>293</v>
      </c>
      <c r="K383" s="48">
        <v>0.15</v>
      </c>
      <c r="L383" s="49">
        <f>VLOOKUP(H383,[4]Sheet2!K:P,6,0)</f>
        <v>8.9999999999999998E-4</v>
      </c>
      <c r="M383" s="50">
        <f>VLOOKUP(H383,[4]Sheet2!K:Q,7,0)</f>
        <v>36000</v>
      </c>
      <c r="N383" s="51"/>
      <c r="O383" s="51"/>
      <c r="P383" s="51"/>
      <c r="Q383" s="51"/>
      <c r="R383" s="51"/>
      <c r="S383" s="51"/>
      <c r="T383" s="51"/>
      <c r="U383" s="51"/>
      <c r="V383" s="52">
        <f>VLOOKUP(H383,[4]Sheet2!K:N,4,0)</f>
        <v>0</v>
      </c>
      <c r="W383" s="52">
        <f t="shared" si="344"/>
        <v>0</v>
      </c>
      <c r="X383" s="52">
        <f>VLOOKUP(H383,[4]Sheet2!K:N,4,0)</f>
        <v>0</v>
      </c>
      <c r="Y383" s="53">
        <f t="shared" si="350"/>
        <v>0</v>
      </c>
      <c r="Z383" s="53">
        <f t="shared" si="351"/>
        <v>0</v>
      </c>
      <c r="AA383" s="53">
        <f t="shared" si="352"/>
        <v>0</v>
      </c>
    </row>
    <row r="384" spans="1:27" ht="18.75" customHeight="1" outlineLevel="6" x14ac:dyDescent="0.3">
      <c r="B384" s="44"/>
      <c r="C384" s="18"/>
      <c r="D384" s="24"/>
      <c r="E384" s="29"/>
      <c r="F384" s="34"/>
      <c r="G384" s="39"/>
      <c r="H384" s="46" t="s">
        <v>435</v>
      </c>
      <c r="I384" s="46" t="s">
        <v>298</v>
      </c>
      <c r="J384" s="47" t="s">
        <v>293</v>
      </c>
      <c r="K384" s="48">
        <v>0.1</v>
      </c>
      <c r="L384" s="49">
        <f>VLOOKUP(H384,[4]Sheet2!K:P,6,0)</f>
        <v>6.0000000000000006E-4</v>
      </c>
      <c r="M384" s="50">
        <f>VLOOKUP(H384,[4]Sheet2!K:Q,7,0)</f>
        <v>36000</v>
      </c>
      <c r="N384" s="51"/>
      <c r="O384" s="51"/>
      <c r="P384" s="51"/>
      <c r="Q384" s="51"/>
      <c r="R384" s="51"/>
      <c r="S384" s="51"/>
      <c r="T384" s="51"/>
      <c r="U384" s="51"/>
      <c r="V384" s="52">
        <f>VLOOKUP(H384,[4]Sheet2!K:N,4,0)</f>
        <v>0</v>
      </c>
      <c r="W384" s="52">
        <f t="shared" si="344"/>
        <v>0</v>
      </c>
      <c r="X384" s="52">
        <f>VLOOKUP(H384,[4]Sheet2!K:N,4,0)</f>
        <v>0</v>
      </c>
      <c r="Y384" s="53">
        <f t="shared" si="350"/>
        <v>0</v>
      </c>
      <c r="Z384" s="53">
        <f t="shared" si="351"/>
        <v>0</v>
      </c>
      <c r="AA384" s="53">
        <f t="shared" si="352"/>
        <v>0</v>
      </c>
    </row>
    <row r="385" spans="1:27" ht="18.75" customHeight="1" outlineLevel="6" x14ac:dyDescent="0.3">
      <c r="B385" s="44"/>
      <c r="C385" s="18"/>
      <c r="D385" s="24"/>
      <c r="E385" s="29"/>
      <c r="F385" s="34"/>
      <c r="G385" s="39"/>
      <c r="H385" s="46" t="s">
        <v>436</v>
      </c>
      <c r="I385" s="46" t="s">
        <v>56</v>
      </c>
      <c r="J385" s="47" t="s">
        <v>293</v>
      </c>
      <c r="K385" s="48">
        <v>0.05</v>
      </c>
      <c r="L385" s="49">
        <f>VLOOKUP(H385,[4]Sheet2!K:P,6,0)</f>
        <v>3.0000000000000003E-4</v>
      </c>
      <c r="M385" s="50">
        <f>VLOOKUP(H385,[4]Sheet2!K:Q,7,0)</f>
        <v>36000</v>
      </c>
      <c r="N385" s="51"/>
      <c r="O385" s="51"/>
      <c r="P385" s="51"/>
      <c r="Q385" s="51"/>
      <c r="R385" s="51"/>
      <c r="S385" s="51"/>
      <c r="T385" s="51"/>
      <c r="U385" s="51"/>
      <c r="V385" s="52">
        <f>VLOOKUP(H385,[4]Sheet2!K:N,4,0)</f>
        <v>0</v>
      </c>
      <c r="W385" s="52">
        <f t="shared" si="344"/>
        <v>0</v>
      </c>
      <c r="X385" s="52">
        <f>VLOOKUP(H385,[4]Sheet2!K:N,4,0)</f>
        <v>0</v>
      </c>
      <c r="Y385" s="53">
        <f t="shared" si="350"/>
        <v>0</v>
      </c>
      <c r="Z385" s="53">
        <f t="shared" si="351"/>
        <v>0</v>
      </c>
      <c r="AA385" s="53">
        <f t="shared" si="352"/>
        <v>0</v>
      </c>
    </row>
    <row r="386" spans="1:27" ht="18.75" customHeight="1" outlineLevel="5" x14ac:dyDescent="0.3">
      <c r="B386" s="12"/>
      <c r="C386" s="18"/>
      <c r="D386" s="24"/>
      <c r="E386" s="29"/>
      <c r="F386" s="34"/>
      <c r="G386" s="39" t="s">
        <v>437</v>
      </c>
      <c r="H386" s="58"/>
      <c r="I386" s="58"/>
      <c r="J386" s="58"/>
      <c r="K386" s="58"/>
      <c r="L386" s="41">
        <f>SUM(L387:L391)</f>
        <v>2E-3</v>
      </c>
      <c r="M386" s="42">
        <f>M387</f>
        <v>1900</v>
      </c>
      <c r="N386" s="40"/>
      <c r="O386" s="40"/>
      <c r="P386" s="40"/>
      <c r="Q386" s="40"/>
      <c r="R386" s="40"/>
      <c r="S386" s="40"/>
      <c r="T386" s="40"/>
      <c r="U386" s="40"/>
      <c r="V386" s="62">
        <f t="shared" ref="V386:X386" si="353">SUMPRODUCT(V387:V391,$K387:$K391)</f>
        <v>0</v>
      </c>
      <c r="W386" s="62">
        <f t="shared" si="353"/>
        <v>0</v>
      </c>
      <c r="X386" s="62">
        <f t="shared" si="353"/>
        <v>0</v>
      </c>
      <c r="Y386" s="43">
        <f>SUMPRODUCT(Y387:Y391,$K387:$K391)</f>
        <v>0</v>
      </c>
      <c r="Z386" s="43">
        <f t="shared" ref="Z386:AA386" si="354">SUMPRODUCT(Z387:Z391,$K387:$K391)</f>
        <v>0</v>
      </c>
      <c r="AA386" s="43">
        <f t="shared" si="354"/>
        <v>0</v>
      </c>
    </row>
    <row r="387" spans="1:27" ht="18.75" customHeight="1" outlineLevel="6" x14ac:dyDescent="0.3">
      <c r="B387" s="44"/>
      <c r="C387" s="18"/>
      <c r="D387" s="24"/>
      <c r="E387" s="29"/>
      <c r="F387" s="34"/>
      <c r="G387" s="39"/>
      <c r="H387" s="46" t="s">
        <v>438</v>
      </c>
      <c r="I387" s="46" t="s">
        <v>45</v>
      </c>
      <c r="J387" s="47" t="s">
        <v>293</v>
      </c>
      <c r="K387" s="48">
        <v>0.1</v>
      </c>
      <c r="L387" s="49">
        <f>VLOOKUP(H387,[4]Sheet2!K:P,6,0)</f>
        <v>2.0000000000000001E-4</v>
      </c>
      <c r="M387" s="50">
        <f>VLOOKUP(H387,[4]Sheet2!K:Q,7,0)</f>
        <v>1900</v>
      </c>
      <c r="N387" s="51"/>
      <c r="O387" s="51"/>
      <c r="P387" s="51"/>
      <c r="Q387" s="51"/>
      <c r="R387" s="51"/>
      <c r="S387" s="51"/>
      <c r="T387" s="51"/>
      <c r="U387" s="51"/>
      <c r="V387" s="52">
        <f>VLOOKUP(H387,[4]Sheet2!K:N,4,0)</f>
        <v>0</v>
      </c>
      <c r="W387" s="52">
        <f t="shared" si="344"/>
        <v>0</v>
      </c>
      <c r="X387" s="52">
        <f>VLOOKUP(H387,[4]Sheet2!K:N,4,0)</f>
        <v>0</v>
      </c>
      <c r="Y387" s="53">
        <f t="shared" ref="Y387:Y391" si="355">IFERROR(V387/M387,1)</f>
        <v>0</v>
      </c>
      <c r="Z387" s="53">
        <f t="shared" ref="Z387:Z391" si="356">IFERROR(W387/M387,1)</f>
        <v>0</v>
      </c>
      <c r="AA387" s="53">
        <f t="shared" ref="AA387:AA391" si="357">IFERROR(X387/M387,1)</f>
        <v>0</v>
      </c>
    </row>
    <row r="388" spans="1:27" ht="18.75" customHeight="1" outlineLevel="6" x14ac:dyDescent="0.3">
      <c r="A388" s="1" t="s">
        <v>384</v>
      </c>
      <c r="B388" s="44"/>
      <c r="C388" s="18"/>
      <c r="D388" s="24"/>
      <c r="E388" s="29"/>
      <c r="F388" s="34"/>
      <c r="G388" s="39"/>
      <c r="H388" s="46" t="s">
        <v>439</v>
      </c>
      <c r="I388" s="46" t="s">
        <v>48</v>
      </c>
      <c r="J388" s="47" t="s">
        <v>293</v>
      </c>
      <c r="K388" s="48">
        <v>0.6</v>
      </c>
      <c r="L388" s="49">
        <f>VLOOKUP(H388,[4]Sheet2!K:P,6,0)</f>
        <v>1.2000000000000001E-3</v>
      </c>
      <c r="M388" s="50">
        <f>VLOOKUP(H388,[4]Sheet2!K:Q,7,0)</f>
        <v>1900</v>
      </c>
      <c r="N388" s="51"/>
      <c r="O388" s="51"/>
      <c r="P388" s="51"/>
      <c r="Q388" s="51"/>
      <c r="R388" s="51"/>
      <c r="S388" s="51"/>
      <c r="T388" s="51"/>
      <c r="U388" s="51"/>
      <c r="V388" s="52">
        <f>VLOOKUP(H388,[4]Sheet2!K:N,4,0)</f>
        <v>0</v>
      </c>
      <c r="W388" s="52">
        <f t="shared" si="344"/>
        <v>0</v>
      </c>
      <c r="X388" s="52">
        <f>VLOOKUP(H388,[4]Sheet2!K:N,4,0)</f>
        <v>0</v>
      </c>
      <c r="Y388" s="53">
        <f t="shared" si="355"/>
        <v>0</v>
      </c>
      <c r="Z388" s="53">
        <f t="shared" si="356"/>
        <v>0</v>
      </c>
      <c r="AA388" s="53">
        <f t="shared" si="357"/>
        <v>0</v>
      </c>
    </row>
    <row r="389" spans="1:27" ht="18.75" customHeight="1" outlineLevel="6" x14ac:dyDescent="0.3">
      <c r="B389" s="44"/>
      <c r="C389" s="18"/>
      <c r="D389" s="24"/>
      <c r="E389" s="29"/>
      <c r="F389" s="34"/>
      <c r="G389" s="39"/>
      <c r="H389" s="46" t="s">
        <v>440</v>
      </c>
      <c r="I389" s="46" t="s">
        <v>296</v>
      </c>
      <c r="J389" s="47" t="s">
        <v>293</v>
      </c>
      <c r="K389" s="48">
        <v>0.15</v>
      </c>
      <c r="L389" s="49">
        <f>VLOOKUP(H389,[4]Sheet2!K:P,6,0)</f>
        <v>3.0000000000000003E-4</v>
      </c>
      <c r="M389" s="50">
        <f>VLOOKUP(H389,[4]Sheet2!K:Q,7,0)</f>
        <v>1900</v>
      </c>
      <c r="N389" s="51"/>
      <c r="O389" s="51"/>
      <c r="P389" s="51"/>
      <c r="Q389" s="51"/>
      <c r="R389" s="51"/>
      <c r="S389" s="51"/>
      <c r="T389" s="51"/>
      <c r="U389" s="51"/>
      <c r="V389" s="52">
        <f>VLOOKUP(H389,[4]Sheet2!K:N,4,0)</f>
        <v>0</v>
      </c>
      <c r="W389" s="52">
        <f t="shared" si="344"/>
        <v>0</v>
      </c>
      <c r="X389" s="52">
        <f>VLOOKUP(H389,[4]Sheet2!K:N,4,0)</f>
        <v>0</v>
      </c>
      <c r="Y389" s="53">
        <f t="shared" si="355"/>
        <v>0</v>
      </c>
      <c r="Z389" s="53">
        <f t="shared" si="356"/>
        <v>0</v>
      </c>
      <c r="AA389" s="53">
        <f t="shared" si="357"/>
        <v>0</v>
      </c>
    </row>
    <row r="390" spans="1:27" ht="18.75" customHeight="1" outlineLevel="6" x14ac:dyDescent="0.3">
      <c r="B390" s="44"/>
      <c r="C390" s="18"/>
      <c r="D390" s="24"/>
      <c r="E390" s="29"/>
      <c r="F390" s="34"/>
      <c r="G390" s="39"/>
      <c r="H390" s="46" t="s">
        <v>441</v>
      </c>
      <c r="I390" s="46" t="s">
        <v>298</v>
      </c>
      <c r="J390" s="47" t="s">
        <v>293</v>
      </c>
      <c r="K390" s="48">
        <v>0.1</v>
      </c>
      <c r="L390" s="49">
        <f>VLOOKUP(H390,[4]Sheet2!K:P,6,0)</f>
        <v>2.0000000000000001E-4</v>
      </c>
      <c r="M390" s="50">
        <f>VLOOKUP(H390,[4]Sheet2!K:Q,7,0)</f>
        <v>1900</v>
      </c>
      <c r="N390" s="51"/>
      <c r="O390" s="51"/>
      <c r="P390" s="51"/>
      <c r="Q390" s="51"/>
      <c r="R390" s="51"/>
      <c r="S390" s="51"/>
      <c r="T390" s="51"/>
      <c r="U390" s="51"/>
      <c r="V390" s="52">
        <f>VLOOKUP(H390,[4]Sheet2!K:N,4,0)</f>
        <v>0</v>
      </c>
      <c r="W390" s="52">
        <f t="shared" si="344"/>
        <v>0</v>
      </c>
      <c r="X390" s="52">
        <f>VLOOKUP(H390,[4]Sheet2!K:N,4,0)</f>
        <v>0</v>
      </c>
      <c r="Y390" s="53">
        <f t="shared" si="355"/>
        <v>0</v>
      </c>
      <c r="Z390" s="53">
        <f t="shared" si="356"/>
        <v>0</v>
      </c>
      <c r="AA390" s="53">
        <f t="shared" si="357"/>
        <v>0</v>
      </c>
    </row>
    <row r="391" spans="1:27" ht="18.75" customHeight="1" outlineLevel="6" x14ac:dyDescent="0.3">
      <c r="B391" s="44"/>
      <c r="C391" s="18"/>
      <c r="D391" s="24"/>
      <c r="E391" s="29"/>
      <c r="F391" s="34"/>
      <c r="G391" s="39"/>
      <c r="H391" s="46" t="s">
        <v>442</v>
      </c>
      <c r="I391" s="46" t="s">
        <v>56</v>
      </c>
      <c r="J391" s="47" t="s">
        <v>293</v>
      </c>
      <c r="K391" s="48">
        <v>0.05</v>
      </c>
      <c r="L391" s="49">
        <f>VLOOKUP(H391,[4]Sheet2!K:P,6,0)</f>
        <v>1E-4</v>
      </c>
      <c r="M391" s="50">
        <f>VLOOKUP(H391,[4]Sheet2!K:Q,7,0)</f>
        <v>1900</v>
      </c>
      <c r="N391" s="51"/>
      <c r="O391" s="51"/>
      <c r="P391" s="51"/>
      <c r="Q391" s="51"/>
      <c r="R391" s="51"/>
      <c r="S391" s="51"/>
      <c r="T391" s="51"/>
      <c r="U391" s="51"/>
      <c r="V391" s="52">
        <f>VLOOKUP(H391,[4]Sheet2!K:N,4,0)</f>
        <v>0</v>
      </c>
      <c r="W391" s="52">
        <f t="shared" si="344"/>
        <v>0</v>
      </c>
      <c r="X391" s="52">
        <f>VLOOKUP(H391,[4]Sheet2!K:N,4,0)</f>
        <v>0</v>
      </c>
      <c r="Y391" s="53">
        <f t="shared" si="355"/>
        <v>0</v>
      </c>
      <c r="Z391" s="53">
        <f t="shared" si="356"/>
        <v>0</v>
      </c>
      <c r="AA391" s="53">
        <f t="shared" si="357"/>
        <v>0</v>
      </c>
    </row>
    <row r="392" spans="1:27" ht="18.75" customHeight="1" outlineLevel="5" x14ac:dyDescent="0.3">
      <c r="B392" s="12"/>
      <c r="C392" s="18"/>
      <c r="D392" s="24"/>
      <c r="E392" s="29"/>
      <c r="F392" s="34"/>
      <c r="G392" s="39" t="s">
        <v>443</v>
      </c>
      <c r="H392" s="58"/>
      <c r="I392" s="58"/>
      <c r="J392" s="58"/>
      <c r="K392" s="58"/>
      <c r="L392" s="41">
        <f>SUM(L393:L397)</f>
        <v>2.5000000000000005E-3</v>
      </c>
      <c r="M392" s="42">
        <f>M393</f>
        <v>6000</v>
      </c>
      <c r="N392" s="40"/>
      <c r="O392" s="40"/>
      <c r="P392" s="40"/>
      <c r="Q392" s="40"/>
      <c r="R392" s="40"/>
      <c r="S392" s="40"/>
      <c r="T392" s="40"/>
      <c r="U392" s="40"/>
      <c r="V392" s="62">
        <f t="shared" ref="V392:X392" si="358">SUMPRODUCT(V393:V397,$K393:$K397)</f>
        <v>0</v>
      </c>
      <c r="W392" s="62">
        <f t="shared" si="358"/>
        <v>0</v>
      </c>
      <c r="X392" s="62">
        <f t="shared" si="358"/>
        <v>0</v>
      </c>
      <c r="Y392" s="43">
        <f>SUMPRODUCT(Y393:Y397,$K393:$K397)</f>
        <v>0</v>
      </c>
      <c r="Z392" s="43">
        <f t="shared" ref="Z392:AA392" si="359">SUMPRODUCT(Z393:Z397,$K393:$K397)</f>
        <v>0</v>
      </c>
      <c r="AA392" s="43">
        <f t="shared" si="359"/>
        <v>0</v>
      </c>
    </row>
    <row r="393" spans="1:27" ht="18.75" customHeight="1" outlineLevel="6" x14ac:dyDescent="0.3">
      <c r="B393" s="44"/>
      <c r="C393" s="18"/>
      <c r="D393" s="24"/>
      <c r="E393" s="29"/>
      <c r="F393" s="34"/>
      <c r="G393" s="39"/>
      <c r="H393" s="46" t="s">
        <v>444</v>
      </c>
      <c r="I393" s="46" t="s">
        <v>45</v>
      </c>
      <c r="J393" s="47" t="s">
        <v>293</v>
      </c>
      <c r="K393" s="48">
        <v>0.1</v>
      </c>
      <c r="L393" s="49">
        <f>VLOOKUP(H393,[4]Sheet2!K:P,6,0)</f>
        <v>2.5000000000000001E-4</v>
      </c>
      <c r="M393" s="50">
        <f>VLOOKUP(H393,[4]Sheet2!K:Q,7,0)</f>
        <v>6000</v>
      </c>
      <c r="N393" s="51"/>
      <c r="O393" s="51"/>
      <c r="P393" s="51"/>
      <c r="Q393" s="51"/>
      <c r="R393" s="51"/>
      <c r="S393" s="51"/>
      <c r="T393" s="51"/>
      <c r="U393" s="51"/>
      <c r="V393" s="52">
        <f>VLOOKUP(H393,[4]Sheet2!K:N,4,0)</f>
        <v>0</v>
      </c>
      <c r="W393" s="52">
        <f t="shared" si="344"/>
        <v>0</v>
      </c>
      <c r="X393" s="52">
        <f>VLOOKUP(H393,[4]Sheet2!K:N,4,0)</f>
        <v>0</v>
      </c>
      <c r="Y393" s="53">
        <f t="shared" ref="Y393:Y397" si="360">IFERROR(V393/M393,1)</f>
        <v>0</v>
      </c>
      <c r="Z393" s="53">
        <f t="shared" ref="Z393:Z397" si="361">IFERROR(W393/M393,1)</f>
        <v>0</v>
      </c>
      <c r="AA393" s="53">
        <f t="shared" ref="AA393:AA397" si="362">IFERROR(X393/M393,1)</f>
        <v>0</v>
      </c>
    </row>
    <row r="394" spans="1:27" ht="18.75" customHeight="1" outlineLevel="6" x14ac:dyDescent="0.3">
      <c r="A394" s="1" t="s">
        <v>384</v>
      </c>
      <c r="B394" s="44"/>
      <c r="C394" s="18"/>
      <c r="D394" s="24"/>
      <c r="E394" s="29"/>
      <c r="F394" s="34"/>
      <c r="G394" s="39"/>
      <c r="H394" s="46" t="s">
        <v>445</v>
      </c>
      <c r="I394" s="46" t="s">
        <v>48</v>
      </c>
      <c r="J394" s="47" t="s">
        <v>293</v>
      </c>
      <c r="K394" s="48">
        <v>0.6</v>
      </c>
      <c r="L394" s="49">
        <f>VLOOKUP(H394,[4]Sheet2!K:P,6,0)</f>
        <v>1.5E-3</v>
      </c>
      <c r="M394" s="50">
        <f>VLOOKUP(H394,[4]Sheet2!K:Q,7,0)</f>
        <v>6000</v>
      </c>
      <c r="N394" s="51"/>
      <c r="O394" s="51"/>
      <c r="P394" s="51"/>
      <c r="Q394" s="51"/>
      <c r="R394" s="51"/>
      <c r="S394" s="51"/>
      <c r="T394" s="51"/>
      <c r="U394" s="51"/>
      <c r="V394" s="52">
        <f>VLOOKUP(H394,[4]Sheet2!K:N,4,0)</f>
        <v>0</v>
      </c>
      <c r="W394" s="52">
        <f t="shared" si="344"/>
        <v>0</v>
      </c>
      <c r="X394" s="52">
        <f>VLOOKUP(H394,[4]Sheet2!K:N,4,0)</f>
        <v>0</v>
      </c>
      <c r="Y394" s="53">
        <f t="shared" si="360"/>
        <v>0</v>
      </c>
      <c r="Z394" s="53">
        <f t="shared" si="361"/>
        <v>0</v>
      </c>
      <c r="AA394" s="53">
        <f t="shared" si="362"/>
        <v>0</v>
      </c>
    </row>
    <row r="395" spans="1:27" ht="18.75" customHeight="1" outlineLevel="6" x14ac:dyDescent="0.3">
      <c r="B395" s="44"/>
      <c r="C395" s="18"/>
      <c r="D395" s="24"/>
      <c r="E395" s="29"/>
      <c r="F395" s="34"/>
      <c r="G395" s="39"/>
      <c r="H395" s="46" t="s">
        <v>446</v>
      </c>
      <c r="I395" s="46" t="s">
        <v>296</v>
      </c>
      <c r="J395" s="47" t="s">
        <v>293</v>
      </c>
      <c r="K395" s="48">
        <v>0.15</v>
      </c>
      <c r="L395" s="49">
        <f>VLOOKUP(H395,[4]Sheet2!K:P,6,0)</f>
        <v>3.7500000000000001E-4</v>
      </c>
      <c r="M395" s="50">
        <f>VLOOKUP(H395,[4]Sheet2!K:Q,7,0)</f>
        <v>6000</v>
      </c>
      <c r="N395" s="51"/>
      <c r="O395" s="51"/>
      <c r="P395" s="51"/>
      <c r="Q395" s="51"/>
      <c r="R395" s="51"/>
      <c r="S395" s="51"/>
      <c r="T395" s="51"/>
      <c r="U395" s="51"/>
      <c r="V395" s="52">
        <f>VLOOKUP(H395,[4]Sheet2!K:N,4,0)</f>
        <v>0</v>
      </c>
      <c r="W395" s="52">
        <f t="shared" si="344"/>
        <v>0</v>
      </c>
      <c r="X395" s="52">
        <f>VLOOKUP(H395,[4]Sheet2!K:N,4,0)</f>
        <v>0</v>
      </c>
      <c r="Y395" s="53">
        <f t="shared" si="360"/>
        <v>0</v>
      </c>
      <c r="Z395" s="53">
        <f t="shared" si="361"/>
        <v>0</v>
      </c>
      <c r="AA395" s="53">
        <f t="shared" si="362"/>
        <v>0</v>
      </c>
    </row>
    <row r="396" spans="1:27" ht="18.75" customHeight="1" outlineLevel="6" x14ac:dyDescent="0.3">
      <c r="B396" s="44"/>
      <c r="C396" s="18"/>
      <c r="D396" s="24"/>
      <c r="E396" s="29"/>
      <c r="F396" s="34"/>
      <c r="G396" s="39"/>
      <c r="H396" s="46" t="s">
        <v>447</v>
      </c>
      <c r="I396" s="46" t="s">
        <v>298</v>
      </c>
      <c r="J396" s="47" t="s">
        <v>293</v>
      </c>
      <c r="K396" s="48">
        <v>0.1</v>
      </c>
      <c r="L396" s="49">
        <f>VLOOKUP(H396,[4]Sheet2!K:P,6,0)</f>
        <v>2.5000000000000001E-4</v>
      </c>
      <c r="M396" s="50">
        <f>VLOOKUP(H396,[4]Sheet2!K:Q,7,0)</f>
        <v>6000</v>
      </c>
      <c r="N396" s="51"/>
      <c r="O396" s="51"/>
      <c r="P396" s="51"/>
      <c r="Q396" s="51"/>
      <c r="R396" s="51"/>
      <c r="S396" s="51"/>
      <c r="T396" s="51"/>
      <c r="U396" s="51"/>
      <c r="V396" s="52">
        <f>VLOOKUP(H396,[4]Sheet2!K:N,4,0)</f>
        <v>0</v>
      </c>
      <c r="W396" s="52">
        <f t="shared" si="344"/>
        <v>0</v>
      </c>
      <c r="X396" s="52">
        <f>VLOOKUP(H396,[4]Sheet2!K:N,4,0)</f>
        <v>0</v>
      </c>
      <c r="Y396" s="53">
        <f t="shared" si="360"/>
        <v>0</v>
      </c>
      <c r="Z396" s="53">
        <f t="shared" si="361"/>
        <v>0</v>
      </c>
      <c r="AA396" s="53">
        <f t="shared" si="362"/>
        <v>0</v>
      </c>
    </row>
    <row r="397" spans="1:27" ht="18.75" customHeight="1" outlineLevel="6" x14ac:dyDescent="0.3">
      <c r="B397" s="44"/>
      <c r="C397" s="18"/>
      <c r="D397" s="24"/>
      <c r="E397" s="29"/>
      <c r="F397" s="34"/>
      <c r="G397" s="39"/>
      <c r="H397" s="46" t="s">
        <v>448</v>
      </c>
      <c r="I397" s="46" t="s">
        <v>56</v>
      </c>
      <c r="J397" s="47" t="s">
        <v>293</v>
      </c>
      <c r="K397" s="48">
        <v>0.05</v>
      </c>
      <c r="L397" s="49">
        <f>VLOOKUP(H397,[4]Sheet2!K:P,6,0)</f>
        <v>1.25E-4</v>
      </c>
      <c r="M397" s="50">
        <f>VLOOKUP(H397,[4]Sheet2!K:Q,7,0)</f>
        <v>6000</v>
      </c>
      <c r="N397" s="51"/>
      <c r="O397" s="51"/>
      <c r="P397" s="51"/>
      <c r="Q397" s="51"/>
      <c r="R397" s="51"/>
      <c r="S397" s="51"/>
      <c r="T397" s="51"/>
      <c r="U397" s="51"/>
      <c r="V397" s="52">
        <f>VLOOKUP(H397,[4]Sheet2!K:N,4,0)</f>
        <v>0</v>
      </c>
      <c r="W397" s="52">
        <f t="shared" si="344"/>
        <v>0</v>
      </c>
      <c r="X397" s="52">
        <f>VLOOKUP(H397,[4]Sheet2!K:N,4,0)</f>
        <v>0</v>
      </c>
      <c r="Y397" s="53">
        <f t="shared" si="360"/>
        <v>0</v>
      </c>
      <c r="Z397" s="53">
        <f t="shared" si="361"/>
        <v>0</v>
      </c>
      <c r="AA397" s="53">
        <f t="shared" si="362"/>
        <v>0</v>
      </c>
    </row>
    <row r="398" spans="1:27" ht="18.75" customHeight="1" outlineLevel="5" x14ac:dyDescent="0.3">
      <c r="B398" s="12"/>
      <c r="C398" s="18"/>
      <c r="D398" s="24"/>
      <c r="E398" s="29"/>
      <c r="F398" s="34"/>
      <c r="G398" s="39" t="s">
        <v>449</v>
      </c>
      <c r="H398" s="58"/>
      <c r="I398" s="58"/>
      <c r="J398" s="58"/>
      <c r="K398" s="58"/>
      <c r="L398" s="41">
        <f>SUM(L399:L403)</f>
        <v>4.0000000000000001E-3</v>
      </c>
      <c r="M398" s="42">
        <f>M399</f>
        <v>14277</v>
      </c>
      <c r="N398" s="40"/>
      <c r="O398" s="40"/>
      <c r="P398" s="40"/>
      <c r="Q398" s="40"/>
      <c r="R398" s="40"/>
      <c r="S398" s="40"/>
      <c r="T398" s="40"/>
      <c r="U398" s="40"/>
      <c r="V398" s="62">
        <f t="shared" ref="V398:X398" si="363">SUMPRODUCT(V399:V403,$K399:$K403)</f>
        <v>0</v>
      </c>
      <c r="W398" s="62">
        <f t="shared" si="363"/>
        <v>0</v>
      </c>
      <c r="X398" s="62">
        <f t="shared" si="363"/>
        <v>0</v>
      </c>
      <c r="Y398" s="43">
        <f>SUMPRODUCT(Y399:Y403,$K399:$K403)</f>
        <v>0</v>
      </c>
      <c r="Z398" s="43">
        <f t="shared" ref="Z398:AA398" si="364">SUMPRODUCT(Z399:Z403,$K399:$K403)</f>
        <v>0</v>
      </c>
      <c r="AA398" s="43">
        <f t="shared" si="364"/>
        <v>0</v>
      </c>
    </row>
    <row r="399" spans="1:27" ht="18.75" customHeight="1" outlineLevel="6" x14ac:dyDescent="0.3">
      <c r="B399" s="44"/>
      <c r="C399" s="18"/>
      <c r="D399" s="24"/>
      <c r="E399" s="29"/>
      <c r="F399" s="34"/>
      <c r="G399" s="39"/>
      <c r="H399" s="46" t="s">
        <v>450</v>
      </c>
      <c r="I399" s="46" t="s">
        <v>45</v>
      </c>
      <c r="J399" s="47" t="s">
        <v>293</v>
      </c>
      <c r="K399" s="48">
        <v>0.1</v>
      </c>
      <c r="L399" s="49">
        <f>VLOOKUP(H399,[4]Sheet2!K:P,6,0)</f>
        <v>4.0000000000000002E-4</v>
      </c>
      <c r="M399" s="50">
        <f>VLOOKUP(H399,[4]Sheet2!K:Q,7,0)</f>
        <v>14277</v>
      </c>
      <c r="N399" s="51"/>
      <c r="O399" s="51"/>
      <c r="P399" s="51"/>
      <c r="Q399" s="51"/>
      <c r="R399" s="51"/>
      <c r="S399" s="51"/>
      <c r="T399" s="51"/>
      <c r="U399" s="51"/>
      <c r="V399" s="52">
        <f>VLOOKUP(H399,[4]Sheet2!K:N,4,0)</f>
        <v>0</v>
      </c>
      <c r="W399" s="52">
        <f t="shared" si="344"/>
        <v>0</v>
      </c>
      <c r="X399" s="52">
        <f>VLOOKUP(H399,[4]Sheet2!K:N,4,0)</f>
        <v>0</v>
      </c>
      <c r="Y399" s="53">
        <f t="shared" ref="Y399:Y403" si="365">IFERROR(V399/M399,1)</f>
        <v>0</v>
      </c>
      <c r="Z399" s="53">
        <f t="shared" ref="Z399:Z403" si="366">IFERROR(W399/M399,1)</f>
        <v>0</v>
      </c>
      <c r="AA399" s="53">
        <f t="shared" ref="AA399:AA403" si="367">IFERROR(X399/M399,1)</f>
        <v>0</v>
      </c>
    </row>
    <row r="400" spans="1:27" ht="18.75" customHeight="1" outlineLevel="6" x14ac:dyDescent="0.3">
      <c r="A400" s="1" t="s">
        <v>384</v>
      </c>
      <c r="B400" s="44"/>
      <c r="C400" s="18"/>
      <c r="D400" s="24"/>
      <c r="E400" s="29"/>
      <c r="F400" s="34"/>
      <c r="G400" s="39"/>
      <c r="H400" s="46" t="s">
        <v>451</v>
      </c>
      <c r="I400" s="46" t="s">
        <v>48</v>
      </c>
      <c r="J400" s="47" t="s">
        <v>293</v>
      </c>
      <c r="K400" s="48">
        <v>0.6</v>
      </c>
      <c r="L400" s="49">
        <f>VLOOKUP(H400,[4]Sheet2!K:P,6,0)</f>
        <v>2.4000000000000002E-3</v>
      </c>
      <c r="M400" s="50">
        <f>VLOOKUP(H400,[4]Sheet2!K:Q,7,0)</f>
        <v>14277</v>
      </c>
      <c r="N400" s="51"/>
      <c r="O400" s="51"/>
      <c r="P400" s="51"/>
      <c r="Q400" s="51"/>
      <c r="R400" s="51"/>
      <c r="S400" s="51"/>
      <c r="T400" s="51"/>
      <c r="U400" s="51"/>
      <c r="V400" s="52">
        <f>VLOOKUP(H400,[4]Sheet2!K:N,4,0)</f>
        <v>0</v>
      </c>
      <c r="W400" s="52">
        <f t="shared" si="344"/>
        <v>0</v>
      </c>
      <c r="X400" s="52">
        <f>VLOOKUP(H400,[4]Sheet2!K:N,4,0)</f>
        <v>0</v>
      </c>
      <c r="Y400" s="53">
        <f t="shared" si="365"/>
        <v>0</v>
      </c>
      <c r="Z400" s="53">
        <f t="shared" si="366"/>
        <v>0</v>
      </c>
      <c r="AA400" s="53">
        <f t="shared" si="367"/>
        <v>0</v>
      </c>
    </row>
    <row r="401" spans="1:27" ht="18.75" customHeight="1" outlineLevel="6" x14ac:dyDescent="0.3">
      <c r="B401" s="44"/>
      <c r="C401" s="18"/>
      <c r="D401" s="24"/>
      <c r="E401" s="29"/>
      <c r="F401" s="34"/>
      <c r="G401" s="39"/>
      <c r="H401" s="46" t="s">
        <v>452</v>
      </c>
      <c r="I401" s="46" t="s">
        <v>296</v>
      </c>
      <c r="J401" s="47" t="s">
        <v>293</v>
      </c>
      <c r="K401" s="48">
        <v>0.15</v>
      </c>
      <c r="L401" s="49">
        <f>VLOOKUP(H401,[4]Sheet2!K:P,6,0)</f>
        <v>6.0000000000000006E-4</v>
      </c>
      <c r="M401" s="50">
        <f>VLOOKUP(H401,[4]Sheet2!K:Q,7,0)</f>
        <v>14277</v>
      </c>
      <c r="N401" s="51"/>
      <c r="O401" s="51"/>
      <c r="P401" s="51"/>
      <c r="Q401" s="51"/>
      <c r="R401" s="51"/>
      <c r="S401" s="51"/>
      <c r="T401" s="51"/>
      <c r="U401" s="51"/>
      <c r="V401" s="52">
        <f>VLOOKUP(H401,[4]Sheet2!K:N,4,0)</f>
        <v>0</v>
      </c>
      <c r="W401" s="52">
        <f t="shared" si="344"/>
        <v>0</v>
      </c>
      <c r="X401" s="52">
        <f>VLOOKUP(H401,[4]Sheet2!K:N,4,0)</f>
        <v>0</v>
      </c>
      <c r="Y401" s="53">
        <f t="shared" si="365"/>
        <v>0</v>
      </c>
      <c r="Z401" s="53">
        <f t="shared" si="366"/>
        <v>0</v>
      </c>
      <c r="AA401" s="53">
        <f t="shared" si="367"/>
        <v>0</v>
      </c>
    </row>
    <row r="402" spans="1:27" ht="18.75" customHeight="1" outlineLevel="6" x14ac:dyDescent="0.3">
      <c r="B402" s="44"/>
      <c r="C402" s="18"/>
      <c r="D402" s="24"/>
      <c r="E402" s="29"/>
      <c r="F402" s="34"/>
      <c r="G402" s="39"/>
      <c r="H402" s="46" t="s">
        <v>453</v>
      </c>
      <c r="I402" s="46" t="s">
        <v>298</v>
      </c>
      <c r="J402" s="47" t="s">
        <v>293</v>
      </c>
      <c r="K402" s="48">
        <v>0.1</v>
      </c>
      <c r="L402" s="49">
        <f>VLOOKUP(H402,[4]Sheet2!K:P,6,0)</f>
        <v>4.0000000000000002E-4</v>
      </c>
      <c r="M402" s="50">
        <f>VLOOKUP(H402,[4]Sheet2!K:Q,7,0)</f>
        <v>14277</v>
      </c>
      <c r="N402" s="51"/>
      <c r="O402" s="51"/>
      <c r="P402" s="51"/>
      <c r="Q402" s="51"/>
      <c r="R402" s="51"/>
      <c r="S402" s="51"/>
      <c r="T402" s="51"/>
      <c r="U402" s="51"/>
      <c r="V402" s="52">
        <f>VLOOKUP(H402,[4]Sheet2!K:N,4,0)</f>
        <v>0</v>
      </c>
      <c r="W402" s="52">
        <f t="shared" si="344"/>
        <v>0</v>
      </c>
      <c r="X402" s="52">
        <f>VLOOKUP(H402,[4]Sheet2!K:N,4,0)</f>
        <v>0</v>
      </c>
      <c r="Y402" s="53">
        <f t="shared" si="365"/>
        <v>0</v>
      </c>
      <c r="Z402" s="53">
        <f t="shared" si="366"/>
        <v>0</v>
      </c>
      <c r="AA402" s="53">
        <f t="shared" si="367"/>
        <v>0</v>
      </c>
    </row>
    <row r="403" spans="1:27" ht="18.75" customHeight="1" outlineLevel="6" x14ac:dyDescent="0.3">
      <c r="B403" s="44"/>
      <c r="C403" s="18"/>
      <c r="D403" s="24"/>
      <c r="E403" s="29"/>
      <c r="F403" s="34"/>
      <c r="G403" s="39"/>
      <c r="H403" s="46" t="s">
        <v>454</v>
      </c>
      <c r="I403" s="46" t="s">
        <v>56</v>
      </c>
      <c r="J403" s="47" t="s">
        <v>293</v>
      </c>
      <c r="K403" s="48">
        <v>0.05</v>
      </c>
      <c r="L403" s="49">
        <f>VLOOKUP(H403,[4]Sheet2!K:P,6,0)</f>
        <v>2.0000000000000001E-4</v>
      </c>
      <c r="M403" s="50">
        <f>VLOOKUP(H403,[4]Sheet2!K:Q,7,0)</f>
        <v>14277</v>
      </c>
      <c r="N403" s="51"/>
      <c r="O403" s="51"/>
      <c r="P403" s="51"/>
      <c r="Q403" s="51"/>
      <c r="R403" s="51"/>
      <c r="S403" s="51"/>
      <c r="T403" s="51"/>
      <c r="U403" s="51"/>
      <c r="V403" s="52">
        <f>VLOOKUP(H403,[4]Sheet2!K:N,4,0)</f>
        <v>0</v>
      </c>
      <c r="W403" s="52">
        <f t="shared" si="344"/>
        <v>0</v>
      </c>
      <c r="X403" s="52">
        <f>VLOOKUP(H403,[4]Sheet2!K:N,4,0)</f>
        <v>0</v>
      </c>
      <c r="Y403" s="53">
        <f t="shared" si="365"/>
        <v>0</v>
      </c>
      <c r="Z403" s="53">
        <f t="shared" si="366"/>
        <v>0</v>
      </c>
      <c r="AA403" s="53">
        <f t="shared" si="367"/>
        <v>0</v>
      </c>
    </row>
    <row r="404" spans="1:27" ht="18.75" customHeight="1" outlineLevel="3" x14ac:dyDescent="0.3">
      <c r="B404" s="12"/>
      <c r="C404" s="18"/>
      <c r="D404" s="24"/>
      <c r="E404" s="29" t="s">
        <v>455</v>
      </c>
      <c r="F404" s="29"/>
      <c r="G404" s="29"/>
      <c r="H404" s="56"/>
      <c r="I404" s="56"/>
      <c r="J404" s="56"/>
      <c r="K404" s="56"/>
      <c r="L404" s="31">
        <f>L405</f>
        <v>0.11815000000000001</v>
      </c>
      <c r="M404" s="32">
        <f>M405</f>
        <v>333983.55000000005</v>
      </c>
      <c r="N404" s="30"/>
      <c r="O404" s="30"/>
      <c r="P404" s="30"/>
      <c r="Q404" s="30"/>
      <c r="R404" s="30"/>
      <c r="S404" s="30"/>
      <c r="T404" s="30"/>
      <c r="U404" s="30"/>
      <c r="V404" s="63">
        <f t="shared" ref="V404:AA404" si="368">V405</f>
        <v>332763.41000000003</v>
      </c>
      <c r="W404" s="63">
        <f t="shared" si="368"/>
        <v>0</v>
      </c>
      <c r="X404" s="63">
        <f t="shared" si="368"/>
        <v>332763.41000000003</v>
      </c>
      <c r="Y404" s="33">
        <f t="shared" si="368"/>
        <v>0.91282268303004666</v>
      </c>
      <c r="Z404" s="33">
        <f t="shared" si="368"/>
        <v>0</v>
      </c>
      <c r="AA404" s="33">
        <f t="shared" si="368"/>
        <v>0.91282268303004666</v>
      </c>
    </row>
    <row r="405" spans="1:27" ht="18.75" customHeight="1" outlineLevel="4" x14ac:dyDescent="0.3">
      <c r="B405" s="12"/>
      <c r="C405" s="18"/>
      <c r="D405" s="24"/>
      <c r="E405" s="29"/>
      <c r="F405" s="34" t="s">
        <v>456</v>
      </c>
      <c r="G405" s="34"/>
      <c r="H405" s="57"/>
      <c r="I405" s="57"/>
      <c r="J405" s="57"/>
      <c r="K405" s="57"/>
      <c r="L405" s="36">
        <f>L406+L413+L420+L427+L434+L441+L448+L455+L462+L469+L476</f>
        <v>0.11815000000000001</v>
      </c>
      <c r="M405" s="37">
        <f>M406+M413+M420+M427+M434+M441+M448+M455+M462+M469+M476</f>
        <v>333983.55000000005</v>
      </c>
      <c r="N405" s="35"/>
      <c r="O405" s="35"/>
      <c r="P405" s="35"/>
      <c r="Q405" s="35"/>
      <c r="R405" s="35"/>
      <c r="S405" s="35"/>
      <c r="T405" s="35"/>
      <c r="U405" s="35"/>
      <c r="V405" s="61">
        <f>V406+V413+V420+V427+V434+V441+V448+V455+V462+V469+V476</f>
        <v>332763.41000000003</v>
      </c>
      <c r="W405" s="61">
        <f t="shared" ref="W405" si="369">(W406*$L406+W413*$L413+W420*$L420+W427*$L427+W434*$L434+W441*$L441+W448*$L448+W455*$L455+W462*$L462+W469*$L469+W476*$L476)/$L405</f>
        <v>0</v>
      </c>
      <c r="X405" s="61">
        <f>X406+X413+X420+X427+X434+X441+X448+X455+X462+X469+X476</f>
        <v>332763.41000000003</v>
      </c>
      <c r="Y405" s="59">
        <f>(Y406*$L406+Y413*$L413+Y420*$L420+Y427*$L427+Y434*$L434+Y441*$L441+Y448*$L448+Y455*$L455+Y462*$L462+Y469*$L469+Y476*$L476)/$L405</f>
        <v>0.91282268303004666</v>
      </c>
      <c r="Z405" s="59">
        <f t="shared" ref="Z405" si="370">(Z406*$L406+Z413*$L413+Z420*$L420+Z427*$L427+Z434*$L434+Z441*$L441+Z448*$L448+Z455*$L455+Z462*$L462+Z469*$L469+Z476*$L476)/$L405</f>
        <v>0</v>
      </c>
      <c r="AA405" s="59">
        <f>(AA406*$L406+AA413*$L413+AA420*$L420+AA427*$L427+AA434*$L434+AA441*$L441+AA448*$L448+AA455*$L455+AA462*$L462+AA469*$L469+AA476*$L476)/$L405</f>
        <v>0.91282268303004666</v>
      </c>
    </row>
    <row r="406" spans="1:27" ht="18.75" customHeight="1" outlineLevel="5" x14ac:dyDescent="0.3">
      <c r="B406" s="12"/>
      <c r="C406" s="18"/>
      <c r="D406" s="24"/>
      <c r="E406" s="29"/>
      <c r="F406" s="34"/>
      <c r="G406" s="39" t="s">
        <v>457</v>
      </c>
      <c r="H406" s="58"/>
      <c r="I406" s="58"/>
      <c r="J406" s="58"/>
      <c r="K406" s="58"/>
      <c r="L406" s="41">
        <f>SUM(L407:L412)</f>
        <v>0.01</v>
      </c>
      <c r="M406" s="42">
        <f>M407</f>
        <v>20576</v>
      </c>
      <c r="N406" s="40"/>
      <c r="O406" s="40"/>
      <c r="P406" s="40"/>
      <c r="Q406" s="40"/>
      <c r="R406" s="40"/>
      <c r="S406" s="40"/>
      <c r="T406" s="40"/>
      <c r="U406" s="40"/>
      <c r="V406" s="62">
        <f t="shared" ref="V406:X406" si="371">V407</f>
        <v>20576</v>
      </c>
      <c r="W406" s="62">
        <f t="shared" si="371"/>
        <v>0</v>
      </c>
      <c r="X406" s="62">
        <f t="shared" si="371"/>
        <v>20576</v>
      </c>
      <c r="Y406" s="43">
        <f>SUMPRODUCT(Y407:Y412,$K407:$K412)</f>
        <v>1</v>
      </c>
      <c r="Z406" s="43">
        <f t="shared" ref="Z406" si="372">Z407</f>
        <v>0</v>
      </c>
      <c r="AA406" s="43">
        <f>SUMPRODUCT(AA407:AA412,$K407:$K412)</f>
        <v>1</v>
      </c>
    </row>
    <row r="407" spans="1:27" ht="18.75" customHeight="1" outlineLevel="6" x14ac:dyDescent="0.3">
      <c r="B407" s="44"/>
      <c r="C407" s="18"/>
      <c r="D407" s="24"/>
      <c r="E407" s="29"/>
      <c r="F407" s="34"/>
      <c r="G407" s="39"/>
      <c r="H407" s="46" t="s">
        <v>458</v>
      </c>
      <c r="I407" s="46" t="s">
        <v>45</v>
      </c>
      <c r="J407" s="47" t="s">
        <v>30</v>
      </c>
      <c r="K407" s="48">
        <v>0.1</v>
      </c>
      <c r="L407" s="49">
        <f>VLOOKUP(H407,[4]Sheet2!K:P,6,0)</f>
        <v>1E-3</v>
      </c>
      <c r="M407" s="50">
        <f>VLOOKUP(H407,[4]Sheet2!K:Q,7,0)</f>
        <v>20576</v>
      </c>
      <c r="N407" s="51"/>
      <c r="O407" s="51"/>
      <c r="P407" s="51"/>
      <c r="Q407" s="51"/>
      <c r="R407" s="51"/>
      <c r="S407" s="51"/>
      <c r="T407" s="51"/>
      <c r="U407" s="51"/>
      <c r="V407" s="52">
        <f>VLOOKUP(H407,[4]Sheet2!K:N,4,0)</f>
        <v>20576</v>
      </c>
      <c r="W407" s="52">
        <f t="shared" ref="W407:W412" si="373">X407-V407</f>
        <v>0</v>
      </c>
      <c r="X407" s="52">
        <f>VLOOKUP(H407,[4]Sheet2!K:N,4,0)</f>
        <v>20576</v>
      </c>
      <c r="Y407" s="53">
        <f t="shared" ref="Y407:Y412" si="374">IFERROR(V407/M407,1)</f>
        <v>1</v>
      </c>
      <c r="Z407" s="53">
        <f t="shared" ref="Z407:Z412" si="375">IFERROR(W407/M407,1)</f>
        <v>0</v>
      </c>
      <c r="AA407" s="53">
        <f t="shared" ref="AA407:AA412" si="376">IFERROR(X407/M407,1)</f>
        <v>1</v>
      </c>
    </row>
    <row r="408" spans="1:27" ht="18.75" customHeight="1" outlineLevel="6" x14ac:dyDescent="0.3">
      <c r="B408" s="44"/>
      <c r="C408" s="18"/>
      <c r="D408" s="24"/>
      <c r="E408" s="29"/>
      <c r="F408" s="34"/>
      <c r="G408" s="39"/>
      <c r="H408" s="46" t="s">
        <v>459</v>
      </c>
      <c r="I408" s="46" t="s">
        <v>460</v>
      </c>
      <c r="J408" s="47" t="s">
        <v>30</v>
      </c>
      <c r="K408" s="48">
        <v>0.05</v>
      </c>
      <c r="L408" s="49">
        <f>VLOOKUP(H408,[4]Sheet2!K:P,6,0)</f>
        <v>5.0000000000000001E-4</v>
      </c>
      <c r="M408" s="50">
        <f>VLOOKUP(H408,[4]Sheet2!K:Q,7,0)</f>
        <v>20576</v>
      </c>
      <c r="N408" s="51"/>
      <c r="O408" s="51"/>
      <c r="P408" s="51"/>
      <c r="Q408" s="51"/>
      <c r="R408" s="51"/>
      <c r="S408" s="51"/>
      <c r="T408" s="51"/>
      <c r="U408" s="51"/>
      <c r="V408" s="52">
        <f>VLOOKUP(H408,[4]Sheet2!K:N,4,0)</f>
        <v>20576</v>
      </c>
      <c r="W408" s="52">
        <f t="shared" si="373"/>
        <v>0</v>
      </c>
      <c r="X408" s="52">
        <f>VLOOKUP(H408,[4]Sheet2!K:N,4,0)</f>
        <v>20576</v>
      </c>
      <c r="Y408" s="53">
        <f t="shared" si="374"/>
        <v>1</v>
      </c>
      <c r="Z408" s="53">
        <f t="shared" si="375"/>
        <v>0</v>
      </c>
      <c r="AA408" s="53">
        <f t="shared" si="376"/>
        <v>1</v>
      </c>
    </row>
    <row r="409" spans="1:27" ht="18.75" customHeight="1" outlineLevel="6" x14ac:dyDescent="0.3">
      <c r="A409" s="1" t="s">
        <v>461</v>
      </c>
      <c r="B409" s="44"/>
      <c r="C409" s="18"/>
      <c r="D409" s="24"/>
      <c r="E409" s="29"/>
      <c r="F409" s="34"/>
      <c r="G409" s="39"/>
      <c r="H409" s="46" t="s">
        <v>462</v>
      </c>
      <c r="I409" s="46" t="s">
        <v>48</v>
      </c>
      <c r="J409" s="47" t="s">
        <v>30</v>
      </c>
      <c r="K409" s="48">
        <v>0.6</v>
      </c>
      <c r="L409" s="49">
        <f>VLOOKUP(H409,[4]Sheet2!K:P,6,0)</f>
        <v>6.0000000000000001E-3</v>
      </c>
      <c r="M409" s="50">
        <f>VLOOKUP(H409,[4]Sheet2!K:Q,7,0)</f>
        <v>20576</v>
      </c>
      <c r="N409" s="51"/>
      <c r="O409" s="51"/>
      <c r="P409" s="51"/>
      <c r="Q409" s="51"/>
      <c r="R409" s="51"/>
      <c r="S409" s="51"/>
      <c r="T409" s="51"/>
      <c r="U409" s="51"/>
      <c r="V409" s="52">
        <f>VLOOKUP(H409,[4]Sheet2!K:N,4,0)</f>
        <v>20576</v>
      </c>
      <c r="W409" s="52">
        <f t="shared" si="373"/>
        <v>0</v>
      </c>
      <c r="X409" s="52">
        <f>VLOOKUP(H409,[4]Sheet2!K:N,4,0)</f>
        <v>20576</v>
      </c>
      <c r="Y409" s="53">
        <f t="shared" si="374"/>
        <v>1</v>
      </c>
      <c r="Z409" s="53">
        <f t="shared" si="375"/>
        <v>0</v>
      </c>
      <c r="AA409" s="53">
        <f t="shared" si="376"/>
        <v>1</v>
      </c>
    </row>
    <row r="410" spans="1:27" ht="18.75" customHeight="1" outlineLevel="6" x14ac:dyDescent="0.3">
      <c r="B410" s="44"/>
      <c r="C410" s="18"/>
      <c r="D410" s="24"/>
      <c r="E410" s="29"/>
      <c r="F410" s="34"/>
      <c r="G410" s="39"/>
      <c r="H410" s="46" t="s">
        <v>463</v>
      </c>
      <c r="I410" s="46" t="s">
        <v>464</v>
      </c>
      <c r="J410" s="47" t="s">
        <v>30</v>
      </c>
      <c r="K410" s="48">
        <v>0.15</v>
      </c>
      <c r="L410" s="49">
        <f>VLOOKUP(H410,[4]Sheet2!K:P,6,0)</f>
        <v>1.5E-3</v>
      </c>
      <c r="M410" s="50">
        <f>VLOOKUP(H410,[4]Sheet2!K:Q,7,0)</f>
        <v>20576</v>
      </c>
      <c r="N410" s="51"/>
      <c r="O410" s="51"/>
      <c r="P410" s="51"/>
      <c r="Q410" s="51"/>
      <c r="R410" s="51"/>
      <c r="S410" s="51"/>
      <c r="T410" s="51"/>
      <c r="U410" s="51"/>
      <c r="V410" s="52">
        <f>VLOOKUP(H410,[4]Sheet2!K:N,4,0)</f>
        <v>20576</v>
      </c>
      <c r="W410" s="52">
        <f t="shared" si="373"/>
        <v>0</v>
      </c>
      <c r="X410" s="52">
        <f>VLOOKUP(H410,[4]Sheet2!K:N,4,0)</f>
        <v>20576</v>
      </c>
      <c r="Y410" s="53">
        <f t="shared" si="374"/>
        <v>1</v>
      </c>
      <c r="Z410" s="53">
        <f t="shared" si="375"/>
        <v>0</v>
      </c>
      <c r="AA410" s="53">
        <f t="shared" si="376"/>
        <v>1</v>
      </c>
    </row>
    <row r="411" spans="1:27" ht="18.75" customHeight="1" outlineLevel="6" x14ac:dyDescent="0.3">
      <c r="B411" s="44"/>
      <c r="C411" s="18"/>
      <c r="D411" s="24"/>
      <c r="E411" s="29"/>
      <c r="F411" s="34"/>
      <c r="G411" s="39"/>
      <c r="H411" s="46" t="s">
        <v>465</v>
      </c>
      <c r="I411" s="46" t="s">
        <v>466</v>
      </c>
      <c r="J411" s="47" t="s">
        <v>30</v>
      </c>
      <c r="K411" s="48">
        <v>0.05</v>
      </c>
      <c r="L411" s="49">
        <f>VLOOKUP(H411,[4]Sheet2!K:P,6,0)</f>
        <v>5.0000000000000001E-4</v>
      </c>
      <c r="M411" s="50">
        <f>VLOOKUP(H411,[4]Sheet2!K:Q,7,0)</f>
        <v>20576</v>
      </c>
      <c r="N411" s="51"/>
      <c r="O411" s="51"/>
      <c r="P411" s="51"/>
      <c r="Q411" s="51"/>
      <c r="R411" s="51"/>
      <c r="S411" s="51"/>
      <c r="T411" s="51"/>
      <c r="U411" s="51"/>
      <c r="V411" s="52">
        <f>VLOOKUP(H411,[4]Sheet2!K:N,4,0)</f>
        <v>20576</v>
      </c>
      <c r="W411" s="52">
        <f t="shared" si="373"/>
        <v>0</v>
      </c>
      <c r="X411" s="52">
        <f>VLOOKUP(H411,[4]Sheet2!K:N,4,0)</f>
        <v>20576</v>
      </c>
      <c r="Y411" s="53">
        <f t="shared" si="374"/>
        <v>1</v>
      </c>
      <c r="Z411" s="53">
        <f t="shared" si="375"/>
        <v>0</v>
      </c>
      <c r="AA411" s="53">
        <f t="shared" si="376"/>
        <v>1</v>
      </c>
    </row>
    <row r="412" spans="1:27" ht="18.75" customHeight="1" outlineLevel="6" x14ac:dyDescent="0.3">
      <c r="B412" s="44"/>
      <c r="C412" s="18"/>
      <c r="D412" s="24"/>
      <c r="E412" s="29"/>
      <c r="F412" s="34"/>
      <c r="G412" s="39"/>
      <c r="H412" s="46" t="s">
        <v>467</v>
      </c>
      <c r="I412" s="46" t="s">
        <v>56</v>
      </c>
      <c r="J412" s="47" t="s">
        <v>30</v>
      </c>
      <c r="K412" s="48">
        <v>0.05</v>
      </c>
      <c r="L412" s="49">
        <f>VLOOKUP(H412,[4]Sheet2!K:P,6,0)</f>
        <v>5.0000000000000001E-4</v>
      </c>
      <c r="M412" s="50">
        <f>VLOOKUP(H412,[4]Sheet2!K:Q,7,0)</f>
        <v>20576</v>
      </c>
      <c r="N412" s="51"/>
      <c r="O412" s="51"/>
      <c r="P412" s="51"/>
      <c r="Q412" s="51"/>
      <c r="R412" s="51"/>
      <c r="S412" s="51"/>
      <c r="T412" s="51"/>
      <c r="U412" s="51"/>
      <c r="V412" s="52">
        <f>VLOOKUP(H412,[4]Sheet2!K:N,4,0)</f>
        <v>20576</v>
      </c>
      <c r="W412" s="52">
        <f t="shared" si="373"/>
        <v>0</v>
      </c>
      <c r="X412" s="52">
        <f>VLOOKUP(H412,[4]Sheet2!K:N,4,0)</f>
        <v>20576</v>
      </c>
      <c r="Y412" s="53">
        <f t="shared" si="374"/>
        <v>1</v>
      </c>
      <c r="Z412" s="53">
        <f t="shared" si="375"/>
        <v>0</v>
      </c>
      <c r="AA412" s="53">
        <f t="shared" si="376"/>
        <v>1</v>
      </c>
    </row>
    <row r="413" spans="1:27" ht="18.75" customHeight="1" outlineLevel="5" x14ac:dyDescent="0.3">
      <c r="B413" s="12"/>
      <c r="C413" s="18"/>
      <c r="D413" s="24"/>
      <c r="E413" s="29"/>
      <c r="F413" s="34"/>
      <c r="G413" s="39" t="s">
        <v>468</v>
      </c>
      <c r="H413" s="58"/>
      <c r="I413" s="58"/>
      <c r="J413" s="58"/>
      <c r="K413" s="58"/>
      <c r="L413" s="41">
        <f>SUM(L414:L419)</f>
        <v>3.5150000000000008E-2</v>
      </c>
      <c r="M413" s="42">
        <f>M414</f>
        <v>202745.25</v>
      </c>
      <c r="N413" s="40"/>
      <c r="O413" s="40"/>
      <c r="P413" s="40"/>
      <c r="Q413" s="40"/>
      <c r="R413" s="40"/>
      <c r="S413" s="40"/>
      <c r="T413" s="40"/>
      <c r="U413" s="40"/>
      <c r="V413" s="62">
        <f t="shared" ref="V413:X413" si="377">V414</f>
        <v>202745.25</v>
      </c>
      <c r="W413" s="62">
        <f t="shared" si="377"/>
        <v>0</v>
      </c>
      <c r="X413" s="62">
        <f t="shared" si="377"/>
        <v>202745.25</v>
      </c>
      <c r="Y413" s="43">
        <f>SUMPRODUCT(Y414:Y419,$K414:$K419)</f>
        <v>1</v>
      </c>
      <c r="Z413" s="43">
        <f t="shared" ref="Z413" si="378">Z414</f>
        <v>0</v>
      </c>
      <c r="AA413" s="43">
        <f>SUMPRODUCT(AA414:AA419,$K414:$K419)</f>
        <v>1</v>
      </c>
    </row>
    <row r="414" spans="1:27" ht="18.75" customHeight="1" outlineLevel="6" x14ac:dyDescent="0.3">
      <c r="B414" s="44"/>
      <c r="C414" s="18"/>
      <c r="D414" s="24"/>
      <c r="E414" s="29"/>
      <c r="F414" s="34"/>
      <c r="G414" s="39"/>
      <c r="H414" s="46" t="s">
        <v>469</v>
      </c>
      <c r="I414" s="46" t="s">
        <v>45</v>
      </c>
      <c r="J414" s="47" t="s">
        <v>30</v>
      </c>
      <c r="K414" s="48">
        <v>0.1</v>
      </c>
      <c r="L414" s="49">
        <f>VLOOKUP(H414,[4]Sheet2!K:P,6,0)</f>
        <v>3.5149999999999999E-3</v>
      </c>
      <c r="M414" s="50">
        <f>VLOOKUP(H414,[4]Sheet2!K:Q,7,0)</f>
        <v>202745.25</v>
      </c>
      <c r="N414" s="51"/>
      <c r="O414" s="51"/>
      <c r="P414" s="51"/>
      <c r="Q414" s="51"/>
      <c r="R414" s="51"/>
      <c r="S414" s="51"/>
      <c r="T414" s="51"/>
      <c r="U414" s="51"/>
      <c r="V414" s="52">
        <f>VLOOKUP(H414,[4]Sheet2!K:N,4,0)</f>
        <v>202745.25</v>
      </c>
      <c r="W414" s="52">
        <f t="shared" ref="W414:W419" si="379">X414-V414</f>
        <v>0</v>
      </c>
      <c r="X414" s="52">
        <f>VLOOKUP(H414,[4]Sheet2!K:N,4,0)</f>
        <v>202745.25</v>
      </c>
      <c r="Y414" s="53">
        <f t="shared" ref="Y414:Y419" si="380">IFERROR(V414/M414,1)</f>
        <v>1</v>
      </c>
      <c r="Z414" s="53">
        <f t="shared" ref="Z414:Z419" si="381">IFERROR(W414/M414,1)</f>
        <v>0</v>
      </c>
      <c r="AA414" s="53">
        <f t="shared" ref="AA414:AA419" si="382">IFERROR(X414/M414,1)</f>
        <v>1</v>
      </c>
    </row>
    <row r="415" spans="1:27" ht="18.75" customHeight="1" outlineLevel="6" x14ac:dyDescent="0.3">
      <c r="B415" s="44"/>
      <c r="C415" s="18"/>
      <c r="D415" s="24"/>
      <c r="E415" s="29"/>
      <c r="F415" s="34"/>
      <c r="G415" s="39"/>
      <c r="H415" s="46" t="s">
        <v>470</v>
      </c>
      <c r="I415" s="46" t="s">
        <v>460</v>
      </c>
      <c r="J415" s="47" t="s">
        <v>30</v>
      </c>
      <c r="K415" s="48">
        <v>0.05</v>
      </c>
      <c r="L415" s="49">
        <f>VLOOKUP(H415,[4]Sheet2!K:P,6,0)</f>
        <v>1.7574999999999999E-3</v>
      </c>
      <c r="M415" s="50">
        <f>VLOOKUP(H415,[4]Sheet2!K:Q,7,0)</f>
        <v>202745.25</v>
      </c>
      <c r="N415" s="51"/>
      <c r="O415" s="51"/>
      <c r="P415" s="51"/>
      <c r="Q415" s="51"/>
      <c r="R415" s="51"/>
      <c r="S415" s="51"/>
      <c r="T415" s="51"/>
      <c r="U415" s="51"/>
      <c r="V415" s="52">
        <f>VLOOKUP(H415,[4]Sheet2!K:N,4,0)</f>
        <v>202745.25</v>
      </c>
      <c r="W415" s="52">
        <f t="shared" si="379"/>
        <v>0</v>
      </c>
      <c r="X415" s="52">
        <f>VLOOKUP(H415,[4]Sheet2!K:N,4,0)</f>
        <v>202745.25</v>
      </c>
      <c r="Y415" s="53">
        <f t="shared" si="380"/>
        <v>1</v>
      </c>
      <c r="Z415" s="53">
        <f t="shared" si="381"/>
        <v>0</v>
      </c>
      <c r="AA415" s="53">
        <f t="shared" si="382"/>
        <v>1</v>
      </c>
    </row>
    <row r="416" spans="1:27" ht="18.75" customHeight="1" outlineLevel="6" x14ac:dyDescent="0.3">
      <c r="A416" s="1" t="s">
        <v>461</v>
      </c>
      <c r="B416" s="44"/>
      <c r="C416" s="18"/>
      <c r="D416" s="24"/>
      <c r="E416" s="29"/>
      <c r="F416" s="34"/>
      <c r="G416" s="39"/>
      <c r="H416" s="46" t="s">
        <v>471</v>
      </c>
      <c r="I416" s="46" t="s">
        <v>48</v>
      </c>
      <c r="J416" s="47" t="s">
        <v>30</v>
      </c>
      <c r="K416" s="48">
        <v>0.6</v>
      </c>
      <c r="L416" s="49">
        <f>VLOOKUP(H416,[4]Sheet2!K:P,6,0)</f>
        <v>2.1090000000000001E-2</v>
      </c>
      <c r="M416" s="50">
        <f>VLOOKUP(H416,[4]Sheet2!K:Q,7,0)</f>
        <v>202745.25</v>
      </c>
      <c r="N416" s="51"/>
      <c r="O416" s="51"/>
      <c r="P416" s="51"/>
      <c r="Q416" s="51"/>
      <c r="R416" s="51"/>
      <c r="S416" s="51"/>
      <c r="T416" s="51"/>
      <c r="U416" s="51"/>
      <c r="V416" s="52">
        <f>VLOOKUP(H416,[4]Sheet2!K:N,4,0)</f>
        <v>202745.25</v>
      </c>
      <c r="W416" s="52">
        <f t="shared" si="379"/>
        <v>0</v>
      </c>
      <c r="X416" s="52">
        <f>VLOOKUP(H416,[4]Sheet2!K:N,4,0)</f>
        <v>202745.25</v>
      </c>
      <c r="Y416" s="53">
        <f t="shared" si="380"/>
        <v>1</v>
      </c>
      <c r="Z416" s="53">
        <f t="shared" si="381"/>
        <v>0</v>
      </c>
      <c r="AA416" s="53">
        <f t="shared" si="382"/>
        <v>1</v>
      </c>
    </row>
    <row r="417" spans="1:27" ht="18.75" customHeight="1" outlineLevel="6" x14ac:dyDescent="0.3">
      <c r="B417" s="44"/>
      <c r="C417" s="18"/>
      <c r="D417" s="24"/>
      <c r="E417" s="29"/>
      <c r="F417" s="34"/>
      <c r="G417" s="39"/>
      <c r="H417" s="46" t="s">
        <v>472</v>
      </c>
      <c r="I417" s="46" t="s">
        <v>464</v>
      </c>
      <c r="J417" s="47" t="s">
        <v>30</v>
      </c>
      <c r="K417" s="48">
        <v>0.15</v>
      </c>
      <c r="L417" s="49">
        <f>VLOOKUP(H417,[4]Sheet2!K:P,6,0)</f>
        <v>5.2725000000000003E-3</v>
      </c>
      <c r="M417" s="50">
        <f>VLOOKUP(H417,[4]Sheet2!K:Q,7,0)</f>
        <v>202745.25</v>
      </c>
      <c r="N417" s="51"/>
      <c r="O417" s="51"/>
      <c r="P417" s="51"/>
      <c r="Q417" s="51"/>
      <c r="R417" s="51"/>
      <c r="S417" s="51"/>
      <c r="T417" s="51"/>
      <c r="U417" s="51"/>
      <c r="V417" s="52">
        <f>VLOOKUP(H417,[4]Sheet2!K:N,4,0)</f>
        <v>202745.25</v>
      </c>
      <c r="W417" s="52">
        <f t="shared" si="379"/>
        <v>0</v>
      </c>
      <c r="X417" s="52">
        <f>VLOOKUP(H417,[4]Sheet2!K:N,4,0)</f>
        <v>202745.25</v>
      </c>
      <c r="Y417" s="53">
        <f t="shared" si="380"/>
        <v>1</v>
      </c>
      <c r="Z417" s="53">
        <f t="shared" si="381"/>
        <v>0</v>
      </c>
      <c r="AA417" s="53">
        <f t="shared" si="382"/>
        <v>1</v>
      </c>
    </row>
    <row r="418" spans="1:27" ht="18.75" customHeight="1" outlineLevel="6" x14ac:dyDescent="0.3">
      <c r="B418" s="44"/>
      <c r="C418" s="18"/>
      <c r="D418" s="24"/>
      <c r="E418" s="29"/>
      <c r="F418" s="34"/>
      <c r="G418" s="39"/>
      <c r="H418" s="46" t="s">
        <v>473</v>
      </c>
      <c r="I418" s="46" t="s">
        <v>466</v>
      </c>
      <c r="J418" s="47" t="s">
        <v>30</v>
      </c>
      <c r="K418" s="48">
        <v>0.05</v>
      </c>
      <c r="L418" s="49">
        <f>VLOOKUP(H418,[4]Sheet2!K:P,6,0)</f>
        <v>1.7574999999999999E-3</v>
      </c>
      <c r="M418" s="50">
        <f>VLOOKUP(H418,[4]Sheet2!K:Q,7,0)</f>
        <v>202745.25</v>
      </c>
      <c r="N418" s="51"/>
      <c r="O418" s="51"/>
      <c r="P418" s="51"/>
      <c r="Q418" s="51"/>
      <c r="R418" s="51"/>
      <c r="S418" s="51"/>
      <c r="T418" s="51"/>
      <c r="U418" s="51"/>
      <c r="V418" s="52">
        <f>VLOOKUP(H418,[4]Sheet2!K:N,4,0)</f>
        <v>202745.25</v>
      </c>
      <c r="W418" s="52">
        <f t="shared" si="379"/>
        <v>0</v>
      </c>
      <c r="X418" s="52">
        <f>VLOOKUP(H418,[4]Sheet2!K:N,4,0)</f>
        <v>202745.25</v>
      </c>
      <c r="Y418" s="53">
        <f t="shared" si="380"/>
        <v>1</v>
      </c>
      <c r="Z418" s="53">
        <f t="shared" si="381"/>
        <v>0</v>
      </c>
      <c r="AA418" s="53">
        <f t="shared" si="382"/>
        <v>1</v>
      </c>
    </row>
    <row r="419" spans="1:27" ht="18.75" customHeight="1" outlineLevel="6" x14ac:dyDescent="0.3">
      <c r="B419" s="44"/>
      <c r="C419" s="18"/>
      <c r="D419" s="24"/>
      <c r="E419" s="29"/>
      <c r="F419" s="34"/>
      <c r="G419" s="39"/>
      <c r="H419" s="46" t="s">
        <v>474</v>
      </c>
      <c r="I419" s="46" t="s">
        <v>56</v>
      </c>
      <c r="J419" s="47" t="s">
        <v>30</v>
      </c>
      <c r="K419" s="48">
        <v>0.05</v>
      </c>
      <c r="L419" s="49">
        <f>VLOOKUP(H419,[4]Sheet2!K:P,6,0)</f>
        <v>1.7574999999999999E-3</v>
      </c>
      <c r="M419" s="50">
        <f>VLOOKUP(H419,[4]Sheet2!K:Q,7,0)</f>
        <v>202745.25</v>
      </c>
      <c r="N419" s="51"/>
      <c r="O419" s="51"/>
      <c r="P419" s="51"/>
      <c r="Q419" s="51"/>
      <c r="R419" s="51"/>
      <c r="S419" s="51"/>
      <c r="T419" s="51"/>
      <c r="U419" s="51"/>
      <c r="V419" s="52">
        <f>VLOOKUP(H419,[4]Sheet2!K:N,4,0)</f>
        <v>202745.25</v>
      </c>
      <c r="W419" s="52">
        <f t="shared" si="379"/>
        <v>0</v>
      </c>
      <c r="X419" s="52">
        <f>VLOOKUP(H419,[4]Sheet2!K:N,4,0)</f>
        <v>202745.25</v>
      </c>
      <c r="Y419" s="53">
        <f t="shared" si="380"/>
        <v>1</v>
      </c>
      <c r="Z419" s="53">
        <f t="shared" si="381"/>
        <v>0</v>
      </c>
      <c r="AA419" s="53">
        <f t="shared" si="382"/>
        <v>1</v>
      </c>
    </row>
    <row r="420" spans="1:27" ht="18.75" customHeight="1" outlineLevel="5" x14ac:dyDescent="0.3">
      <c r="B420" s="12"/>
      <c r="C420" s="18"/>
      <c r="D420" s="24"/>
      <c r="E420" s="29"/>
      <c r="F420" s="34"/>
      <c r="G420" s="39" t="s">
        <v>475</v>
      </c>
      <c r="H420" s="58"/>
      <c r="I420" s="58"/>
      <c r="J420" s="58"/>
      <c r="K420" s="58"/>
      <c r="L420" s="41">
        <f>SUM(L421:L426)</f>
        <v>5.9999999999999993E-3</v>
      </c>
      <c r="M420" s="42">
        <f>M421</f>
        <v>20385.38</v>
      </c>
      <c r="N420" s="40"/>
      <c r="O420" s="40"/>
      <c r="P420" s="40"/>
      <c r="Q420" s="40"/>
      <c r="R420" s="40"/>
      <c r="S420" s="40"/>
      <c r="T420" s="40"/>
      <c r="U420" s="40"/>
      <c r="V420" s="62">
        <f t="shared" ref="V420:X420" si="383">V421</f>
        <v>20385.38</v>
      </c>
      <c r="W420" s="62">
        <f t="shared" si="383"/>
        <v>0</v>
      </c>
      <c r="X420" s="62">
        <f t="shared" si="383"/>
        <v>20385.38</v>
      </c>
      <c r="Y420" s="43">
        <f>SUMPRODUCT(Y421:Y426,$K421:$K426)</f>
        <v>0.95000000000000007</v>
      </c>
      <c r="Z420" s="43">
        <f t="shared" ref="Z420" si="384">Z421</f>
        <v>0</v>
      </c>
      <c r="AA420" s="43">
        <f>SUMPRODUCT(AA421:AA426,$K421:$K426)</f>
        <v>0.95000000000000007</v>
      </c>
    </row>
    <row r="421" spans="1:27" ht="18.75" customHeight="1" outlineLevel="6" x14ac:dyDescent="0.3">
      <c r="B421" s="44"/>
      <c r="C421" s="18"/>
      <c r="D421" s="24"/>
      <c r="E421" s="29"/>
      <c r="F421" s="34"/>
      <c r="G421" s="39"/>
      <c r="H421" s="46" t="s">
        <v>476</v>
      </c>
      <c r="I421" s="46" t="s">
        <v>45</v>
      </c>
      <c r="J421" s="47" t="s">
        <v>30</v>
      </c>
      <c r="K421" s="48">
        <v>0.1</v>
      </c>
      <c r="L421" s="49">
        <f>VLOOKUP(H421,[4]Sheet2!K:P,6,0)</f>
        <v>6.0000000000000006E-4</v>
      </c>
      <c r="M421" s="50">
        <f>VLOOKUP(H421,[4]Sheet2!K:Q,7,0)</f>
        <v>20385.38</v>
      </c>
      <c r="N421" s="51"/>
      <c r="O421" s="51"/>
      <c r="P421" s="51"/>
      <c r="Q421" s="51"/>
      <c r="R421" s="51"/>
      <c r="S421" s="51"/>
      <c r="T421" s="51"/>
      <c r="U421" s="51"/>
      <c r="V421" s="52">
        <f>VLOOKUP(H421,[4]Sheet2!K:N,4,0)</f>
        <v>20385.38</v>
      </c>
      <c r="W421" s="52">
        <f t="shared" ref="W421:W426" si="385">X421-V421</f>
        <v>0</v>
      </c>
      <c r="X421" s="52">
        <f>VLOOKUP(H421,[4]Sheet2!K:N,4,0)</f>
        <v>20385.38</v>
      </c>
      <c r="Y421" s="53">
        <f t="shared" ref="Y421:Y426" si="386">IFERROR(V421/M421,1)</f>
        <v>1</v>
      </c>
      <c r="Z421" s="53">
        <f t="shared" ref="Z421:Z426" si="387">IFERROR(W421/M421,1)</f>
        <v>0</v>
      </c>
      <c r="AA421" s="53">
        <f t="shared" ref="AA421:AA426" si="388">IFERROR(X421/M421,1)</f>
        <v>1</v>
      </c>
    </row>
    <row r="422" spans="1:27" ht="18.75" customHeight="1" outlineLevel="6" x14ac:dyDescent="0.3">
      <c r="B422" s="44"/>
      <c r="C422" s="18"/>
      <c r="D422" s="24"/>
      <c r="E422" s="29"/>
      <c r="F422" s="34"/>
      <c r="G422" s="39"/>
      <c r="H422" s="46" t="s">
        <v>477</v>
      </c>
      <c r="I422" s="46" t="s">
        <v>460</v>
      </c>
      <c r="J422" s="47" t="s">
        <v>30</v>
      </c>
      <c r="K422" s="48">
        <v>0.05</v>
      </c>
      <c r="L422" s="49">
        <f>VLOOKUP(H422,[4]Sheet2!K:P,6,0)</f>
        <v>3.0000000000000003E-4</v>
      </c>
      <c r="M422" s="50">
        <f>VLOOKUP(H422,[4]Sheet2!K:Q,7,0)</f>
        <v>20385.38</v>
      </c>
      <c r="N422" s="51"/>
      <c r="O422" s="51"/>
      <c r="P422" s="51"/>
      <c r="Q422" s="51"/>
      <c r="R422" s="51"/>
      <c r="S422" s="51"/>
      <c r="T422" s="51"/>
      <c r="U422" s="51"/>
      <c r="V422" s="52">
        <f>VLOOKUP(H422,[4]Sheet2!K:N,4,0)</f>
        <v>20385.38</v>
      </c>
      <c r="W422" s="52">
        <f t="shared" si="385"/>
        <v>0</v>
      </c>
      <c r="X422" s="52">
        <f>VLOOKUP(H422,[4]Sheet2!K:N,4,0)</f>
        <v>20385.38</v>
      </c>
      <c r="Y422" s="53">
        <f t="shared" si="386"/>
        <v>1</v>
      </c>
      <c r="Z422" s="53">
        <f t="shared" si="387"/>
        <v>0</v>
      </c>
      <c r="AA422" s="53">
        <f t="shared" si="388"/>
        <v>1</v>
      </c>
    </row>
    <row r="423" spans="1:27" ht="18.75" customHeight="1" outlineLevel="6" x14ac:dyDescent="0.3">
      <c r="A423" s="1" t="s">
        <v>461</v>
      </c>
      <c r="B423" s="44"/>
      <c r="C423" s="18"/>
      <c r="D423" s="24"/>
      <c r="E423" s="29"/>
      <c r="F423" s="34"/>
      <c r="G423" s="39"/>
      <c r="H423" s="46" t="s">
        <v>478</v>
      </c>
      <c r="I423" s="46" t="s">
        <v>48</v>
      </c>
      <c r="J423" s="47" t="s">
        <v>30</v>
      </c>
      <c r="K423" s="48">
        <v>0.6</v>
      </c>
      <c r="L423" s="49">
        <f>VLOOKUP(H423,[4]Sheet2!K:P,6,0)</f>
        <v>3.5999999999999999E-3</v>
      </c>
      <c r="M423" s="50">
        <f>VLOOKUP(H423,[4]Sheet2!K:Q,7,0)</f>
        <v>20385.38</v>
      </c>
      <c r="N423" s="51"/>
      <c r="O423" s="51"/>
      <c r="P423" s="51"/>
      <c r="Q423" s="51"/>
      <c r="R423" s="51"/>
      <c r="S423" s="51"/>
      <c r="T423" s="51"/>
      <c r="U423" s="51"/>
      <c r="V423" s="52">
        <f>VLOOKUP(H423,[4]Sheet2!K:N,4,0)</f>
        <v>20385.38</v>
      </c>
      <c r="W423" s="52">
        <f t="shared" si="385"/>
        <v>0</v>
      </c>
      <c r="X423" s="52">
        <f>VLOOKUP(H423,[4]Sheet2!K:N,4,0)</f>
        <v>20385.38</v>
      </c>
      <c r="Y423" s="53">
        <f t="shared" si="386"/>
        <v>1</v>
      </c>
      <c r="Z423" s="53">
        <f t="shared" si="387"/>
        <v>0</v>
      </c>
      <c r="AA423" s="53">
        <f t="shared" si="388"/>
        <v>1</v>
      </c>
    </row>
    <row r="424" spans="1:27" ht="18.75" customHeight="1" outlineLevel="6" x14ac:dyDescent="0.3">
      <c r="B424" s="44"/>
      <c r="C424" s="18"/>
      <c r="D424" s="24"/>
      <c r="E424" s="29"/>
      <c r="F424" s="34"/>
      <c r="G424" s="39"/>
      <c r="H424" s="46" t="s">
        <v>479</v>
      </c>
      <c r="I424" s="46" t="s">
        <v>464</v>
      </c>
      <c r="J424" s="47" t="s">
        <v>30</v>
      </c>
      <c r="K424" s="48">
        <v>0.15</v>
      </c>
      <c r="L424" s="49">
        <f>VLOOKUP(H424,[4]Sheet2!K:P,6,0)</f>
        <v>8.9999999999999998E-4</v>
      </c>
      <c r="M424" s="50">
        <f>VLOOKUP(H424,[4]Sheet2!K:Q,7,0)</f>
        <v>20385.38</v>
      </c>
      <c r="N424" s="51"/>
      <c r="O424" s="51"/>
      <c r="P424" s="51"/>
      <c r="Q424" s="51"/>
      <c r="R424" s="51"/>
      <c r="S424" s="51"/>
      <c r="T424" s="51"/>
      <c r="U424" s="51"/>
      <c r="V424" s="52">
        <f>VLOOKUP(H424,[4]Sheet2!K:N,4,0)</f>
        <v>20385.38</v>
      </c>
      <c r="W424" s="52">
        <f t="shared" si="385"/>
        <v>0</v>
      </c>
      <c r="X424" s="52">
        <f>VLOOKUP(H424,[4]Sheet2!K:N,4,0)</f>
        <v>20385.38</v>
      </c>
      <c r="Y424" s="53">
        <f t="shared" si="386"/>
        <v>1</v>
      </c>
      <c r="Z424" s="53">
        <f t="shared" si="387"/>
        <v>0</v>
      </c>
      <c r="AA424" s="53">
        <f t="shared" si="388"/>
        <v>1</v>
      </c>
    </row>
    <row r="425" spans="1:27" ht="18.75" customHeight="1" outlineLevel="6" x14ac:dyDescent="0.3">
      <c r="B425" s="44"/>
      <c r="C425" s="18"/>
      <c r="D425" s="24"/>
      <c r="E425" s="29"/>
      <c r="F425" s="34"/>
      <c r="G425" s="39"/>
      <c r="H425" s="46" t="s">
        <v>480</v>
      </c>
      <c r="I425" s="46" t="s">
        <v>466</v>
      </c>
      <c r="J425" s="47" t="s">
        <v>30</v>
      </c>
      <c r="K425" s="48">
        <v>0.05</v>
      </c>
      <c r="L425" s="49">
        <f>VLOOKUP(H425,[4]Sheet2!K:P,6,0)</f>
        <v>3.0000000000000003E-4</v>
      </c>
      <c r="M425" s="50">
        <f>VLOOKUP(H425,[4]Sheet2!K:Q,7,0)</f>
        <v>20385.38</v>
      </c>
      <c r="N425" s="51"/>
      <c r="O425" s="51"/>
      <c r="P425" s="51"/>
      <c r="Q425" s="51"/>
      <c r="R425" s="51"/>
      <c r="S425" s="51"/>
      <c r="T425" s="51"/>
      <c r="U425" s="51"/>
      <c r="V425" s="52">
        <f>VLOOKUP(H425,[4]Sheet2!K:N,4,0)</f>
        <v>20385.38</v>
      </c>
      <c r="W425" s="52">
        <f t="shared" si="385"/>
        <v>0</v>
      </c>
      <c r="X425" s="52">
        <f>VLOOKUP(H425,[4]Sheet2!K:N,4,0)</f>
        <v>20385.38</v>
      </c>
      <c r="Y425" s="53">
        <f t="shared" si="386"/>
        <v>1</v>
      </c>
      <c r="Z425" s="53">
        <f t="shared" si="387"/>
        <v>0</v>
      </c>
      <c r="AA425" s="53">
        <f t="shared" si="388"/>
        <v>1</v>
      </c>
    </row>
    <row r="426" spans="1:27" ht="18.75" customHeight="1" outlineLevel="6" x14ac:dyDescent="0.3">
      <c r="B426" s="44"/>
      <c r="C426" s="18"/>
      <c r="D426" s="24"/>
      <c r="E426" s="29"/>
      <c r="F426" s="34"/>
      <c r="G426" s="39"/>
      <c r="H426" s="46" t="s">
        <v>481</v>
      </c>
      <c r="I426" s="46" t="s">
        <v>56</v>
      </c>
      <c r="J426" s="47" t="s">
        <v>30</v>
      </c>
      <c r="K426" s="48">
        <v>0.05</v>
      </c>
      <c r="L426" s="49">
        <f>VLOOKUP(H426,[4]Sheet2!K:P,6,0)</f>
        <v>3.0000000000000003E-4</v>
      </c>
      <c r="M426" s="50">
        <f>VLOOKUP(H426,[4]Sheet2!K:Q,7,0)</f>
        <v>20385.38</v>
      </c>
      <c r="N426" s="51"/>
      <c r="O426" s="51"/>
      <c r="P426" s="51"/>
      <c r="Q426" s="51"/>
      <c r="R426" s="51"/>
      <c r="S426" s="51"/>
      <c r="T426" s="51"/>
      <c r="U426" s="51"/>
      <c r="V426" s="52">
        <f>VLOOKUP(H426,[4]Sheet2!K:N,4,0)</f>
        <v>0</v>
      </c>
      <c r="W426" s="52">
        <f t="shared" si="385"/>
        <v>0</v>
      </c>
      <c r="X426" s="52">
        <f>VLOOKUP(H426,[4]Sheet2!K:N,4,0)</f>
        <v>0</v>
      </c>
      <c r="Y426" s="53">
        <f t="shared" si="386"/>
        <v>0</v>
      </c>
      <c r="Z426" s="53">
        <f t="shared" si="387"/>
        <v>0</v>
      </c>
      <c r="AA426" s="53">
        <f t="shared" si="388"/>
        <v>0</v>
      </c>
    </row>
    <row r="427" spans="1:27" ht="18.75" customHeight="1" outlineLevel="5" x14ac:dyDescent="0.3">
      <c r="B427" s="12"/>
      <c r="C427" s="18"/>
      <c r="D427" s="24"/>
      <c r="E427" s="29"/>
      <c r="F427" s="34"/>
      <c r="G427" s="39" t="s">
        <v>482</v>
      </c>
      <c r="H427" s="58"/>
      <c r="I427" s="58"/>
      <c r="J427" s="58"/>
      <c r="K427" s="58"/>
      <c r="L427" s="41">
        <f>SUM(L428:L433)</f>
        <v>3.4999999999999992E-3</v>
      </c>
      <c r="M427" s="42">
        <f>M428</f>
        <v>4958.25</v>
      </c>
      <c r="N427" s="40"/>
      <c r="O427" s="40"/>
      <c r="P427" s="40"/>
      <c r="Q427" s="40"/>
      <c r="R427" s="40"/>
      <c r="S427" s="40"/>
      <c r="T427" s="40"/>
      <c r="U427" s="40"/>
      <c r="V427" s="62">
        <f t="shared" ref="V427:X427" si="389">V428</f>
        <v>4958.25</v>
      </c>
      <c r="W427" s="62">
        <f t="shared" si="389"/>
        <v>0</v>
      </c>
      <c r="X427" s="62">
        <f t="shared" si="389"/>
        <v>4958.25</v>
      </c>
      <c r="Y427" s="43">
        <f>SUMPRODUCT(Y428:Y433,$K428:$K433)</f>
        <v>1</v>
      </c>
      <c r="Z427" s="43">
        <f t="shared" ref="Z427" si="390">Z428</f>
        <v>0</v>
      </c>
      <c r="AA427" s="43">
        <f>SUMPRODUCT(AA428:AA433,$K428:$K433)</f>
        <v>1</v>
      </c>
    </row>
    <row r="428" spans="1:27" ht="18.75" customHeight="1" outlineLevel="6" x14ac:dyDescent="0.3">
      <c r="B428" s="44"/>
      <c r="C428" s="18"/>
      <c r="D428" s="24"/>
      <c r="E428" s="29"/>
      <c r="F428" s="34"/>
      <c r="G428" s="39"/>
      <c r="H428" s="46" t="s">
        <v>483</v>
      </c>
      <c r="I428" s="46" t="s">
        <v>45</v>
      </c>
      <c r="J428" s="47" t="s">
        <v>30</v>
      </c>
      <c r="K428" s="48">
        <v>0.1</v>
      </c>
      <c r="L428" s="49">
        <f>VLOOKUP(H428,[4]Sheet2!K:P,6,0)</f>
        <v>3.4999999999999994E-4</v>
      </c>
      <c r="M428" s="50">
        <f>VLOOKUP(H428,[4]Sheet2!K:Q,7,0)</f>
        <v>4958.25</v>
      </c>
      <c r="N428" s="51"/>
      <c r="O428" s="51"/>
      <c r="P428" s="51"/>
      <c r="Q428" s="51"/>
      <c r="R428" s="51"/>
      <c r="S428" s="51"/>
      <c r="T428" s="51"/>
      <c r="U428" s="51"/>
      <c r="V428" s="52">
        <f>VLOOKUP(H428,[4]Sheet2!K:N,4,0)</f>
        <v>4958.25</v>
      </c>
      <c r="W428" s="52">
        <f t="shared" ref="W428:W433" si="391">X428-V428</f>
        <v>0</v>
      </c>
      <c r="X428" s="52">
        <f>VLOOKUP(H428,[4]Sheet2!K:N,4,0)</f>
        <v>4958.25</v>
      </c>
      <c r="Y428" s="53">
        <f t="shared" ref="Y428:Y433" si="392">IFERROR(V428/M428,1)</f>
        <v>1</v>
      </c>
      <c r="Z428" s="53">
        <f t="shared" ref="Z428:Z433" si="393">IFERROR(W428/M428,1)</f>
        <v>0</v>
      </c>
      <c r="AA428" s="53">
        <f t="shared" ref="AA428:AA433" si="394">IFERROR(X428/M428,1)</f>
        <v>1</v>
      </c>
    </row>
    <row r="429" spans="1:27" ht="18.75" customHeight="1" outlineLevel="6" x14ac:dyDescent="0.3">
      <c r="B429" s="44"/>
      <c r="C429" s="18"/>
      <c r="D429" s="24"/>
      <c r="E429" s="29"/>
      <c r="F429" s="34"/>
      <c r="G429" s="39"/>
      <c r="H429" s="46" t="s">
        <v>484</v>
      </c>
      <c r="I429" s="46" t="s">
        <v>460</v>
      </c>
      <c r="J429" s="47" t="s">
        <v>30</v>
      </c>
      <c r="K429" s="48">
        <v>0.05</v>
      </c>
      <c r="L429" s="49">
        <f>VLOOKUP(H429,[4]Sheet2!K:P,6,0)</f>
        <v>1.7499999999999997E-4</v>
      </c>
      <c r="M429" s="50">
        <f>VLOOKUP(H429,[4]Sheet2!K:Q,7,0)</f>
        <v>4958.25</v>
      </c>
      <c r="N429" s="51"/>
      <c r="O429" s="51"/>
      <c r="P429" s="51"/>
      <c r="Q429" s="51"/>
      <c r="R429" s="51"/>
      <c r="S429" s="51"/>
      <c r="T429" s="51"/>
      <c r="U429" s="51"/>
      <c r="V429" s="52">
        <f>VLOOKUP(H429,[4]Sheet2!K:N,4,0)</f>
        <v>4958.25</v>
      </c>
      <c r="W429" s="52">
        <f t="shared" si="391"/>
        <v>0</v>
      </c>
      <c r="X429" s="52">
        <f>VLOOKUP(H429,[4]Sheet2!K:N,4,0)</f>
        <v>4958.25</v>
      </c>
      <c r="Y429" s="53">
        <f t="shared" si="392"/>
        <v>1</v>
      </c>
      <c r="Z429" s="53">
        <f t="shared" si="393"/>
        <v>0</v>
      </c>
      <c r="AA429" s="53">
        <f t="shared" si="394"/>
        <v>1</v>
      </c>
    </row>
    <row r="430" spans="1:27" ht="18.75" customHeight="1" outlineLevel="6" x14ac:dyDescent="0.3">
      <c r="A430" s="1" t="s">
        <v>461</v>
      </c>
      <c r="B430" s="44"/>
      <c r="C430" s="18"/>
      <c r="D430" s="24"/>
      <c r="E430" s="29"/>
      <c r="F430" s="34"/>
      <c r="G430" s="39"/>
      <c r="H430" s="46" t="s">
        <v>485</v>
      </c>
      <c r="I430" s="46" t="s">
        <v>48</v>
      </c>
      <c r="J430" s="47" t="s">
        <v>30</v>
      </c>
      <c r="K430" s="48">
        <v>0.6</v>
      </c>
      <c r="L430" s="49">
        <f>VLOOKUP(H430,[4]Sheet2!K:P,6,0)</f>
        <v>2.0999999999999999E-3</v>
      </c>
      <c r="M430" s="50">
        <f>VLOOKUP(H430,[4]Sheet2!K:Q,7,0)</f>
        <v>4958.25</v>
      </c>
      <c r="N430" s="51"/>
      <c r="O430" s="51"/>
      <c r="P430" s="51"/>
      <c r="Q430" s="51"/>
      <c r="R430" s="51"/>
      <c r="S430" s="51"/>
      <c r="T430" s="51"/>
      <c r="U430" s="51"/>
      <c r="V430" s="52">
        <f>VLOOKUP(H430,[4]Sheet2!K:N,4,0)</f>
        <v>4958.25</v>
      </c>
      <c r="W430" s="52">
        <f t="shared" si="391"/>
        <v>0</v>
      </c>
      <c r="X430" s="52">
        <f>VLOOKUP(H430,[4]Sheet2!K:N,4,0)</f>
        <v>4958.25</v>
      </c>
      <c r="Y430" s="53">
        <f t="shared" si="392"/>
        <v>1</v>
      </c>
      <c r="Z430" s="53">
        <f t="shared" si="393"/>
        <v>0</v>
      </c>
      <c r="AA430" s="53">
        <f t="shared" si="394"/>
        <v>1</v>
      </c>
    </row>
    <row r="431" spans="1:27" ht="18.75" customHeight="1" outlineLevel="6" x14ac:dyDescent="0.3">
      <c r="B431" s="44"/>
      <c r="C431" s="18"/>
      <c r="D431" s="24"/>
      <c r="E431" s="29"/>
      <c r="F431" s="34"/>
      <c r="G431" s="39"/>
      <c r="H431" s="46" t="s">
        <v>486</v>
      </c>
      <c r="I431" s="46" t="s">
        <v>464</v>
      </c>
      <c r="J431" s="47" t="s">
        <v>30</v>
      </c>
      <c r="K431" s="48">
        <v>0.15</v>
      </c>
      <c r="L431" s="49">
        <f>VLOOKUP(H431,[4]Sheet2!K:P,6,0)</f>
        <v>5.2499999999999997E-4</v>
      </c>
      <c r="M431" s="50">
        <f>VLOOKUP(H431,[4]Sheet2!K:Q,7,0)</f>
        <v>4958.25</v>
      </c>
      <c r="N431" s="51"/>
      <c r="O431" s="51"/>
      <c r="P431" s="51"/>
      <c r="Q431" s="51"/>
      <c r="R431" s="51"/>
      <c r="S431" s="51"/>
      <c r="T431" s="51"/>
      <c r="U431" s="51"/>
      <c r="V431" s="52">
        <f>VLOOKUP(H431,[4]Sheet2!K:N,4,0)</f>
        <v>4958.25</v>
      </c>
      <c r="W431" s="52">
        <f t="shared" si="391"/>
        <v>0</v>
      </c>
      <c r="X431" s="52">
        <f>VLOOKUP(H431,[4]Sheet2!K:N,4,0)</f>
        <v>4958.25</v>
      </c>
      <c r="Y431" s="53">
        <f t="shared" si="392"/>
        <v>1</v>
      </c>
      <c r="Z431" s="53">
        <f t="shared" si="393"/>
        <v>0</v>
      </c>
      <c r="AA431" s="53">
        <f t="shared" si="394"/>
        <v>1</v>
      </c>
    </row>
    <row r="432" spans="1:27" ht="18.75" customHeight="1" outlineLevel="6" x14ac:dyDescent="0.3">
      <c r="B432" s="44"/>
      <c r="C432" s="18"/>
      <c r="D432" s="24"/>
      <c r="E432" s="29"/>
      <c r="F432" s="34"/>
      <c r="G432" s="39"/>
      <c r="H432" s="46" t="s">
        <v>487</v>
      </c>
      <c r="I432" s="46" t="s">
        <v>466</v>
      </c>
      <c r="J432" s="47" t="s">
        <v>30</v>
      </c>
      <c r="K432" s="48">
        <v>0.05</v>
      </c>
      <c r="L432" s="49">
        <f>VLOOKUP(H432,[4]Sheet2!K:P,6,0)</f>
        <v>1.7499999999999997E-4</v>
      </c>
      <c r="M432" s="50">
        <f>VLOOKUP(H432,[4]Sheet2!K:Q,7,0)</f>
        <v>4958.25</v>
      </c>
      <c r="N432" s="51"/>
      <c r="O432" s="51"/>
      <c r="P432" s="51"/>
      <c r="Q432" s="51"/>
      <c r="R432" s="51"/>
      <c r="S432" s="51"/>
      <c r="T432" s="51"/>
      <c r="U432" s="51"/>
      <c r="V432" s="52">
        <f>VLOOKUP(H432,[4]Sheet2!K:N,4,0)</f>
        <v>4958.25</v>
      </c>
      <c r="W432" s="52">
        <f t="shared" si="391"/>
        <v>0</v>
      </c>
      <c r="X432" s="52">
        <f>VLOOKUP(H432,[4]Sheet2!K:N,4,0)</f>
        <v>4958.25</v>
      </c>
      <c r="Y432" s="53">
        <f t="shared" si="392"/>
        <v>1</v>
      </c>
      <c r="Z432" s="53">
        <f t="shared" si="393"/>
        <v>0</v>
      </c>
      <c r="AA432" s="53">
        <f t="shared" si="394"/>
        <v>1</v>
      </c>
    </row>
    <row r="433" spans="1:27" ht="18.75" customHeight="1" outlineLevel="6" x14ac:dyDescent="0.3">
      <c r="B433" s="44"/>
      <c r="C433" s="18"/>
      <c r="D433" s="24"/>
      <c r="E433" s="29"/>
      <c r="F433" s="34"/>
      <c r="G433" s="39"/>
      <c r="H433" s="46" t="s">
        <v>488</v>
      </c>
      <c r="I433" s="46" t="s">
        <v>56</v>
      </c>
      <c r="J433" s="47" t="s">
        <v>30</v>
      </c>
      <c r="K433" s="48">
        <v>0.05</v>
      </c>
      <c r="L433" s="49">
        <f>VLOOKUP(H433,[4]Sheet2!K:P,6,0)</f>
        <v>1.7499999999999997E-4</v>
      </c>
      <c r="M433" s="50">
        <f>VLOOKUP(H433,[4]Sheet2!K:Q,7,0)</f>
        <v>4958.25</v>
      </c>
      <c r="N433" s="51"/>
      <c r="O433" s="51"/>
      <c r="P433" s="51"/>
      <c r="Q433" s="51"/>
      <c r="R433" s="51"/>
      <c r="S433" s="51"/>
      <c r="T433" s="51"/>
      <c r="U433" s="51"/>
      <c r="V433" s="52">
        <f>VLOOKUP(H433,[4]Sheet2!K:N,4,0)</f>
        <v>4958.25</v>
      </c>
      <c r="W433" s="52">
        <f t="shared" si="391"/>
        <v>0</v>
      </c>
      <c r="X433" s="52">
        <f>VLOOKUP(H433,[4]Sheet2!K:N,4,0)</f>
        <v>4958.25</v>
      </c>
      <c r="Y433" s="53">
        <f t="shared" si="392"/>
        <v>1</v>
      </c>
      <c r="Z433" s="53">
        <f t="shared" si="393"/>
        <v>0</v>
      </c>
      <c r="AA433" s="53">
        <f t="shared" si="394"/>
        <v>1</v>
      </c>
    </row>
    <row r="434" spans="1:27" ht="18.75" customHeight="1" outlineLevel="5" x14ac:dyDescent="0.3">
      <c r="B434" s="12"/>
      <c r="C434" s="18"/>
      <c r="D434" s="24"/>
      <c r="E434" s="29"/>
      <c r="F434" s="34"/>
      <c r="G434" s="39" t="s">
        <v>489</v>
      </c>
      <c r="H434" s="58"/>
      <c r="I434" s="58"/>
      <c r="J434" s="58"/>
      <c r="K434" s="58"/>
      <c r="L434" s="41">
        <f>SUM(L435:L440)</f>
        <v>5.0000000000000001E-3</v>
      </c>
      <c r="M434" s="42">
        <f>M435</f>
        <v>18896</v>
      </c>
      <c r="N434" s="40"/>
      <c r="O434" s="40"/>
      <c r="P434" s="40"/>
      <c r="Q434" s="40"/>
      <c r="R434" s="40"/>
      <c r="S434" s="40"/>
      <c r="T434" s="40"/>
      <c r="U434" s="40"/>
      <c r="V434" s="62">
        <f t="shared" ref="V434:X434" si="395">V435</f>
        <v>18896</v>
      </c>
      <c r="W434" s="62">
        <f t="shared" si="395"/>
        <v>0</v>
      </c>
      <c r="X434" s="62">
        <f t="shared" si="395"/>
        <v>18896</v>
      </c>
      <c r="Y434" s="43">
        <f>SUMPRODUCT(Y435:Y440,$K435:$K440)</f>
        <v>1</v>
      </c>
      <c r="Z434" s="43">
        <f t="shared" ref="Z434" si="396">Z435</f>
        <v>0</v>
      </c>
      <c r="AA434" s="43">
        <f>SUMPRODUCT(AA435:AA440,$K435:$K440)</f>
        <v>1</v>
      </c>
    </row>
    <row r="435" spans="1:27" ht="18.75" customHeight="1" outlineLevel="6" x14ac:dyDescent="0.3">
      <c r="B435" s="44"/>
      <c r="C435" s="18"/>
      <c r="D435" s="24"/>
      <c r="E435" s="29"/>
      <c r="F435" s="34"/>
      <c r="G435" s="39"/>
      <c r="H435" s="46" t="s">
        <v>490</v>
      </c>
      <c r="I435" s="46" t="s">
        <v>45</v>
      </c>
      <c r="J435" s="47" t="s">
        <v>30</v>
      </c>
      <c r="K435" s="48">
        <v>0.1</v>
      </c>
      <c r="L435" s="49">
        <f>VLOOKUP(H435,[4]Sheet2!K:P,6,0)</f>
        <v>5.0000000000000001E-4</v>
      </c>
      <c r="M435" s="50">
        <f>VLOOKUP(H435,[4]Sheet2!K:Q,7,0)</f>
        <v>18896</v>
      </c>
      <c r="N435" s="51"/>
      <c r="O435" s="51"/>
      <c r="P435" s="51"/>
      <c r="Q435" s="51"/>
      <c r="R435" s="51"/>
      <c r="S435" s="51"/>
      <c r="T435" s="51"/>
      <c r="U435" s="51"/>
      <c r="V435" s="52">
        <f>VLOOKUP(H435,[4]Sheet2!K:N,4,0)</f>
        <v>18896</v>
      </c>
      <c r="W435" s="52">
        <f t="shared" ref="W435:W440" si="397">X435-V435</f>
        <v>0</v>
      </c>
      <c r="X435" s="52">
        <f>VLOOKUP(H435,[4]Sheet2!K:N,4,0)</f>
        <v>18896</v>
      </c>
      <c r="Y435" s="53">
        <f t="shared" ref="Y435:Y440" si="398">IFERROR(V435/M435,1)</f>
        <v>1</v>
      </c>
      <c r="Z435" s="53">
        <f t="shared" ref="Z435:Z440" si="399">IFERROR(W435/M435,1)</f>
        <v>0</v>
      </c>
      <c r="AA435" s="53">
        <f t="shared" ref="AA435:AA440" si="400">IFERROR(X435/M435,1)</f>
        <v>1</v>
      </c>
    </row>
    <row r="436" spans="1:27" ht="18.75" customHeight="1" outlineLevel="6" x14ac:dyDescent="0.3">
      <c r="B436" s="44"/>
      <c r="C436" s="18"/>
      <c r="D436" s="24"/>
      <c r="E436" s="29"/>
      <c r="F436" s="34"/>
      <c r="G436" s="39"/>
      <c r="H436" s="46" t="s">
        <v>491</v>
      </c>
      <c r="I436" s="46" t="s">
        <v>460</v>
      </c>
      <c r="J436" s="47" t="s">
        <v>30</v>
      </c>
      <c r="K436" s="48">
        <v>0.05</v>
      </c>
      <c r="L436" s="49">
        <f>VLOOKUP(H436,[4]Sheet2!K:P,6,0)</f>
        <v>2.5000000000000001E-4</v>
      </c>
      <c r="M436" s="50">
        <f>VLOOKUP(H436,[4]Sheet2!K:Q,7,0)</f>
        <v>18896</v>
      </c>
      <c r="N436" s="51"/>
      <c r="O436" s="51"/>
      <c r="P436" s="51"/>
      <c r="Q436" s="51"/>
      <c r="R436" s="51"/>
      <c r="S436" s="51"/>
      <c r="T436" s="51"/>
      <c r="U436" s="51"/>
      <c r="V436" s="52">
        <f>VLOOKUP(H436,[4]Sheet2!K:N,4,0)</f>
        <v>18896</v>
      </c>
      <c r="W436" s="52">
        <f t="shared" si="397"/>
        <v>0</v>
      </c>
      <c r="X436" s="52">
        <f>VLOOKUP(H436,[4]Sheet2!K:N,4,0)</f>
        <v>18896</v>
      </c>
      <c r="Y436" s="53">
        <f t="shared" si="398"/>
        <v>1</v>
      </c>
      <c r="Z436" s="53">
        <f t="shared" si="399"/>
        <v>0</v>
      </c>
      <c r="AA436" s="53">
        <f t="shared" si="400"/>
        <v>1</v>
      </c>
    </row>
    <row r="437" spans="1:27" ht="18.75" customHeight="1" outlineLevel="6" x14ac:dyDescent="0.3">
      <c r="A437" s="1" t="s">
        <v>461</v>
      </c>
      <c r="B437" s="44"/>
      <c r="C437" s="18"/>
      <c r="D437" s="24"/>
      <c r="E437" s="29"/>
      <c r="F437" s="34"/>
      <c r="G437" s="39"/>
      <c r="H437" s="46" t="s">
        <v>492</v>
      </c>
      <c r="I437" s="46" t="s">
        <v>48</v>
      </c>
      <c r="J437" s="47" t="s">
        <v>30</v>
      </c>
      <c r="K437" s="48">
        <v>0.6</v>
      </c>
      <c r="L437" s="49">
        <f>VLOOKUP(H437,[4]Sheet2!K:P,6,0)</f>
        <v>3.0000000000000001E-3</v>
      </c>
      <c r="M437" s="50">
        <f>VLOOKUP(H437,[4]Sheet2!K:Q,7,0)</f>
        <v>18896</v>
      </c>
      <c r="N437" s="51"/>
      <c r="O437" s="51"/>
      <c r="P437" s="51"/>
      <c r="Q437" s="51"/>
      <c r="R437" s="51"/>
      <c r="S437" s="51"/>
      <c r="T437" s="51"/>
      <c r="U437" s="51"/>
      <c r="V437" s="52">
        <f>VLOOKUP(H437,[4]Sheet2!K:N,4,0)</f>
        <v>18896</v>
      </c>
      <c r="W437" s="52">
        <f t="shared" si="397"/>
        <v>0</v>
      </c>
      <c r="X437" s="52">
        <f>VLOOKUP(H437,[4]Sheet2!K:N,4,0)</f>
        <v>18896</v>
      </c>
      <c r="Y437" s="53">
        <f t="shared" si="398"/>
        <v>1</v>
      </c>
      <c r="Z437" s="53">
        <f t="shared" si="399"/>
        <v>0</v>
      </c>
      <c r="AA437" s="53">
        <f t="shared" si="400"/>
        <v>1</v>
      </c>
    </row>
    <row r="438" spans="1:27" ht="18.75" customHeight="1" outlineLevel="6" x14ac:dyDescent="0.3">
      <c r="B438" s="44"/>
      <c r="C438" s="18"/>
      <c r="D438" s="24"/>
      <c r="E438" s="29"/>
      <c r="F438" s="34"/>
      <c r="G438" s="39"/>
      <c r="H438" s="46" t="s">
        <v>493</v>
      </c>
      <c r="I438" s="46" t="s">
        <v>464</v>
      </c>
      <c r="J438" s="47" t="s">
        <v>30</v>
      </c>
      <c r="K438" s="48">
        <v>0.15</v>
      </c>
      <c r="L438" s="49">
        <f>VLOOKUP(H438,[4]Sheet2!K:P,6,0)</f>
        <v>7.5000000000000002E-4</v>
      </c>
      <c r="M438" s="50">
        <f>VLOOKUP(H438,[4]Sheet2!K:Q,7,0)</f>
        <v>18896</v>
      </c>
      <c r="N438" s="51"/>
      <c r="O438" s="51"/>
      <c r="P438" s="51"/>
      <c r="Q438" s="51"/>
      <c r="R438" s="51"/>
      <c r="S438" s="51"/>
      <c r="T438" s="51"/>
      <c r="U438" s="51"/>
      <c r="V438" s="52">
        <f>VLOOKUP(H438,[4]Sheet2!K:N,4,0)</f>
        <v>18896</v>
      </c>
      <c r="W438" s="52">
        <f t="shared" si="397"/>
        <v>0</v>
      </c>
      <c r="X438" s="52">
        <f>VLOOKUP(H438,[4]Sheet2!K:N,4,0)</f>
        <v>18896</v>
      </c>
      <c r="Y438" s="53">
        <f t="shared" si="398"/>
        <v>1</v>
      </c>
      <c r="Z438" s="53">
        <f t="shared" si="399"/>
        <v>0</v>
      </c>
      <c r="AA438" s="53">
        <f t="shared" si="400"/>
        <v>1</v>
      </c>
    </row>
    <row r="439" spans="1:27" ht="18.75" customHeight="1" outlineLevel="6" x14ac:dyDescent="0.3">
      <c r="B439" s="44"/>
      <c r="C439" s="18"/>
      <c r="D439" s="24"/>
      <c r="E439" s="29"/>
      <c r="F439" s="34"/>
      <c r="G439" s="39"/>
      <c r="H439" s="46" t="s">
        <v>494</v>
      </c>
      <c r="I439" s="46" t="s">
        <v>466</v>
      </c>
      <c r="J439" s="47" t="s">
        <v>30</v>
      </c>
      <c r="K439" s="48">
        <v>0.05</v>
      </c>
      <c r="L439" s="49">
        <f>VLOOKUP(H439,[4]Sheet2!K:P,6,0)</f>
        <v>2.5000000000000001E-4</v>
      </c>
      <c r="M439" s="50">
        <f>VLOOKUP(H439,[4]Sheet2!K:Q,7,0)</f>
        <v>18896</v>
      </c>
      <c r="N439" s="51"/>
      <c r="O439" s="51"/>
      <c r="P439" s="51"/>
      <c r="Q439" s="51"/>
      <c r="R439" s="51"/>
      <c r="S439" s="51"/>
      <c r="T439" s="51"/>
      <c r="U439" s="51"/>
      <c r="V439" s="52">
        <f>VLOOKUP(H439,[4]Sheet2!K:N,4,0)</f>
        <v>18896</v>
      </c>
      <c r="W439" s="52">
        <f t="shared" si="397"/>
        <v>0</v>
      </c>
      <c r="X439" s="52">
        <f>VLOOKUP(H439,[4]Sheet2!K:N,4,0)</f>
        <v>18896</v>
      </c>
      <c r="Y439" s="53">
        <f t="shared" si="398"/>
        <v>1</v>
      </c>
      <c r="Z439" s="53">
        <f t="shared" si="399"/>
        <v>0</v>
      </c>
      <c r="AA439" s="53">
        <f t="shared" si="400"/>
        <v>1</v>
      </c>
    </row>
    <row r="440" spans="1:27" ht="18.75" customHeight="1" outlineLevel="6" x14ac:dyDescent="0.3">
      <c r="B440" s="44"/>
      <c r="C440" s="18"/>
      <c r="D440" s="24"/>
      <c r="E440" s="29"/>
      <c r="F440" s="34"/>
      <c r="G440" s="39"/>
      <c r="H440" s="46" t="s">
        <v>495</v>
      </c>
      <c r="I440" s="46" t="s">
        <v>56</v>
      </c>
      <c r="J440" s="47" t="s">
        <v>30</v>
      </c>
      <c r="K440" s="48">
        <v>0.05</v>
      </c>
      <c r="L440" s="49">
        <f>VLOOKUP(H440,[4]Sheet2!K:P,6,0)</f>
        <v>2.5000000000000001E-4</v>
      </c>
      <c r="M440" s="50">
        <f>VLOOKUP(H440,[4]Sheet2!K:Q,7,0)</f>
        <v>18896</v>
      </c>
      <c r="N440" s="51"/>
      <c r="O440" s="51"/>
      <c r="P440" s="51"/>
      <c r="Q440" s="51"/>
      <c r="R440" s="51"/>
      <c r="S440" s="51"/>
      <c r="T440" s="51"/>
      <c r="U440" s="51"/>
      <c r="V440" s="52">
        <f>VLOOKUP(H440,[4]Sheet2!K:N,4,0)</f>
        <v>18896</v>
      </c>
      <c r="W440" s="52">
        <f t="shared" si="397"/>
        <v>0</v>
      </c>
      <c r="X440" s="52">
        <f>VLOOKUP(H440,[4]Sheet2!K:N,4,0)</f>
        <v>18896</v>
      </c>
      <c r="Y440" s="53">
        <f t="shared" si="398"/>
        <v>1</v>
      </c>
      <c r="Z440" s="53">
        <f t="shared" si="399"/>
        <v>0</v>
      </c>
      <c r="AA440" s="53">
        <f t="shared" si="400"/>
        <v>1</v>
      </c>
    </row>
    <row r="441" spans="1:27" ht="18.75" customHeight="1" outlineLevel="5" x14ac:dyDescent="0.3">
      <c r="B441" s="12"/>
      <c r="C441" s="18"/>
      <c r="D441" s="24"/>
      <c r="E441" s="29"/>
      <c r="F441" s="34"/>
      <c r="G441" s="39" t="s">
        <v>496</v>
      </c>
      <c r="H441" s="58"/>
      <c r="I441" s="58"/>
      <c r="J441" s="58"/>
      <c r="K441" s="58"/>
      <c r="L441" s="41">
        <f>SUM(L442:L447)</f>
        <v>1.2199999999999997E-2</v>
      </c>
      <c r="M441" s="42">
        <f>M442</f>
        <v>17435.95</v>
      </c>
      <c r="N441" s="40"/>
      <c r="O441" s="40"/>
      <c r="P441" s="40"/>
      <c r="Q441" s="40"/>
      <c r="R441" s="40"/>
      <c r="S441" s="40"/>
      <c r="T441" s="40"/>
      <c r="U441" s="40"/>
      <c r="V441" s="62">
        <f t="shared" ref="V441:X441" si="401">V442</f>
        <v>17435.95</v>
      </c>
      <c r="W441" s="62">
        <f t="shared" si="401"/>
        <v>0</v>
      </c>
      <c r="X441" s="62">
        <f t="shared" si="401"/>
        <v>17435.95</v>
      </c>
      <c r="Y441" s="43">
        <f>SUMPRODUCT(Y442:Y447,$K442:$K447)</f>
        <v>1</v>
      </c>
      <c r="Z441" s="43">
        <f t="shared" ref="Z441" si="402">Z442</f>
        <v>0</v>
      </c>
      <c r="AA441" s="43">
        <f>SUMPRODUCT(AA442:AA447,$K442:$K447)</f>
        <v>1</v>
      </c>
    </row>
    <row r="442" spans="1:27" ht="18.75" customHeight="1" outlineLevel="6" x14ac:dyDescent="0.3">
      <c r="B442" s="44"/>
      <c r="C442" s="18"/>
      <c r="D442" s="24"/>
      <c r="E442" s="29"/>
      <c r="F442" s="34"/>
      <c r="G442" s="39"/>
      <c r="H442" s="46" t="s">
        <v>497</v>
      </c>
      <c r="I442" s="46" t="s">
        <v>45</v>
      </c>
      <c r="J442" s="47" t="s">
        <v>30</v>
      </c>
      <c r="K442" s="48">
        <v>0.1</v>
      </c>
      <c r="L442" s="49">
        <f>VLOOKUP(H442,[4]Sheet2!K:P,6,0)</f>
        <v>1.2199999999999999E-3</v>
      </c>
      <c r="M442" s="50">
        <f>VLOOKUP(H442,[4]Sheet2!K:Q,7,0)</f>
        <v>17435.95</v>
      </c>
      <c r="N442" s="51"/>
      <c r="O442" s="51"/>
      <c r="P442" s="51"/>
      <c r="Q442" s="51"/>
      <c r="R442" s="51"/>
      <c r="S442" s="51"/>
      <c r="T442" s="51"/>
      <c r="U442" s="51"/>
      <c r="V442" s="52">
        <f>VLOOKUP(H442,[4]Sheet2!K:N,4,0)</f>
        <v>17435.95</v>
      </c>
      <c r="W442" s="52">
        <f t="shared" ref="W442:W447" si="403">X442-V442</f>
        <v>0</v>
      </c>
      <c r="X442" s="52">
        <f>VLOOKUP(H442,[4]Sheet2!K:N,4,0)</f>
        <v>17435.95</v>
      </c>
      <c r="Y442" s="53">
        <f t="shared" ref="Y442:Y447" si="404">IFERROR(V442/M442,1)</f>
        <v>1</v>
      </c>
      <c r="Z442" s="53">
        <f t="shared" ref="Z442:Z447" si="405">IFERROR(W442/M442,1)</f>
        <v>0</v>
      </c>
      <c r="AA442" s="53">
        <f t="shared" ref="AA442:AA447" si="406">IFERROR(X442/M442,1)</f>
        <v>1</v>
      </c>
    </row>
    <row r="443" spans="1:27" ht="18.75" customHeight="1" outlineLevel="6" x14ac:dyDescent="0.3">
      <c r="B443" s="44"/>
      <c r="C443" s="18"/>
      <c r="D443" s="24"/>
      <c r="E443" s="29"/>
      <c r="F443" s="34"/>
      <c r="G443" s="39"/>
      <c r="H443" s="46" t="s">
        <v>498</v>
      </c>
      <c r="I443" s="46" t="s">
        <v>460</v>
      </c>
      <c r="J443" s="47" t="s">
        <v>30</v>
      </c>
      <c r="K443" s="48">
        <v>0.05</v>
      </c>
      <c r="L443" s="49">
        <f>VLOOKUP(H443,[4]Sheet2!K:P,6,0)</f>
        <v>6.0999999999999997E-4</v>
      </c>
      <c r="M443" s="50">
        <f>VLOOKUP(H443,[4]Sheet2!K:Q,7,0)</f>
        <v>17435.95</v>
      </c>
      <c r="N443" s="51"/>
      <c r="O443" s="51"/>
      <c r="P443" s="51"/>
      <c r="Q443" s="51"/>
      <c r="R443" s="51"/>
      <c r="S443" s="51"/>
      <c r="T443" s="51"/>
      <c r="U443" s="51"/>
      <c r="V443" s="52">
        <f>VLOOKUP(H443,[4]Sheet2!K:N,4,0)</f>
        <v>17435.95</v>
      </c>
      <c r="W443" s="52">
        <f t="shared" si="403"/>
        <v>0</v>
      </c>
      <c r="X443" s="52">
        <f>VLOOKUP(H443,[4]Sheet2!K:N,4,0)</f>
        <v>17435.95</v>
      </c>
      <c r="Y443" s="53">
        <f t="shared" si="404"/>
        <v>1</v>
      </c>
      <c r="Z443" s="53">
        <f t="shared" si="405"/>
        <v>0</v>
      </c>
      <c r="AA443" s="53">
        <f t="shared" si="406"/>
        <v>1</v>
      </c>
    </row>
    <row r="444" spans="1:27" ht="18.75" customHeight="1" outlineLevel="6" x14ac:dyDescent="0.3">
      <c r="A444" s="1" t="s">
        <v>461</v>
      </c>
      <c r="B444" s="44"/>
      <c r="C444" s="18"/>
      <c r="D444" s="24"/>
      <c r="E444" s="29"/>
      <c r="F444" s="34"/>
      <c r="G444" s="39"/>
      <c r="H444" s="46" t="s">
        <v>499</v>
      </c>
      <c r="I444" s="46" t="s">
        <v>48</v>
      </c>
      <c r="J444" s="47" t="s">
        <v>30</v>
      </c>
      <c r="K444" s="48">
        <v>0.6</v>
      </c>
      <c r="L444" s="49">
        <f>VLOOKUP(H444,[4]Sheet2!K:P,6,0)</f>
        <v>7.3199999999999993E-3</v>
      </c>
      <c r="M444" s="50">
        <f>VLOOKUP(H444,[4]Sheet2!K:Q,7,0)</f>
        <v>17435.95</v>
      </c>
      <c r="N444" s="51"/>
      <c r="O444" s="51"/>
      <c r="P444" s="51"/>
      <c r="Q444" s="51"/>
      <c r="R444" s="51"/>
      <c r="S444" s="51"/>
      <c r="T444" s="51"/>
      <c r="U444" s="51"/>
      <c r="V444" s="52">
        <f>VLOOKUP(H444,[4]Sheet2!K:N,4,0)</f>
        <v>17435.95</v>
      </c>
      <c r="W444" s="52">
        <f t="shared" si="403"/>
        <v>0</v>
      </c>
      <c r="X444" s="52">
        <f>VLOOKUP(H444,[4]Sheet2!K:N,4,0)</f>
        <v>17435.95</v>
      </c>
      <c r="Y444" s="53">
        <f t="shared" si="404"/>
        <v>1</v>
      </c>
      <c r="Z444" s="53">
        <f t="shared" si="405"/>
        <v>0</v>
      </c>
      <c r="AA444" s="53">
        <f t="shared" si="406"/>
        <v>1</v>
      </c>
    </row>
    <row r="445" spans="1:27" ht="18.75" customHeight="1" outlineLevel="6" x14ac:dyDescent="0.3">
      <c r="B445" s="44"/>
      <c r="C445" s="18"/>
      <c r="D445" s="24"/>
      <c r="E445" s="29"/>
      <c r="F445" s="34"/>
      <c r="G445" s="39"/>
      <c r="H445" s="46" t="s">
        <v>500</v>
      </c>
      <c r="I445" s="46" t="s">
        <v>464</v>
      </c>
      <c r="J445" s="47" t="s">
        <v>30</v>
      </c>
      <c r="K445" s="48">
        <v>0.15</v>
      </c>
      <c r="L445" s="49">
        <f>VLOOKUP(H445,[4]Sheet2!K:P,6,0)</f>
        <v>1.8299999999999998E-3</v>
      </c>
      <c r="M445" s="50">
        <f>VLOOKUP(H445,[4]Sheet2!K:Q,7,0)</f>
        <v>17435.95</v>
      </c>
      <c r="N445" s="51"/>
      <c r="O445" s="51"/>
      <c r="P445" s="51"/>
      <c r="Q445" s="51"/>
      <c r="R445" s="51"/>
      <c r="S445" s="51"/>
      <c r="T445" s="51"/>
      <c r="U445" s="51"/>
      <c r="V445" s="52">
        <f>VLOOKUP(H445,[4]Sheet2!K:N,4,0)</f>
        <v>17435.95</v>
      </c>
      <c r="W445" s="52">
        <f t="shared" si="403"/>
        <v>0</v>
      </c>
      <c r="X445" s="52">
        <f>VLOOKUP(H445,[4]Sheet2!K:N,4,0)</f>
        <v>17435.95</v>
      </c>
      <c r="Y445" s="53">
        <f t="shared" si="404"/>
        <v>1</v>
      </c>
      <c r="Z445" s="53">
        <f t="shared" si="405"/>
        <v>0</v>
      </c>
      <c r="AA445" s="53">
        <f t="shared" si="406"/>
        <v>1</v>
      </c>
    </row>
    <row r="446" spans="1:27" ht="18.75" customHeight="1" outlineLevel="6" x14ac:dyDescent="0.3">
      <c r="B446" s="44"/>
      <c r="C446" s="18"/>
      <c r="D446" s="24"/>
      <c r="E446" s="29"/>
      <c r="F446" s="34"/>
      <c r="G446" s="39"/>
      <c r="H446" s="46" t="s">
        <v>501</v>
      </c>
      <c r="I446" s="46" t="s">
        <v>466</v>
      </c>
      <c r="J446" s="47" t="s">
        <v>30</v>
      </c>
      <c r="K446" s="48">
        <v>0.05</v>
      </c>
      <c r="L446" s="49">
        <f>VLOOKUP(H446,[4]Sheet2!K:P,6,0)</f>
        <v>6.0999999999999997E-4</v>
      </c>
      <c r="M446" s="50">
        <f>VLOOKUP(H446,[4]Sheet2!K:Q,7,0)</f>
        <v>17435.95</v>
      </c>
      <c r="N446" s="51"/>
      <c r="O446" s="51"/>
      <c r="P446" s="51"/>
      <c r="Q446" s="51"/>
      <c r="R446" s="51"/>
      <c r="S446" s="51"/>
      <c r="T446" s="51"/>
      <c r="U446" s="51"/>
      <c r="V446" s="52">
        <f>VLOOKUP(H446,[4]Sheet2!K:N,4,0)</f>
        <v>17435.95</v>
      </c>
      <c r="W446" s="52">
        <f t="shared" si="403"/>
        <v>0</v>
      </c>
      <c r="X446" s="52">
        <f>VLOOKUP(H446,[4]Sheet2!K:N,4,0)</f>
        <v>17435.95</v>
      </c>
      <c r="Y446" s="53">
        <f t="shared" si="404"/>
        <v>1</v>
      </c>
      <c r="Z446" s="53">
        <f t="shared" si="405"/>
        <v>0</v>
      </c>
      <c r="AA446" s="53">
        <f t="shared" si="406"/>
        <v>1</v>
      </c>
    </row>
    <row r="447" spans="1:27" ht="18.75" customHeight="1" outlineLevel="6" x14ac:dyDescent="0.3">
      <c r="B447" s="44"/>
      <c r="C447" s="18"/>
      <c r="D447" s="24"/>
      <c r="E447" s="29"/>
      <c r="F447" s="34"/>
      <c r="G447" s="39"/>
      <c r="H447" s="46" t="s">
        <v>502</v>
      </c>
      <c r="I447" s="46" t="s">
        <v>56</v>
      </c>
      <c r="J447" s="47" t="s">
        <v>30</v>
      </c>
      <c r="K447" s="48">
        <v>0.05</v>
      </c>
      <c r="L447" s="49">
        <f>VLOOKUP(H447,[4]Sheet2!K:P,6,0)</f>
        <v>6.0999999999999997E-4</v>
      </c>
      <c r="M447" s="50">
        <f>VLOOKUP(H447,[4]Sheet2!K:Q,7,0)</f>
        <v>17435.95</v>
      </c>
      <c r="N447" s="51"/>
      <c r="O447" s="51"/>
      <c r="P447" s="51"/>
      <c r="Q447" s="51"/>
      <c r="R447" s="51"/>
      <c r="S447" s="51"/>
      <c r="T447" s="51"/>
      <c r="U447" s="51"/>
      <c r="V447" s="52">
        <f>VLOOKUP(H447,[4]Sheet2!K:N,4,0)</f>
        <v>17435.95</v>
      </c>
      <c r="W447" s="52">
        <f t="shared" si="403"/>
        <v>0</v>
      </c>
      <c r="X447" s="52">
        <f>VLOOKUP(H447,[4]Sheet2!K:N,4,0)</f>
        <v>17435.95</v>
      </c>
      <c r="Y447" s="53">
        <f t="shared" si="404"/>
        <v>1</v>
      </c>
      <c r="Z447" s="53">
        <f t="shared" si="405"/>
        <v>0</v>
      </c>
      <c r="AA447" s="53">
        <f t="shared" si="406"/>
        <v>1</v>
      </c>
    </row>
    <row r="448" spans="1:27" ht="18.75" customHeight="1" outlineLevel="5" x14ac:dyDescent="0.3">
      <c r="B448" s="12"/>
      <c r="C448" s="18"/>
      <c r="D448" s="24"/>
      <c r="E448" s="29"/>
      <c r="F448" s="34"/>
      <c r="G448" s="39" t="s">
        <v>503</v>
      </c>
      <c r="H448" s="58"/>
      <c r="I448" s="58"/>
      <c r="J448" s="58"/>
      <c r="K448" s="58"/>
      <c r="L448" s="41">
        <f>SUM(L449:L454)</f>
        <v>8.0000000000000002E-3</v>
      </c>
      <c r="M448" s="42">
        <f>M449</f>
        <v>11450</v>
      </c>
      <c r="N448" s="40"/>
      <c r="O448" s="40"/>
      <c r="P448" s="40"/>
      <c r="Q448" s="40"/>
      <c r="R448" s="40"/>
      <c r="S448" s="40"/>
      <c r="T448" s="40"/>
      <c r="U448" s="40"/>
      <c r="V448" s="62">
        <f t="shared" ref="V448:X448" si="407">V449</f>
        <v>11450</v>
      </c>
      <c r="W448" s="62">
        <f t="shared" si="407"/>
        <v>0</v>
      </c>
      <c r="X448" s="62">
        <f t="shared" si="407"/>
        <v>11450</v>
      </c>
      <c r="Y448" s="43">
        <f>SUMPRODUCT(Y449:Y454,$K449:$K454)</f>
        <v>1</v>
      </c>
      <c r="Z448" s="43">
        <f t="shared" ref="Z448" si="408">Z449</f>
        <v>0</v>
      </c>
      <c r="AA448" s="43">
        <f>SUMPRODUCT(AA449:AA454,$K449:$K454)</f>
        <v>1</v>
      </c>
    </row>
    <row r="449" spans="1:27" ht="18.75" customHeight="1" outlineLevel="6" x14ac:dyDescent="0.3">
      <c r="B449" s="44"/>
      <c r="C449" s="18"/>
      <c r="D449" s="24"/>
      <c r="E449" s="29"/>
      <c r="F449" s="34"/>
      <c r="G449" s="39"/>
      <c r="H449" s="46" t="s">
        <v>504</v>
      </c>
      <c r="I449" s="46" t="s">
        <v>45</v>
      </c>
      <c r="J449" s="47" t="s">
        <v>30</v>
      </c>
      <c r="K449" s="48">
        <v>0.1</v>
      </c>
      <c r="L449" s="49">
        <f>VLOOKUP(H449,[4]Sheet2!K:P,6,0)</f>
        <v>8.0000000000000004E-4</v>
      </c>
      <c r="M449" s="50">
        <f>VLOOKUP(H449,[4]Sheet2!K:Q,7,0)</f>
        <v>11450</v>
      </c>
      <c r="N449" s="51"/>
      <c r="O449" s="51"/>
      <c r="P449" s="51"/>
      <c r="Q449" s="51"/>
      <c r="R449" s="51"/>
      <c r="S449" s="51"/>
      <c r="T449" s="51"/>
      <c r="U449" s="51"/>
      <c r="V449" s="52">
        <f>VLOOKUP(H449,[4]Sheet2!K:N,4,0)</f>
        <v>11450</v>
      </c>
      <c r="W449" s="52">
        <f t="shared" ref="W449:W454" si="409">X449-V449</f>
        <v>0</v>
      </c>
      <c r="X449" s="52">
        <f>VLOOKUP(H449,[4]Sheet2!K:N,4,0)</f>
        <v>11450</v>
      </c>
      <c r="Y449" s="53">
        <f t="shared" ref="Y449:Y454" si="410">IFERROR(V449/M449,1)</f>
        <v>1</v>
      </c>
      <c r="Z449" s="53">
        <f t="shared" ref="Z449:Z454" si="411">IFERROR(W449/M449,1)</f>
        <v>0</v>
      </c>
      <c r="AA449" s="53">
        <f t="shared" ref="AA449:AA454" si="412">IFERROR(X449/M449,1)</f>
        <v>1</v>
      </c>
    </row>
    <row r="450" spans="1:27" ht="18.75" customHeight="1" outlineLevel="6" x14ac:dyDescent="0.3">
      <c r="B450" s="44"/>
      <c r="C450" s="18"/>
      <c r="D450" s="24"/>
      <c r="E450" s="29"/>
      <c r="F450" s="34"/>
      <c r="G450" s="39"/>
      <c r="H450" s="46" t="s">
        <v>505</v>
      </c>
      <c r="I450" s="46" t="s">
        <v>460</v>
      </c>
      <c r="J450" s="47" t="s">
        <v>30</v>
      </c>
      <c r="K450" s="48">
        <v>0.05</v>
      </c>
      <c r="L450" s="49">
        <f>VLOOKUP(H450,[4]Sheet2!K:P,6,0)</f>
        <v>4.0000000000000002E-4</v>
      </c>
      <c r="M450" s="50">
        <f>VLOOKUP(H450,[4]Sheet2!K:Q,7,0)</f>
        <v>11450</v>
      </c>
      <c r="N450" s="51"/>
      <c r="O450" s="51"/>
      <c r="P450" s="51"/>
      <c r="Q450" s="51"/>
      <c r="R450" s="51"/>
      <c r="S450" s="51"/>
      <c r="T450" s="51"/>
      <c r="U450" s="51"/>
      <c r="V450" s="52">
        <f>VLOOKUP(H450,[4]Sheet2!K:N,4,0)</f>
        <v>11450</v>
      </c>
      <c r="W450" s="52">
        <f t="shared" si="409"/>
        <v>0</v>
      </c>
      <c r="X450" s="52">
        <f>VLOOKUP(H450,[4]Sheet2!K:N,4,0)</f>
        <v>11450</v>
      </c>
      <c r="Y450" s="53">
        <f t="shared" si="410"/>
        <v>1</v>
      </c>
      <c r="Z450" s="53">
        <f t="shared" si="411"/>
        <v>0</v>
      </c>
      <c r="AA450" s="53">
        <f t="shared" si="412"/>
        <v>1</v>
      </c>
    </row>
    <row r="451" spans="1:27" ht="18.75" customHeight="1" outlineLevel="6" x14ac:dyDescent="0.3">
      <c r="A451" s="1" t="s">
        <v>461</v>
      </c>
      <c r="B451" s="44"/>
      <c r="C451" s="18"/>
      <c r="D451" s="24"/>
      <c r="E451" s="29"/>
      <c r="F451" s="34"/>
      <c r="G451" s="39"/>
      <c r="H451" s="46" t="s">
        <v>506</v>
      </c>
      <c r="I451" s="46" t="s">
        <v>48</v>
      </c>
      <c r="J451" s="47" t="s">
        <v>30</v>
      </c>
      <c r="K451" s="48">
        <v>0.6</v>
      </c>
      <c r="L451" s="49">
        <f>VLOOKUP(H451,[4]Sheet2!K:P,6,0)</f>
        <v>4.8000000000000004E-3</v>
      </c>
      <c r="M451" s="50">
        <f>VLOOKUP(H451,[4]Sheet2!K:Q,7,0)</f>
        <v>11450</v>
      </c>
      <c r="N451" s="51"/>
      <c r="O451" s="51"/>
      <c r="P451" s="51"/>
      <c r="Q451" s="51"/>
      <c r="R451" s="51"/>
      <c r="S451" s="51"/>
      <c r="T451" s="51"/>
      <c r="U451" s="51"/>
      <c r="V451" s="52">
        <f>VLOOKUP(H451,[4]Sheet2!K:N,4,0)</f>
        <v>11450</v>
      </c>
      <c r="W451" s="52">
        <f t="shared" si="409"/>
        <v>0</v>
      </c>
      <c r="X451" s="52">
        <f>VLOOKUP(H451,[4]Sheet2!K:N,4,0)</f>
        <v>11450</v>
      </c>
      <c r="Y451" s="53">
        <f t="shared" si="410"/>
        <v>1</v>
      </c>
      <c r="Z451" s="53">
        <f t="shared" si="411"/>
        <v>0</v>
      </c>
      <c r="AA451" s="53">
        <f t="shared" si="412"/>
        <v>1</v>
      </c>
    </row>
    <row r="452" spans="1:27" ht="18.75" customHeight="1" outlineLevel="6" x14ac:dyDescent="0.3">
      <c r="B452" s="44"/>
      <c r="C452" s="18"/>
      <c r="D452" s="24"/>
      <c r="E452" s="29"/>
      <c r="F452" s="34"/>
      <c r="G452" s="39"/>
      <c r="H452" s="46" t="s">
        <v>507</v>
      </c>
      <c r="I452" s="46" t="s">
        <v>464</v>
      </c>
      <c r="J452" s="47" t="s">
        <v>30</v>
      </c>
      <c r="K452" s="48">
        <v>0.15</v>
      </c>
      <c r="L452" s="49">
        <f>VLOOKUP(H452,[4]Sheet2!K:P,6,0)</f>
        <v>1.2000000000000001E-3</v>
      </c>
      <c r="M452" s="50">
        <f>VLOOKUP(H452,[4]Sheet2!K:Q,7,0)</f>
        <v>11450</v>
      </c>
      <c r="N452" s="51"/>
      <c r="O452" s="51"/>
      <c r="P452" s="51"/>
      <c r="Q452" s="51"/>
      <c r="R452" s="51"/>
      <c r="S452" s="51"/>
      <c r="T452" s="51"/>
      <c r="U452" s="51"/>
      <c r="V452" s="52">
        <f>VLOOKUP(H452,[4]Sheet2!K:N,4,0)</f>
        <v>11450</v>
      </c>
      <c r="W452" s="52">
        <f t="shared" si="409"/>
        <v>0</v>
      </c>
      <c r="X452" s="52">
        <f>VLOOKUP(H452,[4]Sheet2!K:N,4,0)</f>
        <v>11450</v>
      </c>
      <c r="Y452" s="53">
        <f t="shared" si="410"/>
        <v>1</v>
      </c>
      <c r="Z452" s="53">
        <f t="shared" si="411"/>
        <v>0</v>
      </c>
      <c r="AA452" s="53">
        <f t="shared" si="412"/>
        <v>1</v>
      </c>
    </row>
    <row r="453" spans="1:27" ht="18.75" customHeight="1" outlineLevel="6" x14ac:dyDescent="0.3">
      <c r="B453" s="44"/>
      <c r="C453" s="18"/>
      <c r="D453" s="24"/>
      <c r="E453" s="29"/>
      <c r="F453" s="34"/>
      <c r="G453" s="39"/>
      <c r="H453" s="46" t="s">
        <v>508</v>
      </c>
      <c r="I453" s="46" t="s">
        <v>466</v>
      </c>
      <c r="J453" s="47" t="s">
        <v>30</v>
      </c>
      <c r="K453" s="48">
        <v>0.05</v>
      </c>
      <c r="L453" s="49">
        <f>VLOOKUP(H453,[4]Sheet2!K:P,6,0)</f>
        <v>4.0000000000000002E-4</v>
      </c>
      <c r="M453" s="50">
        <f>VLOOKUP(H453,[4]Sheet2!K:Q,7,0)</f>
        <v>11450</v>
      </c>
      <c r="N453" s="51"/>
      <c r="O453" s="51"/>
      <c r="P453" s="51"/>
      <c r="Q453" s="51"/>
      <c r="R453" s="51"/>
      <c r="S453" s="51"/>
      <c r="T453" s="51"/>
      <c r="U453" s="51"/>
      <c r="V453" s="52">
        <f>VLOOKUP(H453,[4]Sheet2!K:N,4,0)</f>
        <v>11450</v>
      </c>
      <c r="W453" s="52">
        <f t="shared" si="409"/>
        <v>0</v>
      </c>
      <c r="X453" s="52">
        <f>VLOOKUP(H453,[4]Sheet2!K:N,4,0)</f>
        <v>11450</v>
      </c>
      <c r="Y453" s="53">
        <f t="shared" si="410"/>
        <v>1</v>
      </c>
      <c r="Z453" s="53">
        <f t="shared" si="411"/>
        <v>0</v>
      </c>
      <c r="AA453" s="53">
        <f t="shared" si="412"/>
        <v>1</v>
      </c>
    </row>
    <row r="454" spans="1:27" ht="18.75" customHeight="1" outlineLevel="6" x14ac:dyDescent="0.3">
      <c r="B454" s="44"/>
      <c r="C454" s="18"/>
      <c r="D454" s="24"/>
      <c r="E454" s="29"/>
      <c r="F454" s="34"/>
      <c r="G454" s="39"/>
      <c r="H454" s="46" t="s">
        <v>509</v>
      </c>
      <c r="I454" s="46" t="s">
        <v>56</v>
      </c>
      <c r="J454" s="47" t="s">
        <v>30</v>
      </c>
      <c r="K454" s="48">
        <v>0.05</v>
      </c>
      <c r="L454" s="49">
        <f>VLOOKUP(H454,[4]Sheet2!K:P,6,0)</f>
        <v>4.0000000000000002E-4</v>
      </c>
      <c r="M454" s="50">
        <f>VLOOKUP(H454,[4]Sheet2!K:Q,7,0)</f>
        <v>11450</v>
      </c>
      <c r="N454" s="51"/>
      <c r="O454" s="51"/>
      <c r="P454" s="51"/>
      <c r="Q454" s="51"/>
      <c r="R454" s="51"/>
      <c r="S454" s="51"/>
      <c r="T454" s="51"/>
      <c r="U454" s="51"/>
      <c r="V454" s="52">
        <f>VLOOKUP(H454,[4]Sheet2!K:N,4,0)</f>
        <v>11450</v>
      </c>
      <c r="W454" s="52">
        <f t="shared" si="409"/>
        <v>0</v>
      </c>
      <c r="X454" s="52">
        <f>VLOOKUP(H454,[4]Sheet2!K:N,4,0)</f>
        <v>11450</v>
      </c>
      <c r="Y454" s="53">
        <f t="shared" si="410"/>
        <v>1</v>
      </c>
      <c r="Z454" s="53">
        <f t="shared" si="411"/>
        <v>0</v>
      </c>
      <c r="AA454" s="53">
        <f t="shared" si="412"/>
        <v>1</v>
      </c>
    </row>
    <row r="455" spans="1:27" ht="18.75" customHeight="1" outlineLevel="5" x14ac:dyDescent="0.3">
      <c r="B455" s="12"/>
      <c r="C455" s="18"/>
      <c r="D455" s="24"/>
      <c r="E455" s="29"/>
      <c r="F455" s="34"/>
      <c r="G455" s="39" t="s">
        <v>510</v>
      </c>
      <c r="H455" s="58"/>
      <c r="I455" s="58"/>
      <c r="J455" s="58"/>
      <c r="K455" s="58"/>
      <c r="L455" s="41">
        <f>SUM(L456:L461)</f>
        <v>1.5000000000000001E-2</v>
      </c>
      <c r="M455" s="42">
        <f>M456</f>
        <v>26899.33</v>
      </c>
      <c r="N455" s="40"/>
      <c r="O455" s="40"/>
      <c r="P455" s="40"/>
      <c r="Q455" s="40"/>
      <c r="R455" s="40"/>
      <c r="S455" s="40"/>
      <c r="T455" s="40"/>
      <c r="U455" s="40"/>
      <c r="V455" s="62">
        <f t="shared" ref="V455:X455" si="413">V456</f>
        <v>26899.33</v>
      </c>
      <c r="W455" s="62">
        <f t="shared" si="413"/>
        <v>0</v>
      </c>
      <c r="X455" s="62">
        <f t="shared" si="413"/>
        <v>26899.33</v>
      </c>
      <c r="Y455" s="43">
        <f>SUMPRODUCT(Y456:Y461,$K456:$K461)</f>
        <v>1</v>
      </c>
      <c r="Z455" s="43">
        <f t="shared" ref="Z455" si="414">Z456</f>
        <v>0</v>
      </c>
      <c r="AA455" s="43">
        <f>SUMPRODUCT(AA456:AA461,$K456:$K461)</f>
        <v>1</v>
      </c>
    </row>
    <row r="456" spans="1:27" ht="18.75" customHeight="1" outlineLevel="6" x14ac:dyDescent="0.3">
      <c r="B456" s="44"/>
      <c r="C456" s="18"/>
      <c r="D456" s="24"/>
      <c r="E456" s="29"/>
      <c r="F456" s="34"/>
      <c r="G456" s="39"/>
      <c r="H456" s="46" t="s">
        <v>511</v>
      </c>
      <c r="I456" s="46" t="s">
        <v>45</v>
      </c>
      <c r="J456" s="47" t="s">
        <v>30</v>
      </c>
      <c r="K456" s="48">
        <v>0.1</v>
      </c>
      <c r="L456" s="49">
        <f>VLOOKUP(H456,[4]Sheet2!K:P,6,0)</f>
        <v>1.5E-3</v>
      </c>
      <c r="M456" s="50">
        <f>VLOOKUP(H456,[4]Sheet2!K:Q,7,0)</f>
        <v>26899.33</v>
      </c>
      <c r="N456" s="51"/>
      <c r="O456" s="51"/>
      <c r="P456" s="51"/>
      <c r="Q456" s="51"/>
      <c r="R456" s="51"/>
      <c r="S456" s="51"/>
      <c r="T456" s="51"/>
      <c r="U456" s="51"/>
      <c r="V456" s="52">
        <f>VLOOKUP(H456,[4]Sheet2!K:N,4,0)</f>
        <v>26899.33</v>
      </c>
      <c r="W456" s="52">
        <f t="shared" ref="W456:W461" si="415">X456-V456</f>
        <v>0</v>
      </c>
      <c r="X456" s="52">
        <f>VLOOKUP(H456,[4]Sheet2!K:N,4,0)</f>
        <v>26899.33</v>
      </c>
      <c r="Y456" s="53">
        <f t="shared" ref="Y456:Y461" si="416">IFERROR(V456/M456,1)</f>
        <v>1</v>
      </c>
      <c r="Z456" s="53">
        <f t="shared" ref="Z456:Z461" si="417">IFERROR(W456/M456,1)</f>
        <v>0</v>
      </c>
      <c r="AA456" s="53">
        <f t="shared" ref="AA456:AA461" si="418">IFERROR(X456/M456,1)</f>
        <v>1</v>
      </c>
    </row>
    <row r="457" spans="1:27" ht="18.75" customHeight="1" outlineLevel="6" x14ac:dyDescent="0.3">
      <c r="B457" s="44"/>
      <c r="C457" s="18"/>
      <c r="D457" s="24"/>
      <c r="E457" s="29"/>
      <c r="F457" s="34"/>
      <c r="G457" s="39"/>
      <c r="H457" s="46" t="s">
        <v>512</v>
      </c>
      <c r="I457" s="46" t="s">
        <v>460</v>
      </c>
      <c r="J457" s="47" t="s">
        <v>30</v>
      </c>
      <c r="K457" s="48">
        <v>0.05</v>
      </c>
      <c r="L457" s="49">
        <f>VLOOKUP(H457,[4]Sheet2!K:P,6,0)</f>
        <v>7.5000000000000002E-4</v>
      </c>
      <c r="M457" s="50">
        <f>VLOOKUP(H457,[4]Sheet2!K:Q,7,0)</f>
        <v>26899.33</v>
      </c>
      <c r="N457" s="51"/>
      <c r="O457" s="51"/>
      <c r="P457" s="51"/>
      <c r="Q457" s="51"/>
      <c r="R457" s="51"/>
      <c r="S457" s="51"/>
      <c r="T457" s="51"/>
      <c r="U457" s="51"/>
      <c r="V457" s="52">
        <f>VLOOKUP(H457,[4]Sheet2!K:N,4,0)</f>
        <v>26899.33</v>
      </c>
      <c r="W457" s="52">
        <f t="shared" si="415"/>
        <v>0</v>
      </c>
      <c r="X457" s="52">
        <f>VLOOKUP(H457,[4]Sheet2!K:N,4,0)</f>
        <v>26899.33</v>
      </c>
      <c r="Y457" s="53">
        <f t="shared" si="416"/>
        <v>1</v>
      </c>
      <c r="Z457" s="53">
        <f t="shared" si="417"/>
        <v>0</v>
      </c>
      <c r="AA457" s="53">
        <f t="shared" si="418"/>
        <v>1</v>
      </c>
    </row>
    <row r="458" spans="1:27" ht="18.75" customHeight="1" outlineLevel="6" x14ac:dyDescent="0.3">
      <c r="A458" s="1" t="s">
        <v>461</v>
      </c>
      <c r="B458" s="44"/>
      <c r="C458" s="18"/>
      <c r="D458" s="24"/>
      <c r="E458" s="29"/>
      <c r="F458" s="34"/>
      <c r="G458" s="39"/>
      <c r="H458" s="46" t="s">
        <v>513</v>
      </c>
      <c r="I458" s="46" t="s">
        <v>48</v>
      </c>
      <c r="J458" s="47" t="s">
        <v>30</v>
      </c>
      <c r="K458" s="48">
        <v>0.6</v>
      </c>
      <c r="L458" s="49">
        <f>VLOOKUP(H458,[4]Sheet2!K:P,6,0)</f>
        <v>8.9999999999999993E-3</v>
      </c>
      <c r="M458" s="50">
        <f>VLOOKUP(H458,[4]Sheet2!K:Q,7,0)</f>
        <v>26899.33</v>
      </c>
      <c r="N458" s="51"/>
      <c r="O458" s="51"/>
      <c r="P458" s="51"/>
      <c r="Q458" s="51"/>
      <c r="R458" s="51"/>
      <c r="S458" s="51"/>
      <c r="T458" s="51"/>
      <c r="U458" s="51"/>
      <c r="V458" s="52">
        <f>VLOOKUP(H458,[4]Sheet2!K:N,4,0)</f>
        <v>26899.33</v>
      </c>
      <c r="W458" s="52">
        <f t="shared" si="415"/>
        <v>0</v>
      </c>
      <c r="X458" s="52">
        <f>VLOOKUP(H458,[4]Sheet2!K:N,4,0)</f>
        <v>26899.33</v>
      </c>
      <c r="Y458" s="53">
        <f t="shared" si="416"/>
        <v>1</v>
      </c>
      <c r="Z458" s="53">
        <f t="shared" si="417"/>
        <v>0</v>
      </c>
      <c r="AA458" s="53">
        <f t="shared" si="418"/>
        <v>1</v>
      </c>
    </row>
    <row r="459" spans="1:27" ht="18.75" customHeight="1" outlineLevel="6" x14ac:dyDescent="0.3">
      <c r="B459" s="44"/>
      <c r="C459" s="18"/>
      <c r="D459" s="24"/>
      <c r="E459" s="29"/>
      <c r="F459" s="34"/>
      <c r="G459" s="39"/>
      <c r="H459" s="46" t="s">
        <v>514</v>
      </c>
      <c r="I459" s="46" t="s">
        <v>464</v>
      </c>
      <c r="J459" s="47" t="s">
        <v>30</v>
      </c>
      <c r="K459" s="48">
        <v>0.15</v>
      </c>
      <c r="L459" s="49">
        <f>VLOOKUP(H459,[4]Sheet2!K:P,6,0)</f>
        <v>2.2499999999999998E-3</v>
      </c>
      <c r="M459" s="50">
        <f>VLOOKUP(H459,[4]Sheet2!K:Q,7,0)</f>
        <v>26899.33</v>
      </c>
      <c r="N459" s="51"/>
      <c r="O459" s="51"/>
      <c r="P459" s="51"/>
      <c r="Q459" s="51"/>
      <c r="R459" s="51"/>
      <c r="S459" s="51"/>
      <c r="T459" s="51"/>
      <c r="U459" s="51"/>
      <c r="V459" s="52">
        <f>VLOOKUP(H459,[4]Sheet2!K:N,4,0)</f>
        <v>26899.33</v>
      </c>
      <c r="W459" s="52">
        <f t="shared" si="415"/>
        <v>0</v>
      </c>
      <c r="X459" s="52">
        <f>VLOOKUP(H459,[4]Sheet2!K:N,4,0)</f>
        <v>26899.33</v>
      </c>
      <c r="Y459" s="53">
        <f t="shared" si="416"/>
        <v>1</v>
      </c>
      <c r="Z459" s="53">
        <f t="shared" si="417"/>
        <v>0</v>
      </c>
      <c r="AA459" s="53">
        <f t="shared" si="418"/>
        <v>1</v>
      </c>
    </row>
    <row r="460" spans="1:27" ht="18.75" customHeight="1" outlineLevel="6" x14ac:dyDescent="0.3">
      <c r="B460" s="44"/>
      <c r="C460" s="18"/>
      <c r="D460" s="24"/>
      <c r="E460" s="29"/>
      <c r="F460" s="34"/>
      <c r="G460" s="39"/>
      <c r="H460" s="46" t="s">
        <v>515</v>
      </c>
      <c r="I460" s="46" t="s">
        <v>466</v>
      </c>
      <c r="J460" s="47" t="s">
        <v>30</v>
      </c>
      <c r="K460" s="48">
        <v>0.05</v>
      </c>
      <c r="L460" s="49">
        <f>VLOOKUP(H460,[4]Sheet2!K:P,6,0)</f>
        <v>7.5000000000000002E-4</v>
      </c>
      <c r="M460" s="50">
        <f>VLOOKUP(H460,[4]Sheet2!K:Q,7,0)</f>
        <v>26899.33</v>
      </c>
      <c r="N460" s="51"/>
      <c r="O460" s="51"/>
      <c r="P460" s="51"/>
      <c r="Q460" s="51"/>
      <c r="R460" s="51"/>
      <c r="S460" s="51"/>
      <c r="T460" s="51"/>
      <c r="U460" s="51"/>
      <c r="V460" s="52">
        <f>VLOOKUP(H460,[4]Sheet2!K:N,4,0)</f>
        <v>26899.33</v>
      </c>
      <c r="W460" s="52">
        <f t="shared" si="415"/>
        <v>0</v>
      </c>
      <c r="X460" s="52">
        <f>VLOOKUP(H460,[4]Sheet2!K:N,4,0)</f>
        <v>26899.33</v>
      </c>
      <c r="Y460" s="53">
        <f t="shared" si="416"/>
        <v>1</v>
      </c>
      <c r="Z460" s="53">
        <f t="shared" si="417"/>
        <v>0</v>
      </c>
      <c r="AA460" s="53">
        <f t="shared" si="418"/>
        <v>1</v>
      </c>
    </row>
    <row r="461" spans="1:27" ht="18.75" customHeight="1" outlineLevel="6" x14ac:dyDescent="0.3">
      <c r="B461" s="44"/>
      <c r="C461" s="18"/>
      <c r="D461" s="24"/>
      <c r="E461" s="29"/>
      <c r="F461" s="34"/>
      <c r="G461" s="39"/>
      <c r="H461" s="46" t="s">
        <v>516</v>
      </c>
      <c r="I461" s="46" t="s">
        <v>56</v>
      </c>
      <c r="J461" s="47" t="s">
        <v>30</v>
      </c>
      <c r="K461" s="48">
        <v>0.05</v>
      </c>
      <c r="L461" s="49">
        <f>VLOOKUP(H461,[4]Sheet2!K:P,6,0)</f>
        <v>7.5000000000000002E-4</v>
      </c>
      <c r="M461" s="50">
        <f>VLOOKUP(H461,[4]Sheet2!K:Q,7,0)</f>
        <v>26899.33</v>
      </c>
      <c r="N461" s="51"/>
      <c r="O461" s="51"/>
      <c r="P461" s="51"/>
      <c r="Q461" s="51"/>
      <c r="R461" s="51"/>
      <c r="S461" s="51"/>
      <c r="T461" s="51"/>
      <c r="U461" s="51"/>
      <c r="V461" s="52">
        <f>VLOOKUP(H461,[4]Sheet2!K:N,4,0)</f>
        <v>26899.33</v>
      </c>
      <c r="W461" s="52">
        <f t="shared" si="415"/>
        <v>0</v>
      </c>
      <c r="X461" s="52">
        <f>VLOOKUP(H461,[4]Sheet2!K:N,4,0)</f>
        <v>26899.33</v>
      </c>
      <c r="Y461" s="53">
        <f t="shared" si="416"/>
        <v>1</v>
      </c>
      <c r="Z461" s="53">
        <f t="shared" si="417"/>
        <v>0</v>
      </c>
      <c r="AA461" s="53">
        <f t="shared" si="418"/>
        <v>1</v>
      </c>
    </row>
    <row r="462" spans="1:27" ht="18.75" customHeight="1" outlineLevel="5" x14ac:dyDescent="0.3">
      <c r="B462" s="12"/>
      <c r="C462" s="18"/>
      <c r="D462" s="24"/>
      <c r="E462" s="29"/>
      <c r="F462" s="34"/>
      <c r="G462" s="39" t="s">
        <v>517</v>
      </c>
      <c r="H462" s="58"/>
      <c r="I462" s="58"/>
      <c r="J462" s="58"/>
      <c r="K462" s="58"/>
      <c r="L462" s="41">
        <f>SUM(L463:L468)</f>
        <v>0.01</v>
      </c>
      <c r="M462" s="42">
        <f>M463</f>
        <v>1220.1400000000001</v>
      </c>
      <c r="N462" s="40"/>
      <c r="O462" s="40"/>
      <c r="P462" s="40"/>
      <c r="Q462" s="40"/>
      <c r="R462" s="40"/>
      <c r="S462" s="40"/>
      <c r="T462" s="40"/>
      <c r="U462" s="40"/>
      <c r="V462" s="62">
        <f t="shared" ref="V462:X462" si="419">V463</f>
        <v>0</v>
      </c>
      <c r="W462" s="62">
        <f t="shared" si="419"/>
        <v>0</v>
      </c>
      <c r="X462" s="62">
        <f t="shared" si="419"/>
        <v>0</v>
      </c>
      <c r="Y462" s="43">
        <f>SUMPRODUCT(Y463:Y468,$K463:$K468)</f>
        <v>0</v>
      </c>
      <c r="Z462" s="43">
        <f t="shared" ref="Z462" si="420">Z463</f>
        <v>0</v>
      </c>
      <c r="AA462" s="43">
        <f>SUMPRODUCT(AA463:AA468,$K463:$K468)</f>
        <v>0</v>
      </c>
    </row>
    <row r="463" spans="1:27" ht="18.75" customHeight="1" outlineLevel="6" x14ac:dyDescent="0.3">
      <c r="B463" s="44"/>
      <c r="C463" s="18"/>
      <c r="D463" s="24"/>
      <c r="E463" s="29"/>
      <c r="F463" s="34"/>
      <c r="G463" s="39"/>
      <c r="H463" s="46" t="s">
        <v>518</v>
      </c>
      <c r="I463" s="46" t="s">
        <v>45</v>
      </c>
      <c r="J463" s="47" t="s">
        <v>30</v>
      </c>
      <c r="K463" s="48">
        <v>0.1</v>
      </c>
      <c r="L463" s="49">
        <f>VLOOKUP(H463,[4]Sheet2!K:P,6,0)</f>
        <v>1E-3</v>
      </c>
      <c r="M463" s="50">
        <f>VLOOKUP(H463,[4]Sheet2!K:Q,7,0)</f>
        <v>1220.1400000000001</v>
      </c>
      <c r="N463" s="51"/>
      <c r="O463" s="51"/>
      <c r="P463" s="51"/>
      <c r="Q463" s="51"/>
      <c r="R463" s="51"/>
      <c r="S463" s="51"/>
      <c r="T463" s="51"/>
      <c r="U463" s="51"/>
      <c r="V463" s="52">
        <f>VLOOKUP(H463,[4]Sheet2!K:N,4,0)</f>
        <v>0</v>
      </c>
      <c r="W463" s="52">
        <f t="shared" ref="W463:W482" si="421">X463-V463</f>
        <v>0</v>
      </c>
      <c r="X463" s="52">
        <f>VLOOKUP(H463,[4]Sheet2!K:N,4,0)</f>
        <v>0</v>
      </c>
      <c r="Y463" s="53">
        <f t="shared" ref="Y463:Y468" si="422">IFERROR(V463/M463,1)</f>
        <v>0</v>
      </c>
      <c r="Z463" s="53">
        <f t="shared" ref="Z463:Z468" si="423">IFERROR(W463/M463,1)</f>
        <v>0</v>
      </c>
      <c r="AA463" s="53">
        <f t="shared" ref="AA463:AA468" si="424">IFERROR(X463/M463,1)</f>
        <v>0</v>
      </c>
    </row>
    <row r="464" spans="1:27" ht="18.75" customHeight="1" outlineLevel="6" x14ac:dyDescent="0.3">
      <c r="B464" s="44"/>
      <c r="C464" s="18"/>
      <c r="D464" s="24"/>
      <c r="E464" s="29"/>
      <c r="F464" s="34"/>
      <c r="G464" s="39"/>
      <c r="H464" s="46" t="s">
        <v>519</v>
      </c>
      <c r="I464" s="46" t="s">
        <v>460</v>
      </c>
      <c r="J464" s="47" t="s">
        <v>30</v>
      </c>
      <c r="K464" s="48">
        <v>0.05</v>
      </c>
      <c r="L464" s="49">
        <f>VLOOKUP(H464,[4]Sheet2!K:P,6,0)</f>
        <v>5.0000000000000001E-4</v>
      </c>
      <c r="M464" s="50">
        <f>VLOOKUP(H464,[4]Sheet2!K:Q,7,0)</f>
        <v>1220.1400000000001</v>
      </c>
      <c r="N464" s="51"/>
      <c r="O464" s="51"/>
      <c r="P464" s="51"/>
      <c r="Q464" s="51"/>
      <c r="R464" s="51"/>
      <c r="S464" s="51"/>
      <c r="T464" s="51"/>
      <c r="U464" s="51"/>
      <c r="V464" s="52">
        <f>VLOOKUP(H464,[4]Sheet2!K:N,4,0)</f>
        <v>0</v>
      </c>
      <c r="W464" s="52">
        <f t="shared" si="421"/>
        <v>0</v>
      </c>
      <c r="X464" s="52">
        <f>VLOOKUP(H464,[4]Sheet2!K:N,4,0)</f>
        <v>0</v>
      </c>
      <c r="Y464" s="53">
        <f t="shared" si="422"/>
        <v>0</v>
      </c>
      <c r="Z464" s="53">
        <f t="shared" si="423"/>
        <v>0</v>
      </c>
      <c r="AA464" s="53">
        <f t="shared" si="424"/>
        <v>0</v>
      </c>
    </row>
    <row r="465" spans="1:27" ht="18.75" customHeight="1" outlineLevel="6" x14ac:dyDescent="0.3">
      <c r="A465" s="1" t="s">
        <v>461</v>
      </c>
      <c r="B465" s="44"/>
      <c r="C465" s="18"/>
      <c r="D465" s="24"/>
      <c r="E465" s="29"/>
      <c r="F465" s="34"/>
      <c r="G465" s="39"/>
      <c r="H465" s="46" t="s">
        <v>520</v>
      </c>
      <c r="I465" s="46" t="s">
        <v>48</v>
      </c>
      <c r="J465" s="47" t="s">
        <v>30</v>
      </c>
      <c r="K465" s="48">
        <v>0.6</v>
      </c>
      <c r="L465" s="49">
        <f>VLOOKUP(H465,[4]Sheet2!K:P,6,0)</f>
        <v>6.0000000000000001E-3</v>
      </c>
      <c r="M465" s="50">
        <f>VLOOKUP(H465,[4]Sheet2!K:Q,7,0)</f>
        <v>1220.1400000000001</v>
      </c>
      <c r="N465" s="51"/>
      <c r="O465" s="51"/>
      <c r="P465" s="51"/>
      <c r="Q465" s="51"/>
      <c r="R465" s="51"/>
      <c r="S465" s="51"/>
      <c r="T465" s="51"/>
      <c r="U465" s="51"/>
      <c r="V465" s="52">
        <f>VLOOKUP(H465,[4]Sheet2!K:N,4,0)</f>
        <v>0</v>
      </c>
      <c r="W465" s="52">
        <f t="shared" si="421"/>
        <v>0</v>
      </c>
      <c r="X465" s="52">
        <f>VLOOKUP(H465,[4]Sheet2!K:N,4,0)</f>
        <v>0</v>
      </c>
      <c r="Y465" s="53">
        <f t="shared" si="422"/>
        <v>0</v>
      </c>
      <c r="Z465" s="53">
        <f t="shared" si="423"/>
        <v>0</v>
      </c>
      <c r="AA465" s="53">
        <f t="shared" si="424"/>
        <v>0</v>
      </c>
    </row>
    <row r="466" spans="1:27" ht="18.75" customHeight="1" outlineLevel="6" x14ac:dyDescent="0.3">
      <c r="B466" s="44"/>
      <c r="C466" s="18"/>
      <c r="D466" s="24"/>
      <c r="E466" s="29"/>
      <c r="F466" s="34"/>
      <c r="G466" s="39"/>
      <c r="H466" s="46" t="s">
        <v>521</v>
      </c>
      <c r="I466" s="46" t="s">
        <v>464</v>
      </c>
      <c r="J466" s="47" t="s">
        <v>30</v>
      </c>
      <c r="K466" s="48">
        <v>0.15</v>
      </c>
      <c r="L466" s="49">
        <f>VLOOKUP(H466,[4]Sheet2!K:P,6,0)</f>
        <v>1.5E-3</v>
      </c>
      <c r="M466" s="50">
        <f>VLOOKUP(H466,[4]Sheet2!K:Q,7,0)</f>
        <v>1220.1400000000001</v>
      </c>
      <c r="N466" s="51"/>
      <c r="O466" s="51"/>
      <c r="P466" s="51"/>
      <c r="Q466" s="51"/>
      <c r="R466" s="51"/>
      <c r="S466" s="51"/>
      <c r="T466" s="51"/>
      <c r="U466" s="51"/>
      <c r="V466" s="52">
        <f>VLOOKUP(H466,[4]Sheet2!K:N,4,0)</f>
        <v>0</v>
      </c>
      <c r="W466" s="52">
        <f t="shared" si="421"/>
        <v>0</v>
      </c>
      <c r="X466" s="52">
        <f>VLOOKUP(H466,[4]Sheet2!K:N,4,0)</f>
        <v>0</v>
      </c>
      <c r="Y466" s="53">
        <f t="shared" si="422"/>
        <v>0</v>
      </c>
      <c r="Z466" s="53">
        <f t="shared" si="423"/>
        <v>0</v>
      </c>
      <c r="AA466" s="53">
        <f t="shared" si="424"/>
        <v>0</v>
      </c>
    </row>
    <row r="467" spans="1:27" ht="18.75" customHeight="1" outlineLevel="6" x14ac:dyDescent="0.3">
      <c r="B467" s="44"/>
      <c r="C467" s="18"/>
      <c r="D467" s="24"/>
      <c r="E467" s="29"/>
      <c r="F467" s="34"/>
      <c r="G467" s="39"/>
      <c r="H467" s="46" t="s">
        <v>522</v>
      </c>
      <c r="I467" s="46" t="s">
        <v>466</v>
      </c>
      <c r="J467" s="47" t="s">
        <v>30</v>
      </c>
      <c r="K467" s="48">
        <v>0.05</v>
      </c>
      <c r="L467" s="49">
        <f>VLOOKUP(H467,[4]Sheet2!K:P,6,0)</f>
        <v>5.0000000000000001E-4</v>
      </c>
      <c r="M467" s="50">
        <f>VLOOKUP(H467,[4]Sheet2!K:Q,7,0)</f>
        <v>1220.1400000000001</v>
      </c>
      <c r="N467" s="51"/>
      <c r="O467" s="51"/>
      <c r="P467" s="51"/>
      <c r="Q467" s="51"/>
      <c r="R467" s="51"/>
      <c r="S467" s="51"/>
      <c r="T467" s="51"/>
      <c r="U467" s="51"/>
      <c r="V467" s="52">
        <f>VLOOKUP(H467,[4]Sheet2!K:N,4,0)</f>
        <v>0</v>
      </c>
      <c r="W467" s="52">
        <f t="shared" si="421"/>
        <v>0</v>
      </c>
      <c r="X467" s="52">
        <f>VLOOKUP(H467,[4]Sheet2!K:N,4,0)</f>
        <v>0</v>
      </c>
      <c r="Y467" s="53">
        <f t="shared" si="422"/>
        <v>0</v>
      </c>
      <c r="Z467" s="53">
        <f t="shared" si="423"/>
        <v>0</v>
      </c>
      <c r="AA467" s="53">
        <f t="shared" si="424"/>
        <v>0</v>
      </c>
    </row>
    <row r="468" spans="1:27" ht="18.75" customHeight="1" outlineLevel="6" x14ac:dyDescent="0.3">
      <c r="B468" s="44"/>
      <c r="C468" s="18"/>
      <c r="D468" s="24"/>
      <c r="E468" s="29"/>
      <c r="F468" s="34"/>
      <c r="G468" s="39"/>
      <c r="H468" s="46" t="s">
        <v>523</v>
      </c>
      <c r="I468" s="46" t="s">
        <v>56</v>
      </c>
      <c r="J468" s="47" t="s">
        <v>30</v>
      </c>
      <c r="K468" s="48">
        <v>0.05</v>
      </c>
      <c r="L468" s="49">
        <f>VLOOKUP(H468,[4]Sheet2!K:P,6,0)</f>
        <v>5.0000000000000001E-4</v>
      </c>
      <c r="M468" s="50">
        <f>VLOOKUP(H468,[4]Sheet2!K:Q,7,0)</f>
        <v>1220.1400000000001</v>
      </c>
      <c r="N468" s="51"/>
      <c r="O468" s="51"/>
      <c r="P468" s="51"/>
      <c r="Q468" s="51"/>
      <c r="R468" s="51"/>
      <c r="S468" s="51"/>
      <c r="T468" s="51"/>
      <c r="U468" s="51"/>
      <c r="V468" s="52">
        <f>VLOOKUP(H468,[4]Sheet2!K:N,4,0)</f>
        <v>0</v>
      </c>
      <c r="W468" s="52">
        <f t="shared" si="421"/>
        <v>0</v>
      </c>
      <c r="X468" s="52">
        <f>VLOOKUP(H468,[4]Sheet2!K:N,4,0)</f>
        <v>0</v>
      </c>
      <c r="Y468" s="53">
        <f t="shared" si="422"/>
        <v>0</v>
      </c>
      <c r="Z468" s="53">
        <f t="shared" si="423"/>
        <v>0</v>
      </c>
      <c r="AA468" s="53">
        <f t="shared" si="424"/>
        <v>0</v>
      </c>
    </row>
    <row r="469" spans="1:27" ht="18.75" customHeight="1" outlineLevel="5" x14ac:dyDescent="0.3">
      <c r="B469" s="12"/>
      <c r="C469" s="18"/>
      <c r="D469" s="24"/>
      <c r="E469" s="29"/>
      <c r="F469" s="34"/>
      <c r="G469" s="39" t="s">
        <v>524</v>
      </c>
      <c r="H469" s="58"/>
      <c r="I469" s="58"/>
      <c r="J469" s="58"/>
      <c r="K469" s="58"/>
      <c r="L469" s="41">
        <f>SUM(L470:L475)</f>
        <v>8.3000000000000001E-3</v>
      </c>
      <c r="M469" s="42">
        <f>M470</f>
        <v>4374</v>
      </c>
      <c r="N469" s="40"/>
      <c r="O469" s="40"/>
      <c r="P469" s="40"/>
      <c r="Q469" s="40"/>
      <c r="R469" s="40"/>
      <c r="S469" s="40"/>
      <c r="T469" s="40"/>
      <c r="U469" s="40"/>
      <c r="V469" s="62">
        <f t="shared" ref="V469:X469" si="425">V470</f>
        <v>4374</v>
      </c>
      <c r="W469" s="62">
        <f t="shared" si="425"/>
        <v>0</v>
      </c>
      <c r="X469" s="62">
        <f t="shared" si="425"/>
        <v>4374</v>
      </c>
      <c r="Y469" s="43">
        <f>SUMPRODUCT(Y470:Y475,$K470:$K475)</f>
        <v>1</v>
      </c>
      <c r="Z469" s="43">
        <f t="shared" ref="Z469" si="426">Z470</f>
        <v>0</v>
      </c>
      <c r="AA469" s="43">
        <f>SUMPRODUCT(AA470:AA475,$K470:$K475)</f>
        <v>1</v>
      </c>
    </row>
    <row r="470" spans="1:27" ht="18.75" customHeight="1" outlineLevel="6" x14ac:dyDescent="0.3">
      <c r="B470" s="44"/>
      <c r="C470" s="18"/>
      <c r="D470" s="24"/>
      <c r="E470" s="29"/>
      <c r="F470" s="34"/>
      <c r="G470" s="39"/>
      <c r="H470" s="46" t="s">
        <v>525</v>
      </c>
      <c r="I470" s="46" t="s">
        <v>45</v>
      </c>
      <c r="J470" s="47" t="s">
        <v>30</v>
      </c>
      <c r="K470" s="48">
        <v>0.1</v>
      </c>
      <c r="L470" s="49">
        <f>VLOOKUP(H470,[4]Sheet2!K:P,6,0)</f>
        <v>8.3000000000000001E-4</v>
      </c>
      <c r="M470" s="50">
        <f>VLOOKUP(H470,[4]Sheet2!K:Q,7,0)</f>
        <v>4374</v>
      </c>
      <c r="N470" s="51"/>
      <c r="O470" s="51"/>
      <c r="P470" s="51"/>
      <c r="Q470" s="51"/>
      <c r="R470" s="51"/>
      <c r="S470" s="51"/>
      <c r="T470" s="51"/>
      <c r="U470" s="51"/>
      <c r="V470" s="52">
        <f>VLOOKUP(H470,[4]Sheet2!K:N,4,0)</f>
        <v>4374</v>
      </c>
      <c r="W470" s="52">
        <f t="shared" si="421"/>
        <v>0</v>
      </c>
      <c r="X470" s="52">
        <f>VLOOKUP(H470,[4]Sheet2!K:N,4,0)</f>
        <v>4374</v>
      </c>
      <c r="Y470" s="53">
        <f t="shared" ref="Y470:Y475" si="427">IFERROR(V470/M470,1)</f>
        <v>1</v>
      </c>
      <c r="Z470" s="53">
        <f t="shared" ref="Z470:Z475" si="428">IFERROR(W470/M470,1)</f>
        <v>0</v>
      </c>
      <c r="AA470" s="53">
        <f t="shared" ref="AA470:AA475" si="429">IFERROR(X470/M470,1)</f>
        <v>1</v>
      </c>
    </row>
    <row r="471" spans="1:27" ht="18.75" customHeight="1" outlineLevel="6" x14ac:dyDescent="0.3">
      <c r="B471" s="44"/>
      <c r="C471" s="18"/>
      <c r="D471" s="24"/>
      <c r="E471" s="29"/>
      <c r="F471" s="34"/>
      <c r="G471" s="39"/>
      <c r="H471" s="46" t="s">
        <v>526</v>
      </c>
      <c r="I471" s="46" t="s">
        <v>460</v>
      </c>
      <c r="J471" s="47" t="s">
        <v>30</v>
      </c>
      <c r="K471" s="48">
        <v>0.05</v>
      </c>
      <c r="L471" s="49">
        <f>VLOOKUP(H471,[4]Sheet2!K:P,6,0)</f>
        <v>4.15E-4</v>
      </c>
      <c r="M471" s="50">
        <f>VLOOKUP(H471,[4]Sheet2!K:Q,7,0)</f>
        <v>4374</v>
      </c>
      <c r="N471" s="51"/>
      <c r="O471" s="51"/>
      <c r="P471" s="51"/>
      <c r="Q471" s="51"/>
      <c r="R471" s="51"/>
      <c r="S471" s="51"/>
      <c r="T471" s="51"/>
      <c r="U471" s="51"/>
      <c r="V471" s="52">
        <f>VLOOKUP(H471,[4]Sheet2!K:N,4,0)</f>
        <v>4374</v>
      </c>
      <c r="W471" s="52">
        <f t="shared" si="421"/>
        <v>0</v>
      </c>
      <c r="X471" s="52">
        <f>VLOOKUP(H471,[4]Sheet2!K:N,4,0)</f>
        <v>4374</v>
      </c>
      <c r="Y471" s="53">
        <f t="shared" si="427"/>
        <v>1</v>
      </c>
      <c r="Z471" s="53">
        <f t="shared" si="428"/>
        <v>0</v>
      </c>
      <c r="AA471" s="53">
        <f t="shared" si="429"/>
        <v>1</v>
      </c>
    </row>
    <row r="472" spans="1:27" ht="18.75" customHeight="1" outlineLevel="6" x14ac:dyDescent="0.3">
      <c r="A472" s="1" t="s">
        <v>461</v>
      </c>
      <c r="B472" s="44"/>
      <c r="C472" s="18"/>
      <c r="D472" s="24"/>
      <c r="E472" s="29"/>
      <c r="F472" s="34"/>
      <c r="G472" s="39"/>
      <c r="H472" s="46" t="s">
        <v>527</v>
      </c>
      <c r="I472" s="46" t="s">
        <v>48</v>
      </c>
      <c r="J472" s="47" t="s">
        <v>30</v>
      </c>
      <c r="K472" s="48">
        <v>0.6</v>
      </c>
      <c r="L472" s="49">
        <f>VLOOKUP(H472,[4]Sheet2!K:P,6,0)</f>
        <v>4.9800000000000001E-3</v>
      </c>
      <c r="M472" s="50">
        <f>VLOOKUP(H472,[4]Sheet2!K:Q,7,0)</f>
        <v>4374</v>
      </c>
      <c r="N472" s="51"/>
      <c r="O472" s="51"/>
      <c r="P472" s="51"/>
      <c r="Q472" s="51"/>
      <c r="R472" s="51"/>
      <c r="S472" s="51"/>
      <c r="T472" s="51"/>
      <c r="U472" s="51"/>
      <c r="V472" s="52">
        <f>VLOOKUP(H472,[4]Sheet2!K:N,4,0)</f>
        <v>4374</v>
      </c>
      <c r="W472" s="52">
        <f t="shared" si="421"/>
        <v>0</v>
      </c>
      <c r="X472" s="52">
        <f>VLOOKUP(H472,[4]Sheet2!K:N,4,0)</f>
        <v>4374</v>
      </c>
      <c r="Y472" s="53">
        <f t="shared" si="427"/>
        <v>1</v>
      </c>
      <c r="Z472" s="53">
        <f t="shared" si="428"/>
        <v>0</v>
      </c>
      <c r="AA472" s="53">
        <f t="shared" si="429"/>
        <v>1</v>
      </c>
    </row>
    <row r="473" spans="1:27" ht="18.75" customHeight="1" outlineLevel="6" x14ac:dyDescent="0.3">
      <c r="B473" s="44"/>
      <c r="C473" s="18"/>
      <c r="D473" s="24"/>
      <c r="E473" s="29"/>
      <c r="F473" s="34"/>
      <c r="G473" s="39"/>
      <c r="H473" s="46" t="s">
        <v>528</v>
      </c>
      <c r="I473" s="46" t="s">
        <v>464</v>
      </c>
      <c r="J473" s="47" t="s">
        <v>30</v>
      </c>
      <c r="K473" s="48">
        <v>0.15</v>
      </c>
      <c r="L473" s="49">
        <f>VLOOKUP(H473,[4]Sheet2!K:P,6,0)</f>
        <v>1.245E-3</v>
      </c>
      <c r="M473" s="50">
        <f>VLOOKUP(H473,[4]Sheet2!K:Q,7,0)</f>
        <v>4374</v>
      </c>
      <c r="N473" s="51"/>
      <c r="O473" s="51"/>
      <c r="P473" s="51"/>
      <c r="Q473" s="51"/>
      <c r="R473" s="51"/>
      <c r="S473" s="51"/>
      <c r="T473" s="51"/>
      <c r="U473" s="51"/>
      <c r="V473" s="52">
        <f>VLOOKUP(H473,[4]Sheet2!K:N,4,0)</f>
        <v>4374</v>
      </c>
      <c r="W473" s="52">
        <f t="shared" si="421"/>
        <v>0</v>
      </c>
      <c r="X473" s="52">
        <f>VLOOKUP(H473,[4]Sheet2!K:N,4,0)</f>
        <v>4374</v>
      </c>
      <c r="Y473" s="53">
        <f t="shared" si="427"/>
        <v>1</v>
      </c>
      <c r="Z473" s="53">
        <f t="shared" si="428"/>
        <v>0</v>
      </c>
      <c r="AA473" s="53">
        <f t="shared" si="429"/>
        <v>1</v>
      </c>
    </row>
    <row r="474" spans="1:27" ht="18.75" customHeight="1" outlineLevel="6" x14ac:dyDescent="0.3">
      <c r="B474" s="44"/>
      <c r="C474" s="18"/>
      <c r="D474" s="24"/>
      <c r="E474" s="29"/>
      <c r="F474" s="34"/>
      <c r="G474" s="39"/>
      <c r="H474" s="46" t="s">
        <v>529</v>
      </c>
      <c r="I474" s="46" t="s">
        <v>466</v>
      </c>
      <c r="J474" s="47" t="s">
        <v>30</v>
      </c>
      <c r="K474" s="48">
        <v>0.05</v>
      </c>
      <c r="L474" s="49">
        <f>VLOOKUP(H474,[4]Sheet2!K:P,6,0)</f>
        <v>4.15E-4</v>
      </c>
      <c r="M474" s="50">
        <f>VLOOKUP(H474,[4]Sheet2!K:Q,7,0)</f>
        <v>4374</v>
      </c>
      <c r="N474" s="51"/>
      <c r="O474" s="51"/>
      <c r="P474" s="51"/>
      <c r="Q474" s="51"/>
      <c r="R474" s="51"/>
      <c r="S474" s="51"/>
      <c r="T474" s="51"/>
      <c r="U474" s="51"/>
      <c r="V474" s="52">
        <f>VLOOKUP(H474,[4]Sheet2!K:N,4,0)</f>
        <v>4374</v>
      </c>
      <c r="W474" s="52">
        <f t="shared" si="421"/>
        <v>0</v>
      </c>
      <c r="X474" s="52">
        <f>VLOOKUP(H474,[4]Sheet2!K:N,4,0)</f>
        <v>4374</v>
      </c>
      <c r="Y474" s="53">
        <f t="shared" si="427"/>
        <v>1</v>
      </c>
      <c r="Z474" s="53">
        <f t="shared" si="428"/>
        <v>0</v>
      </c>
      <c r="AA474" s="53">
        <f t="shared" si="429"/>
        <v>1</v>
      </c>
    </row>
    <row r="475" spans="1:27" ht="18.75" customHeight="1" outlineLevel="6" x14ac:dyDescent="0.3">
      <c r="B475" s="44"/>
      <c r="C475" s="18"/>
      <c r="D475" s="24"/>
      <c r="E475" s="29"/>
      <c r="F475" s="34"/>
      <c r="G475" s="39"/>
      <c r="H475" s="46" t="s">
        <v>530</v>
      </c>
      <c r="I475" s="46" t="s">
        <v>56</v>
      </c>
      <c r="J475" s="47" t="s">
        <v>30</v>
      </c>
      <c r="K475" s="48">
        <v>0.05</v>
      </c>
      <c r="L475" s="49">
        <f>VLOOKUP(H475,[4]Sheet2!K:P,6,0)</f>
        <v>4.15E-4</v>
      </c>
      <c r="M475" s="50">
        <f>VLOOKUP(H475,[4]Sheet2!K:Q,7,0)</f>
        <v>4374</v>
      </c>
      <c r="N475" s="51"/>
      <c r="O475" s="51"/>
      <c r="P475" s="51"/>
      <c r="Q475" s="51"/>
      <c r="R475" s="51"/>
      <c r="S475" s="51"/>
      <c r="T475" s="51"/>
      <c r="U475" s="51"/>
      <c r="V475" s="52">
        <f>VLOOKUP(H475,[4]Sheet2!K:N,4,0)</f>
        <v>4374</v>
      </c>
      <c r="W475" s="52">
        <f t="shared" si="421"/>
        <v>0</v>
      </c>
      <c r="X475" s="52">
        <f>VLOOKUP(H475,[4]Sheet2!K:N,4,0)</f>
        <v>4374</v>
      </c>
      <c r="Y475" s="53">
        <f t="shared" si="427"/>
        <v>1</v>
      </c>
      <c r="Z475" s="53">
        <f t="shared" si="428"/>
        <v>0</v>
      </c>
      <c r="AA475" s="53">
        <f t="shared" si="429"/>
        <v>1</v>
      </c>
    </row>
    <row r="476" spans="1:27" ht="18.75" customHeight="1" outlineLevel="5" x14ac:dyDescent="0.3">
      <c r="B476" s="12"/>
      <c r="C476" s="18"/>
      <c r="D476" s="24"/>
      <c r="E476" s="29"/>
      <c r="F476" s="34"/>
      <c r="G476" s="39" t="s">
        <v>531</v>
      </c>
      <c r="H476" s="58"/>
      <c r="I476" s="58"/>
      <c r="J476" s="58"/>
      <c r="K476" s="58"/>
      <c r="L476" s="41">
        <f>SUM(L477:L482)</f>
        <v>5.0000000000000001E-3</v>
      </c>
      <c r="M476" s="42">
        <f>M477</f>
        <v>5043.25</v>
      </c>
      <c r="N476" s="40"/>
      <c r="O476" s="40"/>
      <c r="P476" s="40"/>
      <c r="Q476" s="40"/>
      <c r="R476" s="40"/>
      <c r="S476" s="40"/>
      <c r="T476" s="40"/>
      <c r="U476" s="40"/>
      <c r="V476" s="62">
        <f t="shared" ref="V476:X476" si="430">V477</f>
        <v>5043.25</v>
      </c>
      <c r="W476" s="62">
        <f t="shared" si="430"/>
        <v>0</v>
      </c>
      <c r="X476" s="62">
        <f t="shared" si="430"/>
        <v>5043.25</v>
      </c>
      <c r="Y476" s="43">
        <f>SUMPRODUCT(Y477:Y482,$K477:$K482)</f>
        <v>1</v>
      </c>
      <c r="Z476" s="43">
        <f t="shared" ref="Z476" si="431">Z477</f>
        <v>0</v>
      </c>
      <c r="AA476" s="43">
        <f>SUMPRODUCT(AA477:AA482,$K477:$K482)</f>
        <v>1</v>
      </c>
    </row>
    <row r="477" spans="1:27" ht="18.75" customHeight="1" outlineLevel="6" x14ac:dyDescent="0.3">
      <c r="B477" s="44"/>
      <c r="C477" s="18"/>
      <c r="D477" s="24"/>
      <c r="E477" s="29"/>
      <c r="F477" s="34"/>
      <c r="G477" s="39"/>
      <c r="H477" s="46" t="s">
        <v>532</v>
      </c>
      <c r="I477" s="46" t="s">
        <v>45</v>
      </c>
      <c r="J477" s="47" t="s">
        <v>30</v>
      </c>
      <c r="K477" s="48">
        <v>0.1</v>
      </c>
      <c r="L477" s="49">
        <f>VLOOKUP(H477,[4]Sheet2!K:P,6,0)</f>
        <v>5.0000000000000001E-4</v>
      </c>
      <c r="M477" s="50">
        <f>VLOOKUP(H477,[4]Sheet2!K:Q,7,0)</f>
        <v>5043.25</v>
      </c>
      <c r="N477" s="51"/>
      <c r="O477" s="51"/>
      <c r="P477" s="51"/>
      <c r="Q477" s="51"/>
      <c r="R477" s="51"/>
      <c r="S477" s="51"/>
      <c r="T477" s="51"/>
      <c r="U477" s="51"/>
      <c r="V477" s="52">
        <f>VLOOKUP(H477,[4]Sheet2!K:N,4,0)</f>
        <v>5043.25</v>
      </c>
      <c r="W477" s="52">
        <f t="shared" si="421"/>
        <v>0</v>
      </c>
      <c r="X477" s="52">
        <f>VLOOKUP(H477,[4]Sheet2!K:N,4,0)</f>
        <v>5043.25</v>
      </c>
      <c r="Y477" s="53">
        <f t="shared" ref="Y477:Y482" si="432">IFERROR(V477/M477,1)</f>
        <v>1</v>
      </c>
      <c r="Z477" s="53">
        <f t="shared" ref="Z477:Z482" si="433">IFERROR(W477/M477,1)</f>
        <v>0</v>
      </c>
      <c r="AA477" s="53">
        <f t="shared" ref="AA477:AA482" si="434">IFERROR(X477/M477,1)</f>
        <v>1</v>
      </c>
    </row>
    <row r="478" spans="1:27" ht="18.75" customHeight="1" outlineLevel="6" x14ac:dyDescent="0.3">
      <c r="B478" s="44"/>
      <c r="C478" s="18"/>
      <c r="D478" s="24"/>
      <c r="E478" s="29"/>
      <c r="F478" s="34"/>
      <c r="G478" s="39"/>
      <c r="H478" s="46" t="s">
        <v>533</v>
      </c>
      <c r="I478" s="46" t="s">
        <v>460</v>
      </c>
      <c r="J478" s="47" t="s">
        <v>30</v>
      </c>
      <c r="K478" s="48">
        <v>0.05</v>
      </c>
      <c r="L478" s="49">
        <f>VLOOKUP(H478,[4]Sheet2!K:P,6,0)</f>
        <v>2.5000000000000001E-4</v>
      </c>
      <c r="M478" s="50">
        <f>VLOOKUP(H478,[4]Sheet2!K:Q,7,0)</f>
        <v>5043.25</v>
      </c>
      <c r="N478" s="51"/>
      <c r="O478" s="51"/>
      <c r="P478" s="51"/>
      <c r="Q478" s="51"/>
      <c r="R478" s="51"/>
      <c r="S478" s="51"/>
      <c r="T478" s="51"/>
      <c r="U478" s="51"/>
      <c r="V478" s="52">
        <f>VLOOKUP(H478,[4]Sheet2!K:N,4,0)</f>
        <v>5043.25</v>
      </c>
      <c r="W478" s="52">
        <f t="shared" si="421"/>
        <v>0</v>
      </c>
      <c r="X478" s="52">
        <f>VLOOKUP(H478,[4]Sheet2!K:N,4,0)</f>
        <v>5043.25</v>
      </c>
      <c r="Y478" s="53">
        <f t="shared" si="432"/>
        <v>1</v>
      </c>
      <c r="Z478" s="53">
        <f t="shared" si="433"/>
        <v>0</v>
      </c>
      <c r="AA478" s="53">
        <f t="shared" si="434"/>
        <v>1</v>
      </c>
    </row>
    <row r="479" spans="1:27" ht="18.75" customHeight="1" outlineLevel="6" x14ac:dyDescent="0.3">
      <c r="A479" s="1" t="s">
        <v>461</v>
      </c>
      <c r="B479" s="44"/>
      <c r="C479" s="18"/>
      <c r="D479" s="24"/>
      <c r="E479" s="29"/>
      <c r="F479" s="34"/>
      <c r="G479" s="39"/>
      <c r="H479" s="46" t="s">
        <v>534</v>
      </c>
      <c r="I479" s="46" t="s">
        <v>48</v>
      </c>
      <c r="J479" s="47" t="s">
        <v>30</v>
      </c>
      <c r="K479" s="48">
        <v>0.6</v>
      </c>
      <c r="L479" s="49">
        <f>VLOOKUP(H479,[4]Sheet2!K:P,6,0)</f>
        <v>3.0000000000000001E-3</v>
      </c>
      <c r="M479" s="50">
        <f>VLOOKUP(H479,[4]Sheet2!K:Q,7,0)</f>
        <v>5043.25</v>
      </c>
      <c r="N479" s="51"/>
      <c r="O479" s="51"/>
      <c r="P479" s="51"/>
      <c r="Q479" s="51"/>
      <c r="R479" s="51"/>
      <c r="S479" s="51"/>
      <c r="T479" s="51"/>
      <c r="U479" s="51"/>
      <c r="V479" s="52">
        <f>VLOOKUP(H479,[4]Sheet2!K:N,4,0)</f>
        <v>5043.25</v>
      </c>
      <c r="W479" s="52">
        <f t="shared" si="421"/>
        <v>0</v>
      </c>
      <c r="X479" s="52">
        <f>VLOOKUP(H479,[4]Sheet2!K:N,4,0)</f>
        <v>5043.25</v>
      </c>
      <c r="Y479" s="53">
        <f t="shared" si="432"/>
        <v>1</v>
      </c>
      <c r="Z479" s="53">
        <f t="shared" si="433"/>
        <v>0</v>
      </c>
      <c r="AA479" s="53">
        <f t="shared" si="434"/>
        <v>1</v>
      </c>
    </row>
    <row r="480" spans="1:27" ht="18.75" customHeight="1" outlineLevel="6" x14ac:dyDescent="0.3">
      <c r="B480" s="44"/>
      <c r="C480" s="18"/>
      <c r="D480" s="24"/>
      <c r="E480" s="29"/>
      <c r="F480" s="34"/>
      <c r="G480" s="39"/>
      <c r="H480" s="46" t="s">
        <v>535</v>
      </c>
      <c r="I480" s="46" t="s">
        <v>464</v>
      </c>
      <c r="J480" s="47" t="s">
        <v>30</v>
      </c>
      <c r="K480" s="48">
        <v>0.15</v>
      </c>
      <c r="L480" s="49">
        <f>VLOOKUP(H480,[4]Sheet2!K:P,6,0)</f>
        <v>7.5000000000000002E-4</v>
      </c>
      <c r="M480" s="50">
        <f>VLOOKUP(H480,[4]Sheet2!K:Q,7,0)</f>
        <v>5043.25</v>
      </c>
      <c r="N480" s="51"/>
      <c r="O480" s="51"/>
      <c r="P480" s="51"/>
      <c r="Q480" s="51"/>
      <c r="R480" s="51"/>
      <c r="S480" s="51"/>
      <c r="T480" s="51"/>
      <c r="U480" s="51"/>
      <c r="V480" s="52">
        <f>VLOOKUP(H480,[4]Sheet2!K:N,4,0)</f>
        <v>5043.25</v>
      </c>
      <c r="W480" s="52">
        <f t="shared" si="421"/>
        <v>0</v>
      </c>
      <c r="X480" s="52">
        <f>VLOOKUP(H480,[4]Sheet2!K:N,4,0)</f>
        <v>5043.25</v>
      </c>
      <c r="Y480" s="53">
        <f t="shared" si="432"/>
        <v>1</v>
      </c>
      <c r="Z480" s="53">
        <f t="shared" si="433"/>
        <v>0</v>
      </c>
      <c r="AA480" s="53">
        <f t="shared" si="434"/>
        <v>1</v>
      </c>
    </row>
    <row r="481" spans="2:27" ht="18.75" customHeight="1" outlineLevel="6" x14ac:dyDescent="0.3">
      <c r="B481" s="44"/>
      <c r="C481" s="18"/>
      <c r="D481" s="24"/>
      <c r="E481" s="29"/>
      <c r="F481" s="34"/>
      <c r="G481" s="39"/>
      <c r="H481" s="46" t="s">
        <v>536</v>
      </c>
      <c r="I481" s="46" t="s">
        <v>466</v>
      </c>
      <c r="J481" s="47" t="s">
        <v>30</v>
      </c>
      <c r="K481" s="48">
        <v>0.05</v>
      </c>
      <c r="L481" s="49">
        <f>VLOOKUP(H481,[4]Sheet2!K:P,6,0)</f>
        <v>2.5000000000000001E-4</v>
      </c>
      <c r="M481" s="50">
        <f>VLOOKUP(H481,[4]Sheet2!K:Q,7,0)</f>
        <v>5043.25</v>
      </c>
      <c r="N481" s="51"/>
      <c r="O481" s="51"/>
      <c r="P481" s="51"/>
      <c r="Q481" s="51"/>
      <c r="R481" s="51"/>
      <c r="S481" s="51"/>
      <c r="T481" s="51"/>
      <c r="U481" s="51"/>
      <c r="V481" s="52">
        <f>VLOOKUP(H481,[4]Sheet2!K:N,4,0)</f>
        <v>5043.25</v>
      </c>
      <c r="W481" s="52">
        <f t="shared" si="421"/>
        <v>0</v>
      </c>
      <c r="X481" s="52">
        <f>VLOOKUP(H481,[4]Sheet2!K:N,4,0)</f>
        <v>5043.25</v>
      </c>
      <c r="Y481" s="53">
        <f t="shared" si="432"/>
        <v>1</v>
      </c>
      <c r="Z481" s="53">
        <f t="shared" si="433"/>
        <v>0</v>
      </c>
      <c r="AA481" s="53">
        <f t="shared" si="434"/>
        <v>1</v>
      </c>
    </row>
    <row r="482" spans="2:27" ht="18.75" customHeight="1" outlineLevel="6" x14ac:dyDescent="0.3">
      <c r="B482" s="44"/>
      <c r="C482" s="18"/>
      <c r="D482" s="24"/>
      <c r="E482" s="29"/>
      <c r="F482" s="34"/>
      <c r="G482" s="39"/>
      <c r="H482" s="46" t="s">
        <v>537</v>
      </c>
      <c r="I482" s="46" t="s">
        <v>56</v>
      </c>
      <c r="J482" s="47" t="s">
        <v>30</v>
      </c>
      <c r="K482" s="48">
        <v>0.05</v>
      </c>
      <c r="L482" s="49">
        <f>VLOOKUP(H482,[4]Sheet2!K:P,6,0)</f>
        <v>2.5000000000000001E-4</v>
      </c>
      <c r="M482" s="50">
        <f>VLOOKUP(H482,[4]Sheet2!K:Q,7,0)</f>
        <v>5043.25</v>
      </c>
      <c r="N482" s="51"/>
      <c r="O482" s="51"/>
      <c r="P482" s="51"/>
      <c r="Q482" s="51"/>
      <c r="R482" s="51"/>
      <c r="S482" s="51"/>
      <c r="T482" s="51"/>
      <c r="U482" s="51"/>
      <c r="V482" s="52">
        <f>VLOOKUP(H482,[4]Sheet2!K:N,4,0)</f>
        <v>5043.25</v>
      </c>
      <c r="W482" s="52">
        <f t="shared" si="421"/>
        <v>0</v>
      </c>
      <c r="X482" s="52">
        <f>VLOOKUP(H482,[4]Sheet2!K:N,4,0)</f>
        <v>5043.25</v>
      </c>
      <c r="Y482" s="53">
        <f t="shared" si="432"/>
        <v>1</v>
      </c>
      <c r="Z482" s="53">
        <f t="shared" si="433"/>
        <v>0</v>
      </c>
      <c r="AA482" s="53">
        <f t="shared" si="434"/>
        <v>1</v>
      </c>
    </row>
    <row r="483" spans="2:27" ht="18.75" customHeight="1" outlineLevel="3" x14ac:dyDescent="0.3">
      <c r="B483" s="12"/>
      <c r="C483" s="18"/>
      <c r="D483" s="24"/>
      <c r="E483" s="29" t="s">
        <v>538</v>
      </c>
      <c r="F483" s="29"/>
      <c r="G483" s="29"/>
      <c r="H483" s="56"/>
      <c r="I483" s="56"/>
      <c r="J483" s="56"/>
      <c r="K483" s="56"/>
      <c r="L483" s="31">
        <f>L484</f>
        <v>1.2500000000000001E-2</v>
      </c>
      <c r="M483" s="32">
        <f>M484</f>
        <v>134</v>
      </c>
      <c r="N483" s="30"/>
      <c r="O483" s="30"/>
      <c r="P483" s="30"/>
      <c r="Q483" s="30"/>
      <c r="R483" s="30"/>
      <c r="S483" s="30"/>
      <c r="T483" s="30"/>
      <c r="U483" s="30"/>
      <c r="V483" s="63">
        <f t="shared" ref="V483:AA483" si="435">V484</f>
        <v>0</v>
      </c>
      <c r="W483" s="63">
        <f t="shared" si="435"/>
        <v>0</v>
      </c>
      <c r="X483" s="63">
        <f t="shared" si="435"/>
        <v>0</v>
      </c>
      <c r="Y483" s="33">
        <f t="shared" si="435"/>
        <v>0</v>
      </c>
      <c r="Z483" s="33">
        <f t="shared" si="435"/>
        <v>0</v>
      </c>
      <c r="AA483" s="33">
        <f t="shared" si="435"/>
        <v>0</v>
      </c>
    </row>
    <row r="484" spans="2:27" ht="18.75" customHeight="1" outlineLevel="4" x14ac:dyDescent="0.3">
      <c r="B484" s="12"/>
      <c r="C484" s="18"/>
      <c r="D484" s="24"/>
      <c r="E484" s="29"/>
      <c r="F484" s="34" t="s">
        <v>539</v>
      </c>
      <c r="G484" s="34"/>
      <c r="H484" s="57"/>
      <c r="I484" s="57"/>
      <c r="J484" s="57"/>
      <c r="K484" s="57"/>
      <c r="L484" s="36">
        <f>L485+L487+L489+L491+L493+L495</f>
        <v>1.2500000000000001E-2</v>
      </c>
      <c r="M484" s="37">
        <f>M485+M487+M489+M491+M493+M495</f>
        <v>134</v>
      </c>
      <c r="N484" s="35"/>
      <c r="O484" s="35"/>
      <c r="P484" s="35"/>
      <c r="Q484" s="35"/>
      <c r="R484" s="35"/>
      <c r="S484" s="35"/>
      <c r="T484" s="35"/>
      <c r="U484" s="35"/>
      <c r="V484" s="61">
        <f t="shared" ref="V484:X484" si="436">(V485*$L485+V487*$L487+V489*$L489+V491*$L491+V493*$L493+V495*$L495)/$L484</f>
        <v>0</v>
      </c>
      <c r="W484" s="61">
        <f t="shared" si="436"/>
        <v>0</v>
      </c>
      <c r="X484" s="61">
        <f t="shared" si="436"/>
        <v>0</v>
      </c>
      <c r="Y484" s="38">
        <f>(Y485*$L485+Y487*$L487+Y489*$L489+Y491*$L491+Y493*$L493+Y495*$L495)/$L484</f>
        <v>0</v>
      </c>
      <c r="Z484" s="38">
        <f t="shared" ref="Z484:AA484" si="437">(Z485*$L485+Z487*$L487+Z489*$L489+Z491*$L491+Z493*$L493+Z495*$L495)/$L484</f>
        <v>0</v>
      </c>
      <c r="AA484" s="38">
        <f t="shared" si="437"/>
        <v>0</v>
      </c>
    </row>
    <row r="485" spans="2:27" ht="18.75" customHeight="1" outlineLevel="5" x14ac:dyDescent="0.3">
      <c r="B485" s="12"/>
      <c r="C485" s="18"/>
      <c r="D485" s="24"/>
      <c r="E485" s="29"/>
      <c r="F485" s="34"/>
      <c r="G485" s="39" t="s">
        <v>540</v>
      </c>
      <c r="H485" s="58"/>
      <c r="I485" s="58"/>
      <c r="J485" s="58"/>
      <c r="K485" s="58"/>
      <c r="L485" s="41">
        <f>L486</f>
        <v>2.5000000000000001E-3</v>
      </c>
      <c r="M485" s="42">
        <f>M486</f>
        <v>0.5</v>
      </c>
      <c r="N485" s="40"/>
      <c r="O485" s="40"/>
      <c r="P485" s="40"/>
      <c r="Q485" s="40"/>
      <c r="R485" s="40"/>
      <c r="S485" s="40"/>
      <c r="T485" s="40"/>
      <c r="U485" s="40"/>
      <c r="V485" s="62">
        <f t="shared" ref="V485:AA485" si="438">V486</f>
        <v>0</v>
      </c>
      <c r="W485" s="62">
        <f t="shared" si="438"/>
        <v>0</v>
      </c>
      <c r="X485" s="62">
        <f t="shared" si="438"/>
        <v>0</v>
      </c>
      <c r="Y485" s="43">
        <f t="shared" si="438"/>
        <v>0</v>
      </c>
      <c r="Z485" s="43">
        <f t="shared" si="438"/>
        <v>0</v>
      </c>
      <c r="AA485" s="43">
        <f t="shared" si="438"/>
        <v>0</v>
      </c>
    </row>
    <row r="486" spans="2:27" ht="18.75" customHeight="1" outlineLevel="6" x14ac:dyDescent="0.3">
      <c r="B486" s="44"/>
      <c r="C486" s="18"/>
      <c r="D486" s="24"/>
      <c r="E486" s="29"/>
      <c r="F486" s="34"/>
      <c r="G486" s="39"/>
      <c r="H486" s="46" t="s">
        <v>541</v>
      </c>
      <c r="I486" s="46" t="s">
        <v>464</v>
      </c>
      <c r="J486" s="47" t="s">
        <v>542</v>
      </c>
      <c r="K486" s="48">
        <v>1</v>
      </c>
      <c r="L486" s="49">
        <f>VLOOKUP(H486,[4]Sheet2!K:P,6,0)</f>
        <v>2.5000000000000001E-3</v>
      </c>
      <c r="M486" s="50">
        <f>VLOOKUP(H486,[4]Sheet2!K:Q,7,0)</f>
        <v>0.5</v>
      </c>
      <c r="N486" s="51"/>
      <c r="O486" s="51"/>
      <c r="P486" s="51"/>
      <c r="Q486" s="51"/>
      <c r="R486" s="51"/>
      <c r="S486" s="51"/>
      <c r="T486" s="51"/>
      <c r="U486" s="51"/>
      <c r="V486" s="52">
        <f>VLOOKUP(H486,[4]Sheet2!K:N,4,0)</f>
        <v>0</v>
      </c>
      <c r="W486" s="52">
        <f>X486-V486</f>
        <v>0</v>
      </c>
      <c r="X486" s="52">
        <f>VLOOKUP(H486,[4]Sheet2!K:N,4,0)</f>
        <v>0</v>
      </c>
      <c r="Y486" s="53">
        <f>IFERROR(V486/M486,1)</f>
        <v>0</v>
      </c>
      <c r="Z486" s="53">
        <f>IFERROR(W486/M486,1)</f>
        <v>0</v>
      </c>
      <c r="AA486" s="53">
        <f>IFERROR(X486/M486,1)</f>
        <v>0</v>
      </c>
    </row>
    <row r="487" spans="2:27" ht="18.75" customHeight="1" outlineLevel="5" x14ac:dyDescent="0.3">
      <c r="B487" s="12"/>
      <c r="C487" s="18"/>
      <c r="D487" s="24"/>
      <c r="E487" s="29"/>
      <c r="F487" s="34"/>
      <c r="G487" s="39" t="s">
        <v>543</v>
      </c>
      <c r="H487" s="58"/>
      <c r="I487" s="58"/>
      <c r="J487" s="58"/>
      <c r="K487" s="58"/>
      <c r="L487" s="41">
        <f>L488</f>
        <v>2.5000000000000001E-3</v>
      </c>
      <c r="M487" s="42">
        <f>M488</f>
        <v>0.5</v>
      </c>
      <c r="N487" s="40"/>
      <c r="O487" s="40"/>
      <c r="P487" s="40"/>
      <c r="Q487" s="40"/>
      <c r="R487" s="40"/>
      <c r="S487" s="40"/>
      <c r="T487" s="40"/>
      <c r="U487" s="40"/>
      <c r="V487" s="62">
        <f t="shared" ref="V487:AA487" si="439">V488</f>
        <v>0</v>
      </c>
      <c r="W487" s="62">
        <f t="shared" si="439"/>
        <v>0</v>
      </c>
      <c r="X487" s="62">
        <f t="shared" si="439"/>
        <v>0</v>
      </c>
      <c r="Y487" s="43">
        <f t="shared" si="439"/>
        <v>0</v>
      </c>
      <c r="Z487" s="43">
        <f t="shared" si="439"/>
        <v>0</v>
      </c>
      <c r="AA487" s="43">
        <f t="shared" si="439"/>
        <v>0</v>
      </c>
    </row>
    <row r="488" spans="2:27" ht="18.75" customHeight="1" outlineLevel="6" x14ac:dyDescent="0.3">
      <c r="B488" s="44"/>
      <c r="C488" s="18"/>
      <c r="D488" s="24"/>
      <c r="E488" s="29"/>
      <c r="F488" s="34"/>
      <c r="G488" s="39"/>
      <c r="H488" s="46" t="s">
        <v>544</v>
      </c>
      <c r="I488" s="46" t="s">
        <v>464</v>
      </c>
      <c r="J488" s="47" t="s">
        <v>542</v>
      </c>
      <c r="K488" s="48">
        <v>1</v>
      </c>
      <c r="L488" s="49">
        <f>VLOOKUP(H488,[4]Sheet2!K:P,6,0)</f>
        <v>2.5000000000000001E-3</v>
      </c>
      <c r="M488" s="50">
        <f>VLOOKUP(H488,[4]Sheet2!K:Q,7,0)</f>
        <v>0.5</v>
      </c>
      <c r="N488" s="51"/>
      <c r="O488" s="51"/>
      <c r="P488" s="51"/>
      <c r="Q488" s="51"/>
      <c r="R488" s="51"/>
      <c r="S488" s="51"/>
      <c r="T488" s="51"/>
      <c r="U488" s="51"/>
      <c r="V488" s="52">
        <f>VLOOKUP(H488,[4]Sheet2!K:N,4,0)</f>
        <v>0</v>
      </c>
      <c r="W488" s="52">
        <f>X488-V488</f>
        <v>0</v>
      </c>
      <c r="X488" s="52">
        <f>VLOOKUP(H488,[4]Sheet2!K:N,4,0)</f>
        <v>0</v>
      </c>
      <c r="Y488" s="53">
        <f>IFERROR(V488/M488,1)</f>
        <v>0</v>
      </c>
      <c r="Z488" s="53">
        <f>IFERROR(W488/M488,1)</f>
        <v>0</v>
      </c>
      <c r="AA488" s="53">
        <f>IFERROR(X488/M488,1)</f>
        <v>0</v>
      </c>
    </row>
    <row r="489" spans="2:27" ht="18.75" customHeight="1" outlineLevel="5" x14ac:dyDescent="0.3">
      <c r="B489" s="12"/>
      <c r="C489" s="18"/>
      <c r="D489" s="24"/>
      <c r="E489" s="29"/>
      <c r="F489" s="34"/>
      <c r="G489" s="39" t="s">
        <v>545</v>
      </c>
      <c r="H489" s="58"/>
      <c r="I489" s="58"/>
      <c r="J489" s="58"/>
      <c r="K489" s="58"/>
      <c r="L489" s="41">
        <f>L490</f>
        <v>2E-3</v>
      </c>
      <c r="M489" s="42">
        <f>M490</f>
        <v>18</v>
      </c>
      <c r="N489" s="40"/>
      <c r="O489" s="40"/>
      <c r="P489" s="40"/>
      <c r="Q489" s="40"/>
      <c r="R489" s="40"/>
      <c r="S489" s="40"/>
      <c r="T489" s="40"/>
      <c r="U489" s="40"/>
      <c r="V489" s="62">
        <f t="shared" ref="V489:AA489" si="440">V490</f>
        <v>0</v>
      </c>
      <c r="W489" s="62">
        <f t="shared" si="440"/>
        <v>0</v>
      </c>
      <c r="X489" s="62">
        <f t="shared" si="440"/>
        <v>0</v>
      </c>
      <c r="Y489" s="43">
        <f t="shared" si="440"/>
        <v>0</v>
      </c>
      <c r="Z489" s="43">
        <f t="shared" si="440"/>
        <v>0</v>
      </c>
      <c r="AA489" s="43">
        <f t="shared" si="440"/>
        <v>0</v>
      </c>
    </row>
    <row r="490" spans="2:27" ht="18.75" customHeight="1" outlineLevel="6" x14ac:dyDescent="0.3">
      <c r="B490" s="44"/>
      <c r="C490" s="18"/>
      <c r="D490" s="24"/>
      <c r="E490" s="29"/>
      <c r="F490" s="34"/>
      <c r="G490" s="39"/>
      <c r="H490" s="46" t="s">
        <v>546</v>
      </c>
      <c r="I490" s="46" t="s">
        <v>464</v>
      </c>
      <c r="J490" s="47" t="s">
        <v>542</v>
      </c>
      <c r="K490" s="48">
        <v>1</v>
      </c>
      <c r="L490" s="49">
        <f>VLOOKUP(H490,[4]Sheet2!K:P,6,0)</f>
        <v>2E-3</v>
      </c>
      <c r="M490" s="50">
        <f>VLOOKUP(H490,[4]Sheet2!K:Q,7,0)</f>
        <v>18</v>
      </c>
      <c r="N490" s="51"/>
      <c r="O490" s="51"/>
      <c r="P490" s="51"/>
      <c r="Q490" s="51"/>
      <c r="R490" s="51"/>
      <c r="S490" s="51"/>
      <c r="T490" s="51"/>
      <c r="U490" s="51"/>
      <c r="V490" s="52">
        <f>VLOOKUP(H490,[4]Sheet2!K:N,4,0)</f>
        <v>0</v>
      </c>
      <c r="W490" s="52">
        <f>X490-V490</f>
        <v>0</v>
      </c>
      <c r="X490" s="52">
        <f>VLOOKUP(H490,[4]Sheet2!K:N,4,0)</f>
        <v>0</v>
      </c>
      <c r="Y490" s="53">
        <f>IFERROR(V490/M490,1)</f>
        <v>0</v>
      </c>
      <c r="Z490" s="53">
        <f>IFERROR(W490/M490,1)</f>
        <v>0</v>
      </c>
      <c r="AA490" s="53">
        <f>IFERROR(X490/M490,1)</f>
        <v>0</v>
      </c>
    </row>
    <row r="491" spans="2:27" ht="18.75" customHeight="1" outlineLevel="5" x14ac:dyDescent="0.3">
      <c r="B491" s="12"/>
      <c r="C491" s="18"/>
      <c r="D491" s="24"/>
      <c r="E491" s="29"/>
      <c r="F491" s="34"/>
      <c r="G491" s="39" t="s">
        <v>547</v>
      </c>
      <c r="H491" s="58"/>
      <c r="I491" s="58"/>
      <c r="J491" s="58"/>
      <c r="K491" s="58"/>
      <c r="L491" s="41">
        <f>L492</f>
        <v>2E-3</v>
      </c>
      <c r="M491" s="42">
        <f>M492</f>
        <v>18</v>
      </c>
      <c r="N491" s="40"/>
      <c r="O491" s="40"/>
      <c r="P491" s="40"/>
      <c r="Q491" s="40"/>
      <c r="R491" s="40"/>
      <c r="S491" s="40"/>
      <c r="T491" s="40"/>
      <c r="U491" s="40"/>
      <c r="V491" s="62">
        <f t="shared" ref="V491:AA491" si="441">V492</f>
        <v>0</v>
      </c>
      <c r="W491" s="62">
        <f t="shared" si="441"/>
        <v>0</v>
      </c>
      <c r="X491" s="62">
        <f t="shared" si="441"/>
        <v>0</v>
      </c>
      <c r="Y491" s="43">
        <f t="shared" si="441"/>
        <v>0</v>
      </c>
      <c r="Z491" s="43">
        <f t="shared" si="441"/>
        <v>0</v>
      </c>
      <c r="AA491" s="43">
        <f t="shared" si="441"/>
        <v>0</v>
      </c>
    </row>
    <row r="492" spans="2:27" ht="18.75" customHeight="1" outlineLevel="6" x14ac:dyDescent="0.3">
      <c r="B492" s="44"/>
      <c r="C492" s="18"/>
      <c r="D492" s="24"/>
      <c r="E492" s="29"/>
      <c r="F492" s="34"/>
      <c r="G492" s="39"/>
      <c r="H492" s="46" t="s">
        <v>548</v>
      </c>
      <c r="I492" s="46" t="s">
        <v>464</v>
      </c>
      <c r="J492" s="47" t="s">
        <v>542</v>
      </c>
      <c r="K492" s="48">
        <v>1</v>
      </c>
      <c r="L492" s="49">
        <f>VLOOKUP(H492,[4]Sheet2!K:P,6,0)</f>
        <v>2E-3</v>
      </c>
      <c r="M492" s="50">
        <f>VLOOKUP(H492,[4]Sheet2!K:Q,7,0)</f>
        <v>18</v>
      </c>
      <c r="N492" s="51"/>
      <c r="O492" s="51"/>
      <c r="P492" s="51"/>
      <c r="Q492" s="51"/>
      <c r="R492" s="51"/>
      <c r="S492" s="51"/>
      <c r="T492" s="51"/>
      <c r="U492" s="51"/>
      <c r="V492" s="52">
        <f>VLOOKUP(H492,[4]Sheet2!K:N,4,0)</f>
        <v>0</v>
      </c>
      <c r="W492" s="52">
        <f>X492-V492</f>
        <v>0</v>
      </c>
      <c r="X492" s="52">
        <f>VLOOKUP(H492,[4]Sheet2!K:N,4,0)</f>
        <v>0</v>
      </c>
      <c r="Y492" s="53">
        <f>IFERROR(V492/M492,1)</f>
        <v>0</v>
      </c>
      <c r="Z492" s="53">
        <f>IFERROR(W492/M492,1)</f>
        <v>0</v>
      </c>
      <c r="AA492" s="53">
        <f>IFERROR(X492/M492,1)</f>
        <v>0</v>
      </c>
    </row>
    <row r="493" spans="2:27" ht="18.75" customHeight="1" outlineLevel="5" x14ac:dyDescent="0.3">
      <c r="B493" s="12"/>
      <c r="C493" s="18"/>
      <c r="D493" s="24"/>
      <c r="E493" s="29"/>
      <c r="F493" s="34"/>
      <c r="G493" s="39" t="s">
        <v>549</v>
      </c>
      <c r="H493" s="58"/>
      <c r="I493" s="58"/>
      <c r="J493" s="58"/>
      <c r="K493" s="58"/>
      <c r="L493" s="41">
        <f>L494</f>
        <v>2.5000000000000001E-3</v>
      </c>
      <c r="M493" s="42">
        <f>M494</f>
        <v>96</v>
      </c>
      <c r="N493" s="40"/>
      <c r="O493" s="40"/>
      <c r="P493" s="40"/>
      <c r="Q493" s="40"/>
      <c r="R493" s="40"/>
      <c r="S493" s="40"/>
      <c r="T493" s="40"/>
      <c r="U493" s="40"/>
      <c r="V493" s="62">
        <f t="shared" ref="V493:AA493" si="442">V494</f>
        <v>0</v>
      </c>
      <c r="W493" s="62">
        <f t="shared" si="442"/>
        <v>0</v>
      </c>
      <c r="X493" s="62">
        <f t="shared" si="442"/>
        <v>0</v>
      </c>
      <c r="Y493" s="43">
        <f t="shared" si="442"/>
        <v>0</v>
      </c>
      <c r="Z493" s="43">
        <f t="shared" si="442"/>
        <v>0</v>
      </c>
      <c r="AA493" s="43">
        <f t="shared" si="442"/>
        <v>0</v>
      </c>
    </row>
    <row r="494" spans="2:27" ht="18.75" customHeight="1" outlineLevel="6" x14ac:dyDescent="0.3">
      <c r="B494" s="44"/>
      <c r="C494" s="18"/>
      <c r="D494" s="24"/>
      <c r="E494" s="29"/>
      <c r="F494" s="34"/>
      <c r="G494" s="39"/>
      <c r="H494" s="46" t="s">
        <v>550</v>
      </c>
      <c r="I494" s="46" t="s">
        <v>464</v>
      </c>
      <c r="J494" s="47" t="s">
        <v>542</v>
      </c>
      <c r="K494" s="48">
        <v>1</v>
      </c>
      <c r="L494" s="49">
        <f>VLOOKUP(H494,[4]Sheet2!K:P,6,0)</f>
        <v>2.5000000000000001E-3</v>
      </c>
      <c r="M494" s="50">
        <f>VLOOKUP(H494,[4]Sheet2!K:Q,7,0)</f>
        <v>96</v>
      </c>
      <c r="N494" s="51"/>
      <c r="O494" s="51"/>
      <c r="P494" s="51"/>
      <c r="Q494" s="51"/>
      <c r="R494" s="51"/>
      <c r="S494" s="51"/>
      <c r="T494" s="51"/>
      <c r="U494" s="51"/>
      <c r="V494" s="52">
        <f>VLOOKUP(H494,[4]Sheet2!K:N,4,0)</f>
        <v>0</v>
      </c>
      <c r="W494" s="52">
        <f>X494-V494</f>
        <v>0</v>
      </c>
      <c r="X494" s="52">
        <f>VLOOKUP(H494,[4]Sheet2!K:N,4,0)</f>
        <v>0</v>
      </c>
      <c r="Y494" s="53">
        <f>IFERROR(V494/M494,1)</f>
        <v>0</v>
      </c>
      <c r="Z494" s="53">
        <f>IFERROR(W494/M494,1)</f>
        <v>0</v>
      </c>
      <c r="AA494" s="53">
        <f>IFERROR(X494/M494,1)</f>
        <v>0</v>
      </c>
    </row>
    <row r="495" spans="2:27" ht="18.75" customHeight="1" outlineLevel="5" x14ac:dyDescent="0.3">
      <c r="B495" s="12"/>
      <c r="C495" s="18"/>
      <c r="D495" s="24"/>
      <c r="E495" s="29"/>
      <c r="F495" s="34"/>
      <c r="G495" s="39" t="s">
        <v>551</v>
      </c>
      <c r="H495" s="58"/>
      <c r="I495" s="58"/>
      <c r="J495" s="58"/>
      <c r="K495" s="58"/>
      <c r="L495" s="41">
        <f>L496</f>
        <v>1E-3</v>
      </c>
      <c r="M495" s="42">
        <f>M496</f>
        <v>1</v>
      </c>
      <c r="N495" s="40"/>
      <c r="O495" s="40"/>
      <c r="P495" s="40"/>
      <c r="Q495" s="40"/>
      <c r="R495" s="40"/>
      <c r="S495" s="40"/>
      <c r="T495" s="40"/>
      <c r="U495" s="40"/>
      <c r="V495" s="62">
        <f t="shared" ref="V495:AA495" si="443">V496</f>
        <v>0</v>
      </c>
      <c r="W495" s="62">
        <f t="shared" si="443"/>
        <v>0</v>
      </c>
      <c r="X495" s="62">
        <f t="shared" si="443"/>
        <v>0</v>
      </c>
      <c r="Y495" s="43">
        <f t="shared" si="443"/>
        <v>0</v>
      </c>
      <c r="Z495" s="43">
        <f t="shared" si="443"/>
        <v>0</v>
      </c>
      <c r="AA495" s="43">
        <f t="shared" si="443"/>
        <v>0</v>
      </c>
    </row>
    <row r="496" spans="2:27" ht="18.75" customHeight="1" outlineLevel="6" x14ac:dyDescent="0.3">
      <c r="B496" s="44"/>
      <c r="C496" s="18"/>
      <c r="D496" s="24"/>
      <c r="E496" s="29"/>
      <c r="F496" s="34"/>
      <c r="G496" s="39"/>
      <c r="H496" s="46" t="s">
        <v>552</v>
      </c>
      <c r="I496" s="46" t="s">
        <v>464</v>
      </c>
      <c r="J496" s="47" t="s">
        <v>542</v>
      </c>
      <c r="K496" s="48">
        <v>1</v>
      </c>
      <c r="L496" s="49">
        <f>VLOOKUP(H496,[4]Sheet2!K:P,6,0)</f>
        <v>1E-3</v>
      </c>
      <c r="M496" s="50">
        <f>VLOOKUP(H496,[4]Sheet2!K:Q,7,0)</f>
        <v>1</v>
      </c>
      <c r="N496" s="51"/>
      <c r="O496" s="51"/>
      <c r="P496" s="51"/>
      <c r="Q496" s="51"/>
      <c r="R496" s="51"/>
      <c r="S496" s="51"/>
      <c r="T496" s="51"/>
      <c r="U496" s="51"/>
      <c r="V496" s="52">
        <f>VLOOKUP(H496,[4]Sheet2!K:N,4,0)</f>
        <v>0</v>
      </c>
      <c r="W496" s="52">
        <f>X496-V496</f>
        <v>0</v>
      </c>
      <c r="X496" s="52">
        <f>VLOOKUP(H496,[4]Sheet2!K:N,4,0)</f>
        <v>0</v>
      </c>
      <c r="Y496" s="53">
        <f>IFERROR(V496/M496,1)</f>
        <v>0</v>
      </c>
      <c r="Z496" s="53">
        <f>IFERROR(W496/M496,1)</f>
        <v>0</v>
      </c>
      <c r="AA496" s="53">
        <f>IFERROR(X496/M496,1)</f>
        <v>0</v>
      </c>
    </row>
    <row r="497" spans="1:27" ht="18.75" customHeight="1" outlineLevel="2" x14ac:dyDescent="0.3">
      <c r="B497" s="12"/>
      <c r="C497" s="18"/>
      <c r="D497" s="24" t="s">
        <v>553</v>
      </c>
      <c r="E497" s="24"/>
      <c r="F497" s="24"/>
      <c r="G497" s="24"/>
      <c r="H497" s="55"/>
      <c r="I497" s="55"/>
      <c r="J497" s="55"/>
      <c r="K497" s="55"/>
      <c r="L497" s="26">
        <f>L498</f>
        <v>0.02</v>
      </c>
      <c r="M497" s="27">
        <f>M498</f>
        <v>80000</v>
      </c>
      <c r="N497" s="25"/>
      <c r="O497" s="25"/>
      <c r="P497" s="25"/>
      <c r="Q497" s="25"/>
      <c r="R497" s="25"/>
      <c r="S497" s="25"/>
      <c r="T497" s="25"/>
      <c r="U497" s="25"/>
      <c r="V497" s="64">
        <f t="shared" ref="V497:AA498" si="444">V498</f>
        <v>0</v>
      </c>
      <c r="W497" s="64">
        <f t="shared" si="444"/>
        <v>0</v>
      </c>
      <c r="X497" s="64">
        <f t="shared" si="444"/>
        <v>0</v>
      </c>
      <c r="Y497" s="28">
        <f t="shared" si="444"/>
        <v>0</v>
      </c>
      <c r="Z497" s="28">
        <f t="shared" si="444"/>
        <v>0</v>
      </c>
      <c r="AA497" s="28">
        <f t="shared" si="444"/>
        <v>0</v>
      </c>
    </row>
    <row r="498" spans="1:27" ht="18.75" customHeight="1" outlineLevel="3" x14ac:dyDescent="0.3">
      <c r="B498" s="12"/>
      <c r="C498" s="18"/>
      <c r="D498" s="24"/>
      <c r="E498" s="29" t="s">
        <v>554</v>
      </c>
      <c r="F498" s="29"/>
      <c r="G498" s="29"/>
      <c r="H498" s="56"/>
      <c r="I498" s="56"/>
      <c r="J498" s="56"/>
      <c r="K498" s="56"/>
      <c r="L498" s="31">
        <f>L499</f>
        <v>0.02</v>
      </c>
      <c r="M498" s="32">
        <f>M499</f>
        <v>80000</v>
      </c>
      <c r="N498" s="30"/>
      <c r="O498" s="30"/>
      <c r="P498" s="30"/>
      <c r="Q498" s="30"/>
      <c r="R498" s="30"/>
      <c r="S498" s="30"/>
      <c r="T498" s="30"/>
      <c r="U498" s="30"/>
      <c r="V498" s="63">
        <f t="shared" si="444"/>
        <v>0</v>
      </c>
      <c r="W498" s="63">
        <f t="shared" si="444"/>
        <v>0</v>
      </c>
      <c r="X498" s="63">
        <f t="shared" si="444"/>
        <v>0</v>
      </c>
      <c r="Y498" s="33">
        <f t="shared" si="444"/>
        <v>0</v>
      </c>
      <c r="Z498" s="33">
        <f t="shared" si="444"/>
        <v>0</v>
      </c>
      <c r="AA498" s="33">
        <f t="shared" si="444"/>
        <v>0</v>
      </c>
    </row>
    <row r="499" spans="1:27" ht="18.75" customHeight="1" outlineLevel="4" x14ac:dyDescent="0.3">
      <c r="B499" s="12"/>
      <c r="C499" s="18"/>
      <c r="D499" s="24"/>
      <c r="E499" s="29"/>
      <c r="F499" s="34" t="s">
        <v>555</v>
      </c>
      <c r="G499" s="34"/>
      <c r="H499" s="57"/>
      <c r="I499" s="57"/>
      <c r="J499" s="57"/>
      <c r="K499" s="57"/>
      <c r="L499" s="36">
        <f>L500+L509+L516</f>
        <v>0.02</v>
      </c>
      <c r="M499" s="37">
        <f>M500+M509+M516</f>
        <v>80000</v>
      </c>
      <c r="N499" s="35"/>
      <c r="O499" s="35"/>
      <c r="P499" s="35"/>
      <c r="Q499" s="35"/>
      <c r="R499" s="35"/>
      <c r="S499" s="35"/>
      <c r="T499" s="35"/>
      <c r="U499" s="35"/>
      <c r="V499" s="61">
        <f t="shared" ref="V499:X499" si="445">(V500*$L500+V509*$L509+V516*$L516)/$L499</f>
        <v>0</v>
      </c>
      <c r="W499" s="61">
        <f t="shared" si="445"/>
        <v>0</v>
      </c>
      <c r="X499" s="61">
        <f t="shared" si="445"/>
        <v>0</v>
      </c>
      <c r="Y499" s="38">
        <f>(Y500*$L500+Y509*$L509+Y516*$L516)/$L499</f>
        <v>0</v>
      </c>
      <c r="Z499" s="38">
        <f t="shared" ref="Z499:AA499" si="446">(Z500*$L500+Z509*$L509+Z516*$L516)/$L499</f>
        <v>0</v>
      </c>
      <c r="AA499" s="38">
        <f t="shared" si="446"/>
        <v>0</v>
      </c>
    </row>
    <row r="500" spans="1:27" ht="18.75" customHeight="1" outlineLevel="5" x14ac:dyDescent="0.3">
      <c r="B500" s="12"/>
      <c r="C500" s="18"/>
      <c r="D500" s="24"/>
      <c r="E500" s="29"/>
      <c r="F500" s="34"/>
      <c r="G500" s="39" t="s">
        <v>556</v>
      </c>
      <c r="H500" s="58"/>
      <c r="I500" s="58"/>
      <c r="J500" s="58"/>
      <c r="K500" s="58"/>
      <c r="L500" s="41">
        <f>SUM(L501:L508)</f>
        <v>1.5000000000000001E-2</v>
      </c>
      <c r="M500" s="42">
        <v>72000</v>
      </c>
      <c r="N500" s="40"/>
      <c r="O500" s="40"/>
      <c r="P500" s="40"/>
      <c r="Q500" s="40"/>
      <c r="R500" s="40"/>
      <c r="S500" s="40"/>
      <c r="T500" s="40"/>
      <c r="U500" s="40"/>
      <c r="V500" s="62">
        <f t="shared" ref="V500:X500" si="447">SUMPRODUCT(V501:V508,$K501:$K508)</f>
        <v>0</v>
      </c>
      <c r="W500" s="62">
        <f t="shared" si="447"/>
        <v>0</v>
      </c>
      <c r="X500" s="62">
        <f t="shared" si="447"/>
        <v>0</v>
      </c>
      <c r="Y500" s="43">
        <f>SUMPRODUCT(Y501:Y508,$K501:$K508)</f>
        <v>0</v>
      </c>
      <c r="Z500" s="43">
        <f t="shared" ref="Z500:AA500" si="448">SUMPRODUCT(Z501:Z508,$K501:$K508)</f>
        <v>0</v>
      </c>
      <c r="AA500" s="43">
        <f t="shared" si="448"/>
        <v>0</v>
      </c>
    </row>
    <row r="501" spans="1:27" ht="18.75" customHeight="1" outlineLevel="6" x14ac:dyDescent="0.3">
      <c r="B501" s="44"/>
      <c r="C501" s="18"/>
      <c r="D501" s="24"/>
      <c r="E501" s="29"/>
      <c r="F501" s="34"/>
      <c r="G501" s="39"/>
      <c r="H501" s="46" t="s">
        <v>557</v>
      </c>
      <c r="I501" s="46" t="s">
        <v>45</v>
      </c>
      <c r="J501" s="47" t="s">
        <v>59</v>
      </c>
      <c r="K501" s="48">
        <v>0.05</v>
      </c>
      <c r="L501" s="49">
        <f>VLOOKUP(H501,[4]Sheet2!K:P,6,0)</f>
        <v>7.5000000000000002E-4</v>
      </c>
      <c r="M501" s="50">
        <f>VLOOKUP(H501,[4]Sheet2!K:Q,7,0)</f>
        <v>72000</v>
      </c>
      <c r="N501" s="51"/>
      <c r="O501" s="51"/>
      <c r="P501" s="51"/>
      <c r="Q501" s="51"/>
      <c r="R501" s="51"/>
      <c r="S501" s="51"/>
      <c r="T501" s="51"/>
      <c r="U501" s="51"/>
      <c r="V501" s="52">
        <f>VLOOKUP(H501,[4]Sheet2!K:N,4,0)</f>
        <v>0</v>
      </c>
      <c r="W501" s="52">
        <f t="shared" ref="W501:W521" si="449">X501-V501</f>
        <v>0</v>
      </c>
      <c r="X501" s="52">
        <f>VLOOKUP(H501,[4]Sheet2!K:N,4,0)</f>
        <v>0</v>
      </c>
      <c r="Y501" s="53">
        <f t="shared" ref="Y501:Y508" si="450">IFERROR(V501/M501,1)</f>
        <v>0</v>
      </c>
      <c r="Z501" s="53">
        <f t="shared" ref="Z501:Z508" si="451">IFERROR(W501/M501,1)</f>
        <v>0</v>
      </c>
      <c r="AA501" s="53">
        <f t="shared" ref="AA501:AA508" si="452">IFERROR(X501/M501,1)</f>
        <v>0</v>
      </c>
    </row>
    <row r="502" spans="1:27" ht="18.75" customHeight="1" outlineLevel="6" x14ac:dyDescent="0.3">
      <c r="B502" s="44"/>
      <c r="C502" s="18"/>
      <c r="D502" s="24"/>
      <c r="E502" s="29"/>
      <c r="F502" s="34"/>
      <c r="G502" s="39"/>
      <c r="H502" s="46" t="s">
        <v>558</v>
      </c>
      <c r="I502" s="46" t="s">
        <v>61</v>
      </c>
      <c r="J502" s="47" t="s">
        <v>59</v>
      </c>
      <c r="K502" s="48">
        <v>0.05</v>
      </c>
      <c r="L502" s="49">
        <f>VLOOKUP(H502,[4]Sheet2!K:P,6,0)</f>
        <v>7.5000000000000002E-4</v>
      </c>
      <c r="M502" s="50">
        <f>VLOOKUP(H502,[4]Sheet2!K:Q,7,0)</f>
        <v>72000</v>
      </c>
      <c r="N502" s="51"/>
      <c r="O502" s="51"/>
      <c r="P502" s="51"/>
      <c r="Q502" s="51"/>
      <c r="R502" s="51"/>
      <c r="S502" s="51"/>
      <c r="T502" s="51"/>
      <c r="U502" s="51"/>
      <c r="V502" s="52">
        <f>VLOOKUP(H502,[4]Sheet2!K:N,4,0)</f>
        <v>0</v>
      </c>
      <c r="W502" s="52">
        <f t="shared" si="449"/>
        <v>0</v>
      </c>
      <c r="X502" s="52">
        <f>VLOOKUP(H502,[4]Sheet2!K:N,4,0)</f>
        <v>0</v>
      </c>
      <c r="Y502" s="53">
        <f t="shared" si="450"/>
        <v>0</v>
      </c>
      <c r="Z502" s="53">
        <f t="shared" si="451"/>
        <v>0</v>
      </c>
      <c r="AA502" s="53">
        <f t="shared" si="452"/>
        <v>0</v>
      </c>
    </row>
    <row r="503" spans="1:27" ht="18.75" customHeight="1" outlineLevel="6" x14ac:dyDescent="0.3">
      <c r="A503" s="1" t="s">
        <v>559</v>
      </c>
      <c r="B503" s="44"/>
      <c r="C503" s="18"/>
      <c r="D503" s="24"/>
      <c r="E503" s="29"/>
      <c r="F503" s="34"/>
      <c r="G503" s="39"/>
      <c r="H503" s="46" t="s">
        <v>560</v>
      </c>
      <c r="I503" s="46" t="s">
        <v>63</v>
      </c>
      <c r="J503" s="47" t="s">
        <v>59</v>
      </c>
      <c r="K503" s="48">
        <v>0.5</v>
      </c>
      <c r="L503" s="49">
        <f>VLOOKUP(H503,[4]Sheet2!K:P,6,0)</f>
        <v>7.4999999999999997E-3</v>
      </c>
      <c r="M503" s="50">
        <f>VLOOKUP(H503,[4]Sheet2!K:Q,7,0)</f>
        <v>72000</v>
      </c>
      <c r="N503" s="51"/>
      <c r="O503" s="51"/>
      <c r="P503" s="51"/>
      <c r="Q503" s="51"/>
      <c r="R503" s="51"/>
      <c r="S503" s="51"/>
      <c r="T503" s="51"/>
      <c r="U503" s="51"/>
      <c r="V503" s="52">
        <f>VLOOKUP(H503,[4]Sheet2!K:N,4,0)</f>
        <v>0</v>
      </c>
      <c r="W503" s="52">
        <f t="shared" si="449"/>
        <v>0</v>
      </c>
      <c r="X503" s="52">
        <f>VLOOKUP(H503,[4]Sheet2!K:N,4,0)</f>
        <v>0</v>
      </c>
      <c r="Y503" s="53">
        <f t="shared" si="450"/>
        <v>0</v>
      </c>
      <c r="Z503" s="53">
        <f t="shared" si="451"/>
        <v>0</v>
      </c>
      <c r="AA503" s="53">
        <f t="shared" si="452"/>
        <v>0</v>
      </c>
    </row>
    <row r="504" spans="1:27" ht="18.75" customHeight="1" outlineLevel="6" x14ac:dyDescent="0.3">
      <c r="B504" s="44"/>
      <c r="C504" s="18"/>
      <c r="D504" s="24"/>
      <c r="E504" s="29"/>
      <c r="F504" s="34"/>
      <c r="G504" s="39"/>
      <c r="H504" s="46" t="s">
        <v>561</v>
      </c>
      <c r="I504" s="46" t="s">
        <v>65</v>
      </c>
      <c r="J504" s="47" t="s">
        <v>59</v>
      </c>
      <c r="K504" s="48">
        <v>0.1</v>
      </c>
      <c r="L504" s="49">
        <f>VLOOKUP(H504,[4]Sheet2!K:P,6,0)</f>
        <v>1.5E-3</v>
      </c>
      <c r="M504" s="50">
        <f>VLOOKUP(H504,[4]Sheet2!K:Q,7,0)</f>
        <v>72000</v>
      </c>
      <c r="N504" s="51"/>
      <c r="O504" s="51"/>
      <c r="P504" s="51"/>
      <c r="Q504" s="51"/>
      <c r="R504" s="51"/>
      <c r="S504" s="51"/>
      <c r="T504" s="51"/>
      <c r="U504" s="51"/>
      <c r="V504" s="52">
        <f>VLOOKUP(H504,[4]Sheet2!K:N,4,0)</f>
        <v>0</v>
      </c>
      <c r="W504" s="52">
        <f t="shared" si="449"/>
        <v>0</v>
      </c>
      <c r="X504" s="52">
        <f>VLOOKUP(H504,[4]Sheet2!K:N,4,0)</f>
        <v>0</v>
      </c>
      <c r="Y504" s="53">
        <f t="shared" si="450"/>
        <v>0</v>
      </c>
      <c r="Z504" s="53">
        <f t="shared" si="451"/>
        <v>0</v>
      </c>
      <c r="AA504" s="53">
        <f t="shared" si="452"/>
        <v>0</v>
      </c>
    </row>
    <row r="505" spans="1:27" ht="18.75" customHeight="1" outlineLevel="6" x14ac:dyDescent="0.3">
      <c r="B505" s="44"/>
      <c r="C505" s="18"/>
      <c r="D505" s="24"/>
      <c r="E505" s="29"/>
      <c r="F505" s="34"/>
      <c r="G505" s="39"/>
      <c r="H505" s="46" t="s">
        <v>562</v>
      </c>
      <c r="I505" s="46" t="s">
        <v>67</v>
      </c>
      <c r="J505" s="47" t="s">
        <v>59</v>
      </c>
      <c r="K505" s="48">
        <v>0.15</v>
      </c>
      <c r="L505" s="49">
        <f>VLOOKUP(H505,[4]Sheet2!K:P,6,0)</f>
        <v>2.2499999999999998E-3</v>
      </c>
      <c r="M505" s="50">
        <f>VLOOKUP(H505,[4]Sheet2!K:Q,7,0)</f>
        <v>72000</v>
      </c>
      <c r="N505" s="51"/>
      <c r="O505" s="51"/>
      <c r="P505" s="51"/>
      <c r="Q505" s="51"/>
      <c r="R505" s="51"/>
      <c r="S505" s="51"/>
      <c r="T505" s="51"/>
      <c r="U505" s="51"/>
      <c r="V505" s="52">
        <f>VLOOKUP(H505,[4]Sheet2!K:N,4,0)</f>
        <v>0</v>
      </c>
      <c r="W505" s="52">
        <f t="shared" si="449"/>
        <v>0</v>
      </c>
      <c r="X505" s="52">
        <f>VLOOKUP(H505,[4]Sheet2!K:N,4,0)</f>
        <v>0</v>
      </c>
      <c r="Y505" s="53">
        <f t="shared" si="450"/>
        <v>0</v>
      </c>
      <c r="Z505" s="53">
        <f t="shared" si="451"/>
        <v>0</v>
      </c>
      <c r="AA505" s="53">
        <f t="shared" si="452"/>
        <v>0</v>
      </c>
    </row>
    <row r="506" spans="1:27" ht="18.75" customHeight="1" outlineLevel="6" x14ac:dyDescent="0.3">
      <c r="B506" s="44"/>
      <c r="C506" s="18"/>
      <c r="D506" s="24"/>
      <c r="E506" s="29"/>
      <c r="F506" s="34"/>
      <c r="G506" s="39"/>
      <c r="H506" s="46" t="s">
        <v>563</v>
      </c>
      <c r="I506" s="46" t="s">
        <v>69</v>
      </c>
      <c r="J506" s="47" t="s">
        <v>59</v>
      </c>
      <c r="K506" s="48">
        <v>0.05</v>
      </c>
      <c r="L506" s="49">
        <f>VLOOKUP(H506,[4]Sheet2!K:P,6,0)</f>
        <v>7.5000000000000002E-4</v>
      </c>
      <c r="M506" s="50">
        <f>VLOOKUP(H506,[4]Sheet2!K:Q,7,0)</f>
        <v>72000</v>
      </c>
      <c r="N506" s="51"/>
      <c r="O506" s="51"/>
      <c r="P506" s="51"/>
      <c r="Q506" s="51"/>
      <c r="R506" s="51"/>
      <c r="S506" s="51"/>
      <c r="T506" s="51"/>
      <c r="U506" s="51"/>
      <c r="V506" s="52">
        <f>VLOOKUP(H506,[4]Sheet2!K:N,4,0)</f>
        <v>0</v>
      </c>
      <c r="W506" s="52">
        <f t="shared" si="449"/>
        <v>0</v>
      </c>
      <c r="X506" s="52">
        <f>VLOOKUP(H506,[4]Sheet2!K:N,4,0)</f>
        <v>0</v>
      </c>
      <c r="Y506" s="53">
        <f t="shared" si="450"/>
        <v>0</v>
      </c>
      <c r="Z506" s="53">
        <f t="shared" si="451"/>
        <v>0</v>
      </c>
      <c r="AA506" s="53">
        <f t="shared" si="452"/>
        <v>0</v>
      </c>
    </row>
    <row r="507" spans="1:27" ht="18.75" customHeight="1" outlineLevel="6" x14ac:dyDescent="0.3">
      <c r="B507" s="44"/>
      <c r="C507" s="18"/>
      <c r="D507" s="24"/>
      <c r="E507" s="29"/>
      <c r="F507" s="34"/>
      <c r="G507" s="39"/>
      <c r="H507" s="46" t="s">
        <v>564</v>
      </c>
      <c r="I507" s="46" t="s">
        <v>71</v>
      </c>
      <c r="J507" s="47" t="s">
        <v>59</v>
      </c>
      <c r="K507" s="48">
        <v>0.05</v>
      </c>
      <c r="L507" s="49">
        <f>VLOOKUP(H507,[4]Sheet2!K:P,6,0)</f>
        <v>7.5000000000000002E-4</v>
      </c>
      <c r="M507" s="50">
        <f>VLOOKUP(H507,[4]Sheet2!K:Q,7,0)</f>
        <v>72000</v>
      </c>
      <c r="N507" s="51"/>
      <c r="O507" s="51"/>
      <c r="P507" s="51"/>
      <c r="Q507" s="51"/>
      <c r="R507" s="51"/>
      <c r="S507" s="51"/>
      <c r="T507" s="51"/>
      <c r="U507" s="51"/>
      <c r="V507" s="52">
        <f>VLOOKUP(H507,[4]Sheet2!K:N,4,0)</f>
        <v>0</v>
      </c>
      <c r="W507" s="52">
        <f t="shared" si="449"/>
        <v>0</v>
      </c>
      <c r="X507" s="52">
        <f>VLOOKUP(H507,[4]Sheet2!K:N,4,0)</f>
        <v>0</v>
      </c>
      <c r="Y507" s="53">
        <f t="shared" si="450"/>
        <v>0</v>
      </c>
      <c r="Z507" s="53">
        <f t="shared" si="451"/>
        <v>0</v>
      </c>
      <c r="AA507" s="53">
        <f t="shared" si="452"/>
        <v>0</v>
      </c>
    </row>
    <row r="508" spans="1:27" ht="18.75" customHeight="1" outlineLevel="6" x14ac:dyDescent="0.3">
      <c r="B508" s="44"/>
      <c r="C508" s="18"/>
      <c r="D508" s="24"/>
      <c r="E508" s="29"/>
      <c r="F508" s="34"/>
      <c r="G508" s="39"/>
      <c r="H508" s="46" t="s">
        <v>565</v>
      </c>
      <c r="I508" s="46" t="s">
        <v>73</v>
      </c>
      <c r="J508" s="47" t="s">
        <v>59</v>
      </c>
      <c r="K508" s="48">
        <v>0.05</v>
      </c>
      <c r="L508" s="49">
        <f>VLOOKUP(H508,[4]Sheet2!K:P,6,0)</f>
        <v>7.5000000000000002E-4</v>
      </c>
      <c r="M508" s="50">
        <f>VLOOKUP(H508,[4]Sheet2!K:Q,7,0)</f>
        <v>72000</v>
      </c>
      <c r="N508" s="51"/>
      <c r="O508" s="51"/>
      <c r="P508" s="51"/>
      <c r="Q508" s="51"/>
      <c r="R508" s="51"/>
      <c r="S508" s="51"/>
      <c r="T508" s="51"/>
      <c r="U508" s="51"/>
      <c r="V508" s="52">
        <f>VLOOKUP(H508,[4]Sheet2!K:N,4,0)</f>
        <v>0</v>
      </c>
      <c r="W508" s="52">
        <f t="shared" si="449"/>
        <v>0</v>
      </c>
      <c r="X508" s="52">
        <f>VLOOKUP(H508,[4]Sheet2!K:N,4,0)</f>
        <v>0</v>
      </c>
      <c r="Y508" s="53">
        <f t="shared" si="450"/>
        <v>0</v>
      </c>
      <c r="Z508" s="53">
        <f t="shared" si="451"/>
        <v>0</v>
      </c>
      <c r="AA508" s="53">
        <f t="shared" si="452"/>
        <v>0</v>
      </c>
    </row>
    <row r="509" spans="1:27" ht="18.75" customHeight="1" outlineLevel="5" x14ac:dyDescent="0.3">
      <c r="B509" s="12"/>
      <c r="C509" s="18"/>
      <c r="D509" s="24"/>
      <c r="E509" s="29"/>
      <c r="F509" s="34"/>
      <c r="G509" s="39" t="s">
        <v>566</v>
      </c>
      <c r="H509" s="58"/>
      <c r="I509" s="58"/>
      <c r="J509" s="58"/>
      <c r="K509" s="58"/>
      <c r="L509" s="41">
        <f>SUM(L510:L515)</f>
        <v>2.5000000000000001E-3</v>
      </c>
      <c r="M509" s="42">
        <v>3000</v>
      </c>
      <c r="N509" s="40"/>
      <c r="O509" s="40"/>
      <c r="P509" s="40"/>
      <c r="Q509" s="40"/>
      <c r="R509" s="40"/>
      <c r="S509" s="40"/>
      <c r="T509" s="40"/>
      <c r="U509" s="40"/>
      <c r="V509" s="62">
        <f t="shared" ref="V509:X509" si="453">SUMPRODUCT(V510:V515,$K510:$K515)</f>
        <v>0</v>
      </c>
      <c r="W509" s="62">
        <f t="shared" si="453"/>
        <v>0</v>
      </c>
      <c r="X509" s="62">
        <f t="shared" si="453"/>
        <v>0</v>
      </c>
      <c r="Y509" s="43">
        <f>SUMPRODUCT(Y510:Y515,$K510:$K515)</f>
        <v>0</v>
      </c>
      <c r="Z509" s="43">
        <f t="shared" ref="Z509:AA509" si="454">SUMPRODUCT(Z510:Z515,$K510:$K515)</f>
        <v>0</v>
      </c>
      <c r="AA509" s="43">
        <f t="shared" si="454"/>
        <v>0</v>
      </c>
    </row>
    <row r="510" spans="1:27" ht="18.75" customHeight="1" outlineLevel="6" x14ac:dyDescent="0.3">
      <c r="B510" s="44"/>
      <c r="C510" s="18"/>
      <c r="D510" s="24"/>
      <c r="E510" s="29"/>
      <c r="F510" s="34"/>
      <c r="G510" s="39"/>
      <c r="H510" s="46" t="s">
        <v>567</v>
      </c>
      <c r="I510" s="46" t="s">
        <v>45</v>
      </c>
      <c r="J510" s="47" t="s">
        <v>30</v>
      </c>
      <c r="K510" s="48">
        <v>0.05</v>
      </c>
      <c r="L510" s="49">
        <f>VLOOKUP(H510,[4]Sheet2!K:P,6,0)</f>
        <v>1.25E-4</v>
      </c>
      <c r="M510" s="50">
        <f>VLOOKUP(H510,[4]Sheet2!K:Q,7,0)</f>
        <v>3000</v>
      </c>
      <c r="N510" s="51"/>
      <c r="O510" s="51"/>
      <c r="P510" s="51"/>
      <c r="Q510" s="51"/>
      <c r="R510" s="51"/>
      <c r="S510" s="51"/>
      <c r="T510" s="51"/>
      <c r="U510" s="51"/>
      <c r="V510" s="52">
        <f>VLOOKUP(H510,[4]Sheet2!K:N,4,0)</f>
        <v>0</v>
      </c>
      <c r="W510" s="52">
        <f t="shared" si="449"/>
        <v>0</v>
      </c>
      <c r="X510" s="52">
        <f>VLOOKUP(H510,[4]Sheet2!K:N,4,0)</f>
        <v>0</v>
      </c>
      <c r="Y510" s="53">
        <f t="shared" ref="Y510:Y515" si="455">IFERROR(V510/M510,1)</f>
        <v>0</v>
      </c>
      <c r="Z510" s="53">
        <f t="shared" ref="Z510:Z515" si="456">IFERROR(W510/M510,1)</f>
        <v>0</v>
      </c>
      <c r="AA510" s="53">
        <f t="shared" ref="AA510:AA515" si="457">IFERROR(X510/M510,1)</f>
        <v>0</v>
      </c>
    </row>
    <row r="511" spans="1:27" ht="18.75" customHeight="1" outlineLevel="6" x14ac:dyDescent="0.3">
      <c r="A511" s="1" t="s">
        <v>559</v>
      </c>
      <c r="B511" s="44"/>
      <c r="C511" s="18"/>
      <c r="D511" s="24"/>
      <c r="E511" s="29"/>
      <c r="F511" s="34"/>
      <c r="G511" s="39"/>
      <c r="H511" s="46" t="s">
        <v>568</v>
      </c>
      <c r="I511" s="46" t="s">
        <v>48</v>
      </c>
      <c r="J511" s="47" t="s">
        <v>30</v>
      </c>
      <c r="K511" s="48">
        <v>0.5</v>
      </c>
      <c r="L511" s="49">
        <f>VLOOKUP(H511,[4]Sheet2!K:P,6,0)</f>
        <v>1.25E-3</v>
      </c>
      <c r="M511" s="50">
        <f>VLOOKUP(H511,[4]Sheet2!K:Q,7,0)</f>
        <v>3000</v>
      </c>
      <c r="N511" s="51"/>
      <c r="O511" s="51"/>
      <c r="P511" s="51"/>
      <c r="Q511" s="51"/>
      <c r="R511" s="51"/>
      <c r="S511" s="51"/>
      <c r="T511" s="51"/>
      <c r="U511" s="51"/>
      <c r="V511" s="52">
        <f>VLOOKUP(H511,[4]Sheet2!K:N,4,0)</f>
        <v>0</v>
      </c>
      <c r="W511" s="52">
        <f t="shared" si="449"/>
        <v>0</v>
      </c>
      <c r="X511" s="52">
        <f>VLOOKUP(H511,[4]Sheet2!K:N,4,0)</f>
        <v>0</v>
      </c>
      <c r="Y511" s="53">
        <f t="shared" si="455"/>
        <v>0</v>
      </c>
      <c r="Z511" s="53">
        <f t="shared" si="456"/>
        <v>0</v>
      </c>
      <c r="AA511" s="53">
        <f t="shared" si="457"/>
        <v>0</v>
      </c>
    </row>
    <row r="512" spans="1:27" ht="18.75" customHeight="1" outlineLevel="6" x14ac:dyDescent="0.3">
      <c r="B512" s="44"/>
      <c r="C512" s="18"/>
      <c r="D512" s="24"/>
      <c r="E512" s="29"/>
      <c r="F512" s="34"/>
      <c r="G512" s="39"/>
      <c r="H512" s="46" t="s">
        <v>569</v>
      </c>
      <c r="I512" s="46" t="s">
        <v>50</v>
      </c>
      <c r="J512" s="47" t="s">
        <v>30</v>
      </c>
      <c r="K512" s="48">
        <v>0.15</v>
      </c>
      <c r="L512" s="49">
        <f>VLOOKUP(H512,[4]Sheet2!K:P,6,0)</f>
        <v>3.7500000000000001E-4</v>
      </c>
      <c r="M512" s="50">
        <f>VLOOKUP(H512,[4]Sheet2!K:Q,7,0)</f>
        <v>3000</v>
      </c>
      <c r="N512" s="51"/>
      <c r="O512" s="51"/>
      <c r="P512" s="51"/>
      <c r="Q512" s="51"/>
      <c r="R512" s="51"/>
      <c r="S512" s="51"/>
      <c r="T512" s="51"/>
      <c r="U512" s="51"/>
      <c r="V512" s="52">
        <f>VLOOKUP(H512,[4]Sheet2!K:N,4,0)</f>
        <v>0</v>
      </c>
      <c r="W512" s="52">
        <f t="shared" si="449"/>
        <v>0</v>
      </c>
      <c r="X512" s="52">
        <f>VLOOKUP(H512,[4]Sheet2!K:N,4,0)</f>
        <v>0</v>
      </c>
      <c r="Y512" s="53">
        <f t="shared" si="455"/>
        <v>0</v>
      </c>
      <c r="Z512" s="53">
        <f t="shared" si="456"/>
        <v>0</v>
      </c>
      <c r="AA512" s="53">
        <f t="shared" si="457"/>
        <v>0</v>
      </c>
    </row>
    <row r="513" spans="1:27" ht="18.75" customHeight="1" outlineLevel="6" x14ac:dyDescent="0.3">
      <c r="B513" s="44"/>
      <c r="C513" s="18"/>
      <c r="D513" s="24"/>
      <c r="E513" s="29"/>
      <c r="F513" s="34"/>
      <c r="G513" s="39"/>
      <c r="H513" s="46" t="s">
        <v>570</v>
      </c>
      <c r="I513" s="46" t="s">
        <v>52</v>
      </c>
      <c r="J513" s="47" t="s">
        <v>30</v>
      </c>
      <c r="K513" s="48">
        <v>0.2</v>
      </c>
      <c r="L513" s="49">
        <f>VLOOKUP(H513,[4]Sheet2!K:P,6,0)</f>
        <v>5.0000000000000001E-4</v>
      </c>
      <c r="M513" s="50">
        <f>VLOOKUP(H513,[4]Sheet2!K:Q,7,0)</f>
        <v>3000</v>
      </c>
      <c r="N513" s="51"/>
      <c r="O513" s="51"/>
      <c r="P513" s="51"/>
      <c r="Q513" s="51"/>
      <c r="R513" s="51"/>
      <c r="S513" s="51"/>
      <c r="T513" s="51"/>
      <c r="U513" s="51"/>
      <c r="V513" s="52">
        <f>VLOOKUP(H513,[4]Sheet2!K:N,4,0)</f>
        <v>0</v>
      </c>
      <c r="W513" s="52">
        <f t="shared" si="449"/>
        <v>0</v>
      </c>
      <c r="X513" s="52">
        <f>VLOOKUP(H513,[4]Sheet2!K:N,4,0)</f>
        <v>0</v>
      </c>
      <c r="Y513" s="53">
        <f t="shared" si="455"/>
        <v>0</v>
      </c>
      <c r="Z513" s="53">
        <f t="shared" si="456"/>
        <v>0</v>
      </c>
      <c r="AA513" s="53">
        <f t="shared" si="457"/>
        <v>0</v>
      </c>
    </row>
    <row r="514" spans="1:27" ht="18.75" customHeight="1" outlineLevel="6" x14ac:dyDescent="0.3">
      <c r="B514" s="44"/>
      <c r="C514" s="18"/>
      <c r="D514" s="24"/>
      <c r="E514" s="29"/>
      <c r="F514" s="34"/>
      <c r="G514" s="39"/>
      <c r="H514" s="46" t="s">
        <v>571</v>
      </c>
      <c r="I514" s="46" t="s">
        <v>54</v>
      </c>
      <c r="J514" s="47" t="s">
        <v>30</v>
      </c>
      <c r="K514" s="48">
        <v>0.05</v>
      </c>
      <c r="L514" s="49">
        <f>VLOOKUP(H514,[4]Sheet2!K:P,6,0)</f>
        <v>1.25E-4</v>
      </c>
      <c r="M514" s="50">
        <f>VLOOKUP(H514,[4]Sheet2!K:Q,7,0)</f>
        <v>3000</v>
      </c>
      <c r="N514" s="51"/>
      <c r="O514" s="51"/>
      <c r="P514" s="51"/>
      <c r="Q514" s="51"/>
      <c r="R514" s="51"/>
      <c r="S514" s="51"/>
      <c r="T514" s="51"/>
      <c r="U514" s="51"/>
      <c r="V514" s="52">
        <f>VLOOKUP(H514,[4]Sheet2!K:N,4,0)</f>
        <v>0</v>
      </c>
      <c r="W514" s="52">
        <f t="shared" si="449"/>
        <v>0</v>
      </c>
      <c r="X514" s="52">
        <f>VLOOKUP(H514,[4]Sheet2!K:N,4,0)</f>
        <v>0</v>
      </c>
      <c r="Y514" s="53">
        <f t="shared" si="455"/>
        <v>0</v>
      </c>
      <c r="Z514" s="53">
        <f t="shared" si="456"/>
        <v>0</v>
      </c>
      <c r="AA514" s="53">
        <f t="shared" si="457"/>
        <v>0</v>
      </c>
    </row>
    <row r="515" spans="1:27" ht="18.75" customHeight="1" outlineLevel="6" x14ac:dyDescent="0.3">
      <c r="B515" s="44"/>
      <c r="C515" s="18"/>
      <c r="D515" s="24"/>
      <c r="E515" s="29"/>
      <c r="F515" s="34"/>
      <c r="G515" s="39"/>
      <c r="H515" s="46" t="s">
        <v>572</v>
      </c>
      <c r="I515" s="46" t="s">
        <v>56</v>
      </c>
      <c r="J515" s="47" t="s">
        <v>30</v>
      </c>
      <c r="K515" s="48">
        <v>0.05</v>
      </c>
      <c r="L515" s="49">
        <f>VLOOKUP(H515,[4]Sheet2!K:P,6,0)</f>
        <v>1.25E-4</v>
      </c>
      <c r="M515" s="50">
        <f>VLOOKUP(H515,[4]Sheet2!K:Q,7,0)</f>
        <v>3000</v>
      </c>
      <c r="N515" s="51"/>
      <c r="O515" s="51"/>
      <c r="P515" s="51"/>
      <c r="Q515" s="51"/>
      <c r="R515" s="51"/>
      <c r="S515" s="51"/>
      <c r="T515" s="51"/>
      <c r="U515" s="51"/>
      <c r="V515" s="52">
        <f>VLOOKUP(H515,[4]Sheet2!K:N,4,0)</f>
        <v>0</v>
      </c>
      <c r="W515" s="52">
        <f t="shared" si="449"/>
        <v>0</v>
      </c>
      <c r="X515" s="52">
        <f>VLOOKUP(H515,[4]Sheet2!K:N,4,0)</f>
        <v>0</v>
      </c>
      <c r="Y515" s="53">
        <f t="shared" si="455"/>
        <v>0</v>
      </c>
      <c r="Z515" s="53">
        <f t="shared" si="456"/>
        <v>0</v>
      </c>
      <c r="AA515" s="53">
        <f t="shared" si="457"/>
        <v>0</v>
      </c>
    </row>
    <row r="516" spans="1:27" ht="18.75" customHeight="1" outlineLevel="5" x14ac:dyDescent="0.3">
      <c r="B516" s="12"/>
      <c r="C516" s="18"/>
      <c r="D516" s="24"/>
      <c r="E516" s="29"/>
      <c r="F516" s="34"/>
      <c r="G516" s="39" t="s">
        <v>566</v>
      </c>
      <c r="H516" s="58"/>
      <c r="I516" s="58"/>
      <c r="J516" s="58"/>
      <c r="K516" s="58"/>
      <c r="L516" s="41">
        <f>SUM(L517:L521)</f>
        <v>2.5000000000000001E-3</v>
      </c>
      <c r="M516" s="42">
        <v>5000</v>
      </c>
      <c r="N516" s="40"/>
      <c r="O516" s="40"/>
      <c r="P516" s="40"/>
      <c r="Q516" s="40"/>
      <c r="R516" s="40"/>
      <c r="S516" s="40"/>
      <c r="T516" s="40"/>
      <c r="U516" s="40"/>
      <c r="V516" s="62">
        <f t="shared" ref="V516:X516" si="458">SUMPRODUCT(V517:V522,$K517:$K522)</f>
        <v>0</v>
      </c>
      <c r="W516" s="62">
        <f t="shared" si="458"/>
        <v>0</v>
      </c>
      <c r="X516" s="62">
        <f t="shared" si="458"/>
        <v>0</v>
      </c>
      <c r="Y516" s="43">
        <f>SUMPRODUCT(Y517:Y522,$K517:$K522)</f>
        <v>0</v>
      </c>
      <c r="Z516" s="43">
        <f t="shared" ref="Z516:AA516" si="459">SUMPRODUCT(Z517:Z522,$K517:$K522)</f>
        <v>0</v>
      </c>
      <c r="AA516" s="43">
        <f t="shared" si="459"/>
        <v>0</v>
      </c>
    </row>
    <row r="517" spans="1:27" ht="18.75" customHeight="1" outlineLevel="6" x14ac:dyDescent="0.3">
      <c r="B517" s="44"/>
      <c r="C517" s="18"/>
      <c r="D517" s="24"/>
      <c r="E517" s="29"/>
      <c r="F517" s="34"/>
      <c r="G517" s="39"/>
      <c r="H517" s="46" t="s">
        <v>573</v>
      </c>
      <c r="I517" s="46" t="s">
        <v>45</v>
      </c>
      <c r="J517" s="47" t="s">
        <v>59</v>
      </c>
      <c r="K517" s="48">
        <v>0.05</v>
      </c>
      <c r="L517" s="49">
        <f>VLOOKUP(H517,[4]Sheet2!K:P,6,0)</f>
        <v>1.25E-4</v>
      </c>
      <c r="M517" s="50">
        <f>VLOOKUP(H517,[4]Sheet2!K:Q,7,0)</f>
        <v>5000</v>
      </c>
      <c r="N517" s="51"/>
      <c r="O517" s="51"/>
      <c r="P517" s="51"/>
      <c r="Q517" s="51"/>
      <c r="R517" s="51"/>
      <c r="S517" s="51"/>
      <c r="T517" s="51"/>
      <c r="U517" s="51"/>
      <c r="V517" s="52">
        <f>VLOOKUP(H517,[4]Sheet2!K:N,4,0)</f>
        <v>0</v>
      </c>
      <c r="W517" s="52">
        <f t="shared" si="449"/>
        <v>0</v>
      </c>
      <c r="X517" s="52">
        <f>VLOOKUP(H517,[4]Sheet2!K:N,4,0)</f>
        <v>0</v>
      </c>
      <c r="Y517" s="53">
        <f t="shared" ref="Y517:Y521" si="460">IFERROR(V517/M517,1)</f>
        <v>0</v>
      </c>
      <c r="Z517" s="53">
        <f t="shared" ref="Z517:Z521" si="461">IFERROR(W517/M517,1)</f>
        <v>0</v>
      </c>
      <c r="AA517" s="53">
        <f t="shared" ref="AA517:AA521" si="462">IFERROR(X517/M517,1)</f>
        <v>0</v>
      </c>
    </row>
    <row r="518" spans="1:27" ht="18.75" customHeight="1" outlineLevel="6" x14ac:dyDescent="0.3">
      <c r="A518" s="1" t="s">
        <v>559</v>
      </c>
      <c r="B518" s="44"/>
      <c r="C518" s="18"/>
      <c r="D518" s="24"/>
      <c r="E518" s="29"/>
      <c r="F518" s="34"/>
      <c r="G518" s="39"/>
      <c r="H518" s="46" t="s">
        <v>574</v>
      </c>
      <c r="I518" s="46" t="s">
        <v>168</v>
      </c>
      <c r="J518" s="47" t="s">
        <v>59</v>
      </c>
      <c r="K518" s="48">
        <v>0.65</v>
      </c>
      <c r="L518" s="49">
        <f>VLOOKUP(H518,[4]Sheet2!K:P,6,0)</f>
        <v>1.6249999999999999E-3</v>
      </c>
      <c r="M518" s="50">
        <f>VLOOKUP(H518,[4]Sheet2!K:Q,7,0)</f>
        <v>5000</v>
      </c>
      <c r="N518" s="51"/>
      <c r="O518" s="51"/>
      <c r="P518" s="51"/>
      <c r="Q518" s="51"/>
      <c r="R518" s="51"/>
      <c r="S518" s="51"/>
      <c r="T518" s="51"/>
      <c r="U518" s="51"/>
      <c r="V518" s="52">
        <f>VLOOKUP(H518,[4]Sheet2!K:N,4,0)</f>
        <v>0</v>
      </c>
      <c r="W518" s="52">
        <f t="shared" si="449"/>
        <v>0</v>
      </c>
      <c r="X518" s="52">
        <f>VLOOKUP(H518,[4]Sheet2!K:N,4,0)</f>
        <v>0</v>
      </c>
      <c r="Y518" s="53">
        <f t="shared" si="460"/>
        <v>0</v>
      </c>
      <c r="Z518" s="53">
        <f t="shared" si="461"/>
        <v>0</v>
      </c>
      <c r="AA518" s="53">
        <f t="shared" si="462"/>
        <v>0</v>
      </c>
    </row>
    <row r="519" spans="1:27" ht="18.75" customHeight="1" outlineLevel="6" x14ac:dyDescent="0.3">
      <c r="B519" s="44"/>
      <c r="C519" s="18"/>
      <c r="D519" s="24"/>
      <c r="E519" s="29"/>
      <c r="F519" s="34"/>
      <c r="G519" s="39"/>
      <c r="H519" s="46" t="s">
        <v>575</v>
      </c>
      <c r="I519" s="46" t="s">
        <v>170</v>
      </c>
      <c r="J519" s="47" t="s">
        <v>59</v>
      </c>
      <c r="K519" s="48">
        <v>0.2</v>
      </c>
      <c r="L519" s="49">
        <f>VLOOKUP(H519,[4]Sheet2!K:P,6,0)</f>
        <v>5.0000000000000001E-4</v>
      </c>
      <c r="M519" s="50">
        <f>VLOOKUP(H519,[4]Sheet2!K:Q,7,0)</f>
        <v>5000</v>
      </c>
      <c r="N519" s="51"/>
      <c r="O519" s="51"/>
      <c r="P519" s="51"/>
      <c r="Q519" s="51"/>
      <c r="R519" s="51"/>
      <c r="S519" s="51"/>
      <c r="T519" s="51"/>
      <c r="U519" s="51"/>
      <c r="V519" s="52">
        <f>VLOOKUP(H519,[4]Sheet2!K:N,4,0)</f>
        <v>0</v>
      </c>
      <c r="W519" s="52">
        <f t="shared" si="449"/>
        <v>0</v>
      </c>
      <c r="X519" s="52">
        <f>VLOOKUP(H519,[4]Sheet2!K:N,4,0)</f>
        <v>0</v>
      </c>
      <c r="Y519" s="53">
        <f t="shared" si="460"/>
        <v>0</v>
      </c>
      <c r="Z519" s="53">
        <f t="shared" si="461"/>
        <v>0</v>
      </c>
      <c r="AA519" s="53">
        <f t="shared" si="462"/>
        <v>0</v>
      </c>
    </row>
    <row r="520" spans="1:27" ht="18.75" customHeight="1" outlineLevel="6" x14ac:dyDescent="0.3">
      <c r="B520" s="44"/>
      <c r="C520" s="18"/>
      <c r="D520" s="24"/>
      <c r="E520" s="29"/>
      <c r="F520" s="34"/>
      <c r="G520" s="39"/>
      <c r="H520" s="46" t="s">
        <v>576</v>
      </c>
      <c r="I520" s="46" t="s">
        <v>172</v>
      </c>
      <c r="J520" s="47" t="s">
        <v>59</v>
      </c>
      <c r="K520" s="48">
        <v>0.05</v>
      </c>
      <c r="L520" s="49">
        <f>VLOOKUP(H520,[4]Sheet2!K:P,6,0)</f>
        <v>1.25E-4</v>
      </c>
      <c r="M520" s="50">
        <f>VLOOKUP(H520,[4]Sheet2!K:Q,7,0)</f>
        <v>5000</v>
      </c>
      <c r="N520" s="51"/>
      <c r="O520" s="51"/>
      <c r="P520" s="51"/>
      <c r="Q520" s="51"/>
      <c r="R520" s="51"/>
      <c r="S520" s="51"/>
      <c r="T520" s="51"/>
      <c r="U520" s="51"/>
      <c r="V520" s="52">
        <f>VLOOKUP(H520,[4]Sheet2!K:N,4,0)</f>
        <v>0</v>
      </c>
      <c r="W520" s="52">
        <f t="shared" si="449"/>
        <v>0</v>
      </c>
      <c r="X520" s="52">
        <f>VLOOKUP(H520,[4]Sheet2!K:N,4,0)</f>
        <v>0</v>
      </c>
      <c r="Y520" s="53">
        <f t="shared" si="460"/>
        <v>0</v>
      </c>
      <c r="Z520" s="53">
        <f t="shared" si="461"/>
        <v>0</v>
      </c>
      <c r="AA520" s="53">
        <f t="shared" si="462"/>
        <v>0</v>
      </c>
    </row>
    <row r="521" spans="1:27" ht="18.75" customHeight="1" outlineLevel="6" x14ac:dyDescent="0.3">
      <c r="B521" s="44"/>
      <c r="C521" s="18"/>
      <c r="D521" s="24"/>
      <c r="E521" s="29"/>
      <c r="F521" s="34"/>
      <c r="G521" s="39"/>
      <c r="H521" s="46" t="s">
        <v>577</v>
      </c>
      <c r="I521" s="46" t="s">
        <v>56</v>
      </c>
      <c r="J521" s="47" t="s">
        <v>59</v>
      </c>
      <c r="K521" s="48">
        <v>0.05</v>
      </c>
      <c r="L521" s="49">
        <f>VLOOKUP(H521,[4]Sheet2!K:P,6,0)</f>
        <v>1.25E-4</v>
      </c>
      <c r="M521" s="50">
        <f>VLOOKUP(H521,[4]Sheet2!K:Q,7,0)</f>
        <v>5000</v>
      </c>
      <c r="N521" s="51"/>
      <c r="O521" s="51"/>
      <c r="P521" s="51"/>
      <c r="Q521" s="51"/>
      <c r="R521" s="51"/>
      <c r="S521" s="51"/>
      <c r="T521" s="51"/>
      <c r="U521" s="51"/>
      <c r="V521" s="52">
        <f>VLOOKUP(H521,[4]Sheet2!K:N,4,0)</f>
        <v>0</v>
      </c>
      <c r="W521" s="52">
        <f t="shared" si="449"/>
        <v>0</v>
      </c>
      <c r="X521" s="52">
        <f>VLOOKUP(H521,[4]Sheet2!K:N,4,0)</f>
        <v>0</v>
      </c>
      <c r="Y521" s="53">
        <f t="shared" si="460"/>
        <v>0</v>
      </c>
      <c r="Z521" s="53">
        <f t="shared" si="461"/>
        <v>0</v>
      </c>
      <c r="AA521" s="53">
        <f t="shared" si="462"/>
        <v>0</v>
      </c>
    </row>
    <row r="522" spans="1:27" ht="18.75" customHeight="1" outlineLevel="2" x14ac:dyDescent="0.3">
      <c r="B522" s="12"/>
      <c r="C522" s="18"/>
      <c r="D522" s="24" t="s">
        <v>578</v>
      </c>
      <c r="E522" s="24"/>
      <c r="F522" s="24"/>
      <c r="G522" s="24"/>
      <c r="H522" s="55"/>
      <c r="I522" s="55"/>
      <c r="J522" s="55"/>
      <c r="K522" s="55"/>
      <c r="L522" s="26">
        <f>L523+L539</f>
        <v>3.0000000000000006E-2</v>
      </c>
      <c r="M522" s="27">
        <f>M523+M539</f>
        <v>1800</v>
      </c>
      <c r="N522" s="25"/>
      <c r="O522" s="25"/>
      <c r="P522" s="25"/>
      <c r="Q522" s="25"/>
      <c r="R522" s="25"/>
      <c r="S522" s="25"/>
      <c r="T522" s="25"/>
      <c r="U522" s="25"/>
      <c r="V522" s="64">
        <f t="shared" ref="V522:X522" si="463">(V523*$L523+V539*$L539)/$L522</f>
        <v>0</v>
      </c>
      <c r="W522" s="64">
        <f t="shared" si="463"/>
        <v>0</v>
      </c>
      <c r="X522" s="64">
        <f t="shared" si="463"/>
        <v>0</v>
      </c>
      <c r="Y522" s="28">
        <f>(Y523*$L523+Y539*$L539)/$L522</f>
        <v>0</v>
      </c>
      <c r="Z522" s="28">
        <f t="shared" ref="Z522:AA522" si="464">(Z523*$L523+Z539*$L539)/$L522</f>
        <v>0</v>
      </c>
      <c r="AA522" s="28">
        <f t="shared" si="464"/>
        <v>0</v>
      </c>
    </row>
    <row r="523" spans="1:27" ht="18.75" customHeight="1" outlineLevel="3" x14ac:dyDescent="0.3">
      <c r="B523" s="12"/>
      <c r="C523" s="18"/>
      <c r="D523" s="24"/>
      <c r="E523" s="29" t="s">
        <v>579</v>
      </c>
      <c r="F523" s="29"/>
      <c r="G523" s="29"/>
      <c r="H523" s="56"/>
      <c r="I523" s="56"/>
      <c r="J523" s="56"/>
      <c r="K523" s="56"/>
      <c r="L523" s="31">
        <f>L524</f>
        <v>1.5000000000000003E-2</v>
      </c>
      <c r="M523" s="32">
        <f>M524</f>
        <v>900</v>
      </c>
      <c r="N523" s="30"/>
      <c r="O523" s="30"/>
      <c r="P523" s="30"/>
      <c r="Q523" s="30"/>
      <c r="R523" s="30"/>
      <c r="S523" s="30"/>
      <c r="T523" s="30"/>
      <c r="U523" s="30"/>
      <c r="V523" s="63">
        <f t="shared" ref="V523:AA523" si="465">V524</f>
        <v>0</v>
      </c>
      <c r="W523" s="63">
        <f t="shared" si="465"/>
        <v>0</v>
      </c>
      <c r="X523" s="63">
        <f t="shared" si="465"/>
        <v>0</v>
      </c>
      <c r="Y523" s="33">
        <f t="shared" si="465"/>
        <v>0</v>
      </c>
      <c r="Z523" s="33">
        <f t="shared" si="465"/>
        <v>0</v>
      </c>
      <c r="AA523" s="33">
        <f t="shared" si="465"/>
        <v>0</v>
      </c>
    </row>
    <row r="524" spans="1:27" ht="18.75" customHeight="1" outlineLevel="4" x14ac:dyDescent="0.3">
      <c r="B524" s="12"/>
      <c r="C524" s="18"/>
      <c r="D524" s="24"/>
      <c r="E524" s="29"/>
      <c r="F524" s="34" t="s">
        <v>580</v>
      </c>
      <c r="G524" s="34"/>
      <c r="H524" s="57"/>
      <c r="I524" s="57"/>
      <c r="J524" s="57"/>
      <c r="K524" s="57"/>
      <c r="L524" s="36">
        <f>L525+L532</f>
        <v>1.5000000000000003E-2</v>
      </c>
      <c r="M524" s="37">
        <f>M525+M532</f>
        <v>900</v>
      </c>
      <c r="N524" s="35"/>
      <c r="O524" s="35"/>
      <c r="P524" s="35"/>
      <c r="Q524" s="35"/>
      <c r="R524" s="35"/>
      <c r="S524" s="35"/>
      <c r="T524" s="35"/>
      <c r="U524" s="35"/>
      <c r="V524" s="61">
        <f t="shared" ref="V524:X524" si="466">(V525*$L525+V532*$L532)/$L524</f>
        <v>0</v>
      </c>
      <c r="W524" s="61">
        <f t="shared" si="466"/>
        <v>0</v>
      </c>
      <c r="X524" s="61">
        <f t="shared" si="466"/>
        <v>0</v>
      </c>
      <c r="Y524" s="38">
        <f>(Y525*$L525+Y532*$L532)/$L524</f>
        <v>0</v>
      </c>
      <c r="Z524" s="38">
        <f t="shared" ref="Z524:AA524" si="467">(Z525*$L525+Z532*$L532)/$L524</f>
        <v>0</v>
      </c>
      <c r="AA524" s="38">
        <f t="shared" si="467"/>
        <v>0</v>
      </c>
    </row>
    <row r="525" spans="1:27" ht="18.75" customHeight="1" outlineLevel="5" x14ac:dyDescent="0.3">
      <c r="B525" s="12"/>
      <c r="C525" s="18"/>
      <c r="D525" s="24"/>
      <c r="E525" s="29"/>
      <c r="F525" s="34"/>
      <c r="G525" s="39" t="s">
        <v>581</v>
      </c>
      <c r="H525" s="58"/>
      <c r="I525" s="58"/>
      <c r="J525" s="58"/>
      <c r="K525" s="58"/>
      <c r="L525" s="41">
        <f>SUM(L526:L531)</f>
        <v>5.000000000000001E-3</v>
      </c>
      <c r="M525" s="42">
        <v>300</v>
      </c>
      <c r="N525" s="40"/>
      <c r="O525" s="40"/>
      <c r="P525" s="40"/>
      <c r="Q525" s="40"/>
      <c r="R525" s="40"/>
      <c r="S525" s="40"/>
      <c r="T525" s="40"/>
      <c r="U525" s="40"/>
      <c r="V525" s="62">
        <f t="shared" ref="V525:X525" si="468">SUMPRODUCT(V526:V531,$K526:$K531)</f>
        <v>0</v>
      </c>
      <c r="W525" s="62">
        <f t="shared" si="468"/>
        <v>0</v>
      </c>
      <c r="X525" s="62">
        <f t="shared" si="468"/>
        <v>0</v>
      </c>
      <c r="Y525" s="43">
        <f>SUMPRODUCT(Y526:Y531,$K526:$K531)</f>
        <v>0</v>
      </c>
      <c r="Z525" s="43">
        <f t="shared" ref="Z525:AA525" si="469">SUMPRODUCT(Z526:Z531,$K526:$K531)</f>
        <v>0</v>
      </c>
      <c r="AA525" s="43">
        <f t="shared" si="469"/>
        <v>0</v>
      </c>
    </row>
    <row r="526" spans="1:27" ht="18.75" customHeight="1" outlineLevel="6" x14ac:dyDescent="0.3">
      <c r="B526" s="44"/>
      <c r="C526" s="18"/>
      <c r="D526" s="24"/>
      <c r="E526" s="29"/>
      <c r="F526" s="34"/>
      <c r="G526" s="39"/>
      <c r="H526" s="46" t="s">
        <v>582</v>
      </c>
      <c r="I526" s="46" t="s">
        <v>45</v>
      </c>
      <c r="J526" s="47" t="s">
        <v>59</v>
      </c>
      <c r="K526" s="48">
        <v>0.05</v>
      </c>
      <c r="L526" s="49">
        <v>2.5000000000000001E-4</v>
      </c>
      <c r="M526" s="50">
        <f>VLOOKUP(H526,[4]Sheet2!K:Q,7,0)</f>
        <v>300</v>
      </c>
      <c r="N526" s="51"/>
      <c r="O526" s="51"/>
      <c r="P526" s="51"/>
      <c r="Q526" s="51"/>
      <c r="R526" s="51"/>
      <c r="S526" s="51"/>
      <c r="T526" s="51"/>
      <c r="U526" s="51"/>
      <c r="V526" s="52">
        <f>VLOOKUP(H526,[4]Sheet2!K:N,4,0)</f>
        <v>0</v>
      </c>
      <c r="W526" s="52">
        <f t="shared" ref="W526:W531" si="470">X526-V526</f>
        <v>0</v>
      </c>
      <c r="X526" s="52">
        <f>VLOOKUP(H526,[4]Sheet2!K:N,4,0)</f>
        <v>0</v>
      </c>
      <c r="Y526" s="53">
        <f t="shared" ref="Y526:Y531" si="471">IFERROR(V526/M526,1)</f>
        <v>0</v>
      </c>
      <c r="Z526" s="53">
        <f t="shared" ref="Z526:Z531" si="472">IFERROR(W526/M526,1)</f>
        <v>0</v>
      </c>
      <c r="AA526" s="53">
        <f t="shared" ref="AA526:AA531" si="473">IFERROR(X526/M526,1)</f>
        <v>0</v>
      </c>
    </row>
    <row r="527" spans="1:27" ht="18.75" customHeight="1" outlineLevel="6" x14ac:dyDescent="0.3">
      <c r="A527" s="1" t="s">
        <v>583</v>
      </c>
      <c r="B527" s="44"/>
      <c r="C527" s="18"/>
      <c r="D527" s="24"/>
      <c r="E527" s="29"/>
      <c r="F527" s="34"/>
      <c r="G527" s="39"/>
      <c r="H527" s="46" t="s">
        <v>584</v>
      </c>
      <c r="I527" s="46" t="s">
        <v>585</v>
      </c>
      <c r="J527" s="47" t="s">
        <v>59</v>
      </c>
      <c r="K527" s="48">
        <v>0.3</v>
      </c>
      <c r="L527" s="49">
        <v>1.5E-3</v>
      </c>
      <c r="M527" s="50">
        <f>VLOOKUP(H527,[4]Sheet2!K:Q,7,0)</f>
        <v>300</v>
      </c>
      <c r="N527" s="51"/>
      <c r="O527" s="51"/>
      <c r="P527" s="51"/>
      <c r="Q527" s="51"/>
      <c r="R527" s="51"/>
      <c r="S527" s="51"/>
      <c r="T527" s="51"/>
      <c r="U527" s="51"/>
      <c r="V527" s="52">
        <f>VLOOKUP(H527,[4]Sheet2!K:N,4,0)</f>
        <v>0</v>
      </c>
      <c r="W527" s="52">
        <f t="shared" si="470"/>
        <v>0</v>
      </c>
      <c r="X527" s="52">
        <f>VLOOKUP(H527,[4]Sheet2!K:N,4,0)</f>
        <v>0</v>
      </c>
      <c r="Y527" s="53">
        <f t="shared" si="471"/>
        <v>0</v>
      </c>
      <c r="Z527" s="53">
        <f t="shared" si="472"/>
        <v>0</v>
      </c>
      <c r="AA527" s="53">
        <f t="shared" si="473"/>
        <v>0</v>
      </c>
    </row>
    <row r="528" spans="1:27" ht="18.75" customHeight="1" outlineLevel="6" x14ac:dyDescent="0.3">
      <c r="A528" s="1" t="s">
        <v>586</v>
      </c>
      <c r="B528" s="44"/>
      <c r="C528" s="18"/>
      <c r="D528" s="24"/>
      <c r="E528" s="29"/>
      <c r="F528" s="34"/>
      <c r="G528" s="39"/>
      <c r="H528" s="46" t="s">
        <v>587</v>
      </c>
      <c r="I528" s="46" t="s">
        <v>588</v>
      </c>
      <c r="J528" s="47" t="s">
        <v>59</v>
      </c>
      <c r="K528" s="48">
        <v>0.35</v>
      </c>
      <c r="L528" s="49">
        <v>1.75E-3</v>
      </c>
      <c r="M528" s="50">
        <f>VLOOKUP(H528,[4]Sheet2!K:Q,7,0)</f>
        <v>300</v>
      </c>
      <c r="N528" s="51"/>
      <c r="O528" s="51"/>
      <c r="P528" s="51"/>
      <c r="Q528" s="51"/>
      <c r="R528" s="51"/>
      <c r="S528" s="51"/>
      <c r="T528" s="51"/>
      <c r="U528" s="51"/>
      <c r="V528" s="52">
        <f>VLOOKUP(H528,[4]Sheet2!K:N,4,0)</f>
        <v>0</v>
      </c>
      <c r="W528" s="52">
        <f t="shared" si="470"/>
        <v>0</v>
      </c>
      <c r="X528" s="52">
        <f>VLOOKUP(H528,[4]Sheet2!K:N,4,0)</f>
        <v>0</v>
      </c>
      <c r="Y528" s="53">
        <f t="shared" si="471"/>
        <v>0</v>
      </c>
      <c r="Z528" s="53">
        <f t="shared" si="472"/>
        <v>0</v>
      </c>
      <c r="AA528" s="53">
        <f t="shared" si="473"/>
        <v>0</v>
      </c>
    </row>
    <row r="529" spans="1:27" ht="18.75" customHeight="1" outlineLevel="6" x14ac:dyDescent="0.3">
      <c r="B529" s="44"/>
      <c r="C529" s="18"/>
      <c r="D529" s="24"/>
      <c r="E529" s="29"/>
      <c r="F529" s="34"/>
      <c r="G529" s="39"/>
      <c r="H529" s="46" t="s">
        <v>589</v>
      </c>
      <c r="I529" s="46" t="s">
        <v>590</v>
      </c>
      <c r="J529" s="47" t="s">
        <v>59</v>
      </c>
      <c r="K529" s="48">
        <v>0.15</v>
      </c>
      <c r="L529" s="49">
        <v>7.5000000000000002E-4</v>
      </c>
      <c r="M529" s="50">
        <f>VLOOKUP(H529,[4]Sheet2!K:Q,7,0)</f>
        <v>300</v>
      </c>
      <c r="N529" s="51"/>
      <c r="O529" s="51"/>
      <c r="P529" s="51"/>
      <c r="Q529" s="51"/>
      <c r="R529" s="51"/>
      <c r="S529" s="51"/>
      <c r="T529" s="51"/>
      <c r="U529" s="51"/>
      <c r="V529" s="52">
        <f>VLOOKUP(H529,[4]Sheet2!K:N,4,0)</f>
        <v>0</v>
      </c>
      <c r="W529" s="52">
        <f t="shared" si="470"/>
        <v>0</v>
      </c>
      <c r="X529" s="52">
        <f>VLOOKUP(H529,[4]Sheet2!K:N,4,0)</f>
        <v>0</v>
      </c>
      <c r="Y529" s="53">
        <f t="shared" si="471"/>
        <v>0</v>
      </c>
      <c r="Z529" s="53">
        <f t="shared" si="472"/>
        <v>0</v>
      </c>
      <c r="AA529" s="53">
        <f t="shared" si="473"/>
        <v>0</v>
      </c>
    </row>
    <row r="530" spans="1:27" ht="18.75" customHeight="1" outlineLevel="6" x14ac:dyDescent="0.3">
      <c r="B530" s="44"/>
      <c r="C530" s="18"/>
      <c r="D530" s="24"/>
      <c r="E530" s="29"/>
      <c r="F530" s="34"/>
      <c r="G530" s="39"/>
      <c r="H530" s="46" t="s">
        <v>591</v>
      </c>
      <c r="I530" s="46" t="s">
        <v>592</v>
      </c>
      <c r="J530" s="47" t="s">
        <v>59</v>
      </c>
      <c r="K530" s="48">
        <v>0.1</v>
      </c>
      <c r="L530" s="49">
        <v>5.0000000000000001E-4</v>
      </c>
      <c r="M530" s="50">
        <f>VLOOKUP(H530,[4]Sheet2!K:Q,7,0)</f>
        <v>300</v>
      </c>
      <c r="N530" s="51"/>
      <c r="O530" s="51"/>
      <c r="P530" s="51"/>
      <c r="Q530" s="51"/>
      <c r="R530" s="51"/>
      <c r="S530" s="51"/>
      <c r="T530" s="51"/>
      <c r="U530" s="51"/>
      <c r="V530" s="52">
        <f>VLOOKUP(H530,[4]Sheet2!K:N,4,0)</f>
        <v>0</v>
      </c>
      <c r="W530" s="52">
        <f t="shared" si="470"/>
        <v>0</v>
      </c>
      <c r="X530" s="52">
        <f>VLOOKUP(H530,[4]Sheet2!K:N,4,0)</f>
        <v>0</v>
      </c>
      <c r="Y530" s="53">
        <f t="shared" si="471"/>
        <v>0</v>
      </c>
      <c r="Z530" s="53">
        <f t="shared" si="472"/>
        <v>0</v>
      </c>
      <c r="AA530" s="53">
        <f t="shared" si="473"/>
        <v>0</v>
      </c>
    </row>
    <row r="531" spans="1:27" ht="18.75" customHeight="1" outlineLevel="6" x14ac:dyDescent="0.3">
      <c r="B531" s="44"/>
      <c r="C531" s="18"/>
      <c r="D531" s="24"/>
      <c r="E531" s="29"/>
      <c r="F531" s="34"/>
      <c r="G531" s="39"/>
      <c r="H531" s="46" t="s">
        <v>593</v>
      </c>
      <c r="I531" s="46" t="s">
        <v>56</v>
      </c>
      <c r="J531" s="47" t="s">
        <v>59</v>
      </c>
      <c r="K531" s="48">
        <v>0.05</v>
      </c>
      <c r="L531" s="49">
        <v>2.5000000000000001E-4</v>
      </c>
      <c r="M531" s="50">
        <f>VLOOKUP(H531,[4]Sheet2!K:Q,7,0)</f>
        <v>300</v>
      </c>
      <c r="N531" s="51"/>
      <c r="O531" s="51"/>
      <c r="P531" s="51"/>
      <c r="Q531" s="51"/>
      <c r="R531" s="51"/>
      <c r="S531" s="51"/>
      <c r="T531" s="51"/>
      <c r="U531" s="51"/>
      <c r="V531" s="52">
        <f>VLOOKUP(H531,[4]Sheet2!K:N,4,0)</f>
        <v>0</v>
      </c>
      <c r="W531" s="52">
        <f t="shared" si="470"/>
        <v>0</v>
      </c>
      <c r="X531" s="52">
        <f>VLOOKUP(H531,[4]Sheet2!K:N,4,0)</f>
        <v>0</v>
      </c>
      <c r="Y531" s="53">
        <f t="shared" si="471"/>
        <v>0</v>
      </c>
      <c r="Z531" s="53">
        <f t="shared" si="472"/>
        <v>0</v>
      </c>
      <c r="AA531" s="53">
        <f t="shared" si="473"/>
        <v>0</v>
      </c>
    </row>
    <row r="532" spans="1:27" ht="18.75" customHeight="1" outlineLevel="5" x14ac:dyDescent="0.3">
      <c r="B532" s="12"/>
      <c r="C532" s="18"/>
      <c r="D532" s="24"/>
      <c r="E532" s="29"/>
      <c r="F532" s="34"/>
      <c r="G532" s="39" t="s">
        <v>594</v>
      </c>
      <c r="H532" s="58"/>
      <c r="I532" s="58"/>
      <c r="J532" s="58"/>
      <c r="K532" s="58"/>
      <c r="L532" s="41">
        <f>SUM(L533:L538)</f>
        <v>1.0000000000000002E-2</v>
      </c>
      <c r="M532" s="42">
        <v>600</v>
      </c>
      <c r="N532" s="40"/>
      <c r="O532" s="40"/>
      <c r="P532" s="40"/>
      <c r="Q532" s="40"/>
      <c r="R532" s="40"/>
      <c r="S532" s="40"/>
      <c r="T532" s="40"/>
      <c r="U532" s="40"/>
      <c r="V532" s="62">
        <f t="shared" ref="V532:X532" si="474">SUMPRODUCT(V533:V538,$K533:$K538)</f>
        <v>0</v>
      </c>
      <c r="W532" s="62">
        <f t="shared" si="474"/>
        <v>0</v>
      </c>
      <c r="X532" s="62">
        <f t="shared" si="474"/>
        <v>0</v>
      </c>
      <c r="Y532" s="43">
        <f>SUMPRODUCT(Y533:Y538,$K533:$K538)</f>
        <v>0</v>
      </c>
      <c r="Z532" s="43">
        <f t="shared" ref="Z532:AA532" si="475">SUMPRODUCT(Z533:Z538,$K533:$K538)</f>
        <v>0</v>
      </c>
      <c r="AA532" s="43">
        <f t="shared" si="475"/>
        <v>0</v>
      </c>
    </row>
    <row r="533" spans="1:27" ht="18.75" customHeight="1" outlineLevel="6" x14ac:dyDescent="0.3">
      <c r="B533" s="44"/>
      <c r="C533" s="18"/>
      <c r="D533" s="24"/>
      <c r="E533" s="29"/>
      <c r="F533" s="34"/>
      <c r="G533" s="39"/>
      <c r="H533" s="46" t="s">
        <v>595</v>
      </c>
      <c r="I533" s="46" t="s">
        <v>45</v>
      </c>
      <c r="J533" s="47" t="s">
        <v>59</v>
      </c>
      <c r="K533" s="48">
        <v>0.05</v>
      </c>
      <c r="L533" s="49">
        <v>5.0000000000000001E-4</v>
      </c>
      <c r="M533" s="50">
        <f>VLOOKUP(H533,[4]Sheet2!K:Q,7,0)</f>
        <v>600</v>
      </c>
      <c r="N533" s="51"/>
      <c r="O533" s="51"/>
      <c r="P533" s="51"/>
      <c r="Q533" s="51"/>
      <c r="R533" s="51"/>
      <c r="S533" s="51"/>
      <c r="T533" s="51"/>
      <c r="U533" s="51"/>
      <c r="V533" s="52">
        <f>VLOOKUP(H533,[4]Sheet2!K:N,4,0)</f>
        <v>0</v>
      </c>
      <c r="W533" s="52">
        <f t="shared" ref="W533:W538" si="476">X533-V533</f>
        <v>0</v>
      </c>
      <c r="X533" s="52">
        <f>VLOOKUP(H533,[4]Sheet2!K:N,4,0)</f>
        <v>0</v>
      </c>
      <c r="Y533" s="53">
        <f t="shared" ref="Y533:Y538" si="477">IFERROR(V533/M533,1)</f>
        <v>0</v>
      </c>
      <c r="Z533" s="53">
        <f t="shared" ref="Z533:Z538" si="478">IFERROR(W533/M533,1)</f>
        <v>0</v>
      </c>
      <c r="AA533" s="53">
        <f t="shared" ref="AA533:AA538" si="479">IFERROR(X533/M533,1)</f>
        <v>0</v>
      </c>
    </row>
    <row r="534" spans="1:27" ht="18.75" customHeight="1" outlineLevel="6" x14ac:dyDescent="0.3">
      <c r="A534" s="1" t="s">
        <v>583</v>
      </c>
      <c r="B534" s="44"/>
      <c r="C534" s="18"/>
      <c r="D534" s="24"/>
      <c r="E534" s="29"/>
      <c r="F534" s="34"/>
      <c r="G534" s="39"/>
      <c r="H534" s="46" t="s">
        <v>596</v>
      </c>
      <c r="I534" s="46" t="s">
        <v>585</v>
      </c>
      <c r="J534" s="47" t="s">
        <v>59</v>
      </c>
      <c r="K534" s="48">
        <v>0.3</v>
      </c>
      <c r="L534" s="49">
        <v>3.0000000000000001E-3</v>
      </c>
      <c r="M534" s="50">
        <f>VLOOKUP(H534,[4]Sheet2!K:Q,7,0)</f>
        <v>600</v>
      </c>
      <c r="N534" s="51"/>
      <c r="O534" s="51"/>
      <c r="P534" s="51"/>
      <c r="Q534" s="51"/>
      <c r="R534" s="51"/>
      <c r="S534" s="51"/>
      <c r="T534" s="51"/>
      <c r="U534" s="51"/>
      <c r="V534" s="52">
        <f>VLOOKUP(H534,[4]Sheet2!K:N,4,0)</f>
        <v>0</v>
      </c>
      <c r="W534" s="52">
        <f t="shared" si="476"/>
        <v>0</v>
      </c>
      <c r="X534" s="52">
        <f>VLOOKUP(H534,[4]Sheet2!K:N,4,0)</f>
        <v>0</v>
      </c>
      <c r="Y534" s="53">
        <f t="shared" si="477"/>
        <v>0</v>
      </c>
      <c r="Z534" s="53">
        <f t="shared" si="478"/>
        <v>0</v>
      </c>
      <c r="AA534" s="53">
        <f t="shared" si="479"/>
        <v>0</v>
      </c>
    </row>
    <row r="535" spans="1:27" ht="18.75" customHeight="1" outlineLevel="6" x14ac:dyDescent="0.3">
      <c r="A535" s="1" t="s">
        <v>586</v>
      </c>
      <c r="B535" s="44"/>
      <c r="C535" s="18"/>
      <c r="D535" s="24"/>
      <c r="E535" s="29"/>
      <c r="F535" s="34"/>
      <c r="G535" s="39"/>
      <c r="H535" s="46" t="s">
        <v>597</v>
      </c>
      <c r="I535" s="46" t="s">
        <v>588</v>
      </c>
      <c r="J535" s="47" t="s">
        <v>59</v>
      </c>
      <c r="K535" s="48">
        <v>0.35</v>
      </c>
      <c r="L535" s="49">
        <v>3.5000000000000001E-3</v>
      </c>
      <c r="M535" s="50">
        <f>VLOOKUP(H535,[4]Sheet2!K:Q,7,0)</f>
        <v>600</v>
      </c>
      <c r="N535" s="51"/>
      <c r="O535" s="51"/>
      <c r="P535" s="51"/>
      <c r="Q535" s="51"/>
      <c r="R535" s="51"/>
      <c r="S535" s="51"/>
      <c r="T535" s="51"/>
      <c r="U535" s="51"/>
      <c r="V535" s="52">
        <f>VLOOKUP(H535,[4]Sheet2!K:N,4,0)</f>
        <v>0</v>
      </c>
      <c r="W535" s="52">
        <f t="shared" si="476"/>
        <v>0</v>
      </c>
      <c r="X535" s="52">
        <f>VLOOKUP(H535,[4]Sheet2!K:N,4,0)</f>
        <v>0</v>
      </c>
      <c r="Y535" s="53">
        <f t="shared" si="477"/>
        <v>0</v>
      </c>
      <c r="Z535" s="53">
        <f t="shared" si="478"/>
        <v>0</v>
      </c>
      <c r="AA535" s="53">
        <f t="shared" si="479"/>
        <v>0</v>
      </c>
    </row>
    <row r="536" spans="1:27" ht="18.75" customHeight="1" outlineLevel="6" x14ac:dyDescent="0.3">
      <c r="B536" s="44"/>
      <c r="C536" s="18"/>
      <c r="D536" s="24"/>
      <c r="E536" s="29"/>
      <c r="F536" s="34"/>
      <c r="G536" s="39"/>
      <c r="H536" s="46" t="s">
        <v>598</v>
      </c>
      <c r="I536" s="46" t="s">
        <v>590</v>
      </c>
      <c r="J536" s="47" t="s">
        <v>59</v>
      </c>
      <c r="K536" s="48">
        <v>0.15</v>
      </c>
      <c r="L536" s="49">
        <v>1.5E-3</v>
      </c>
      <c r="M536" s="50">
        <f>VLOOKUP(H536,[4]Sheet2!K:Q,7,0)</f>
        <v>600</v>
      </c>
      <c r="N536" s="51"/>
      <c r="O536" s="51"/>
      <c r="P536" s="51"/>
      <c r="Q536" s="51"/>
      <c r="R536" s="51"/>
      <c r="S536" s="51"/>
      <c r="T536" s="51"/>
      <c r="U536" s="51"/>
      <c r="V536" s="52">
        <f>VLOOKUP(H536,[4]Sheet2!K:N,4,0)</f>
        <v>0</v>
      </c>
      <c r="W536" s="52">
        <f t="shared" si="476"/>
        <v>0</v>
      </c>
      <c r="X536" s="52">
        <f>VLOOKUP(H536,[4]Sheet2!K:N,4,0)</f>
        <v>0</v>
      </c>
      <c r="Y536" s="53">
        <f t="shared" si="477"/>
        <v>0</v>
      </c>
      <c r="Z536" s="53">
        <f t="shared" si="478"/>
        <v>0</v>
      </c>
      <c r="AA536" s="53">
        <f t="shared" si="479"/>
        <v>0</v>
      </c>
    </row>
    <row r="537" spans="1:27" ht="18.75" customHeight="1" outlineLevel="6" x14ac:dyDescent="0.3">
      <c r="B537" s="44"/>
      <c r="C537" s="18"/>
      <c r="D537" s="24"/>
      <c r="E537" s="29"/>
      <c r="F537" s="34"/>
      <c r="G537" s="39"/>
      <c r="H537" s="46" t="s">
        <v>599</v>
      </c>
      <c r="I537" s="46" t="s">
        <v>592</v>
      </c>
      <c r="J537" s="47" t="s">
        <v>59</v>
      </c>
      <c r="K537" s="48">
        <v>0.1</v>
      </c>
      <c r="L537" s="49">
        <v>1E-3</v>
      </c>
      <c r="M537" s="50">
        <f>VLOOKUP(H537,[4]Sheet2!K:Q,7,0)</f>
        <v>600</v>
      </c>
      <c r="N537" s="51"/>
      <c r="O537" s="51"/>
      <c r="P537" s="51"/>
      <c r="Q537" s="51"/>
      <c r="R537" s="51"/>
      <c r="S537" s="51"/>
      <c r="T537" s="51"/>
      <c r="U537" s="51"/>
      <c r="V537" s="52">
        <f>VLOOKUP(H537,[4]Sheet2!K:N,4,0)</f>
        <v>0</v>
      </c>
      <c r="W537" s="52">
        <f t="shared" si="476"/>
        <v>0</v>
      </c>
      <c r="X537" s="52">
        <f>VLOOKUP(H537,[4]Sheet2!K:N,4,0)</f>
        <v>0</v>
      </c>
      <c r="Y537" s="53">
        <f t="shared" si="477"/>
        <v>0</v>
      </c>
      <c r="Z537" s="53">
        <f t="shared" si="478"/>
        <v>0</v>
      </c>
      <c r="AA537" s="53">
        <f t="shared" si="479"/>
        <v>0</v>
      </c>
    </row>
    <row r="538" spans="1:27" ht="18.75" customHeight="1" outlineLevel="6" x14ac:dyDescent="0.3">
      <c r="B538" s="44"/>
      <c r="C538" s="18"/>
      <c r="D538" s="24"/>
      <c r="E538" s="29"/>
      <c r="F538" s="34"/>
      <c r="G538" s="39"/>
      <c r="H538" s="46" t="s">
        <v>600</v>
      </c>
      <c r="I538" s="46" t="s">
        <v>56</v>
      </c>
      <c r="J538" s="47" t="s">
        <v>59</v>
      </c>
      <c r="K538" s="48">
        <v>0.05</v>
      </c>
      <c r="L538" s="49">
        <v>5.0000000000000001E-4</v>
      </c>
      <c r="M538" s="50">
        <f>VLOOKUP(H538,[4]Sheet2!K:Q,7,0)</f>
        <v>600</v>
      </c>
      <c r="N538" s="51"/>
      <c r="O538" s="51"/>
      <c r="P538" s="51"/>
      <c r="Q538" s="51"/>
      <c r="R538" s="51"/>
      <c r="S538" s="51"/>
      <c r="T538" s="51"/>
      <c r="U538" s="51"/>
      <c r="V538" s="52">
        <f>VLOOKUP(H538,[4]Sheet2!K:N,4,0)</f>
        <v>0</v>
      </c>
      <c r="W538" s="52">
        <f t="shared" si="476"/>
        <v>0</v>
      </c>
      <c r="X538" s="52">
        <f>VLOOKUP(H538,[4]Sheet2!K:N,4,0)</f>
        <v>0</v>
      </c>
      <c r="Y538" s="53">
        <f t="shared" si="477"/>
        <v>0</v>
      </c>
      <c r="Z538" s="53">
        <f t="shared" si="478"/>
        <v>0</v>
      </c>
      <c r="AA538" s="53">
        <f t="shared" si="479"/>
        <v>0</v>
      </c>
    </row>
    <row r="539" spans="1:27" ht="18.75" customHeight="1" outlineLevel="3" x14ac:dyDescent="0.3">
      <c r="B539" s="12"/>
      <c r="C539" s="18"/>
      <c r="D539" s="24"/>
      <c r="E539" s="29" t="s">
        <v>601</v>
      </c>
      <c r="F539" s="29"/>
      <c r="G539" s="29"/>
      <c r="H539" s="56"/>
      <c r="I539" s="56"/>
      <c r="J539" s="56"/>
      <c r="K539" s="56"/>
      <c r="L539" s="31">
        <f>L540</f>
        <v>1.5000000000000003E-2</v>
      </c>
      <c r="M539" s="32">
        <f>M540</f>
        <v>900</v>
      </c>
      <c r="N539" s="30"/>
      <c r="O539" s="30"/>
      <c r="P539" s="30"/>
      <c r="Q539" s="30"/>
      <c r="R539" s="30"/>
      <c r="S539" s="30"/>
      <c r="T539" s="30"/>
      <c r="U539" s="30"/>
      <c r="V539" s="63">
        <f t="shared" ref="V539:AA539" si="480">V540</f>
        <v>0</v>
      </c>
      <c r="W539" s="63">
        <f t="shared" si="480"/>
        <v>0</v>
      </c>
      <c r="X539" s="63">
        <f t="shared" si="480"/>
        <v>0</v>
      </c>
      <c r="Y539" s="33">
        <f t="shared" si="480"/>
        <v>0</v>
      </c>
      <c r="Z539" s="33">
        <f t="shared" si="480"/>
        <v>0</v>
      </c>
      <c r="AA539" s="33">
        <f t="shared" si="480"/>
        <v>0</v>
      </c>
    </row>
    <row r="540" spans="1:27" ht="18.75" customHeight="1" outlineLevel="4" x14ac:dyDescent="0.3">
      <c r="B540" s="12"/>
      <c r="C540" s="18"/>
      <c r="D540" s="24"/>
      <c r="E540" s="29"/>
      <c r="F540" s="34" t="s">
        <v>602</v>
      </c>
      <c r="G540" s="34"/>
      <c r="H540" s="57"/>
      <c r="I540" s="57"/>
      <c r="J540" s="57"/>
      <c r="K540" s="57"/>
      <c r="L540" s="36">
        <f>L541+L548</f>
        <v>1.5000000000000003E-2</v>
      </c>
      <c r="M540" s="37">
        <f>M541+M548</f>
        <v>900</v>
      </c>
      <c r="N540" s="35"/>
      <c r="O540" s="35"/>
      <c r="P540" s="35"/>
      <c r="Q540" s="35"/>
      <c r="R540" s="35"/>
      <c r="S540" s="35"/>
      <c r="T540" s="35"/>
      <c r="U540" s="35"/>
      <c r="V540" s="61">
        <f t="shared" ref="V540:X540" si="481">(V541*$L541+V548*$L548)/$L540</f>
        <v>0</v>
      </c>
      <c r="W540" s="61">
        <f t="shared" si="481"/>
        <v>0</v>
      </c>
      <c r="X540" s="61">
        <f t="shared" si="481"/>
        <v>0</v>
      </c>
      <c r="Y540" s="38">
        <f>(Y541*$L541+Y548*$L548)/$L540</f>
        <v>0</v>
      </c>
      <c r="Z540" s="38">
        <f t="shared" ref="Z540:AA540" si="482">(Z541*$L541+Z548*$L548)/$L540</f>
        <v>0</v>
      </c>
      <c r="AA540" s="38">
        <f t="shared" si="482"/>
        <v>0</v>
      </c>
    </row>
    <row r="541" spans="1:27" ht="18.75" customHeight="1" outlineLevel="5" x14ac:dyDescent="0.3">
      <c r="B541" s="12"/>
      <c r="C541" s="18"/>
      <c r="D541" s="24"/>
      <c r="E541" s="29"/>
      <c r="F541" s="34"/>
      <c r="G541" s="39" t="s">
        <v>581</v>
      </c>
      <c r="H541" s="58"/>
      <c r="I541" s="58"/>
      <c r="J541" s="58"/>
      <c r="K541" s="58"/>
      <c r="L541" s="41">
        <f>SUM(L542:L547)</f>
        <v>5.000000000000001E-3</v>
      </c>
      <c r="M541" s="42">
        <v>300</v>
      </c>
      <c r="N541" s="40"/>
      <c r="O541" s="40"/>
      <c r="P541" s="40"/>
      <c r="Q541" s="40"/>
      <c r="R541" s="40"/>
      <c r="S541" s="40"/>
      <c r="T541" s="40"/>
      <c r="U541" s="40"/>
      <c r="V541" s="62">
        <f t="shared" ref="V541:X541" si="483">SUMPRODUCT(V542:V547,$K542:$K547)</f>
        <v>0</v>
      </c>
      <c r="W541" s="62">
        <f t="shared" si="483"/>
        <v>0</v>
      </c>
      <c r="X541" s="62">
        <f t="shared" si="483"/>
        <v>0</v>
      </c>
      <c r="Y541" s="43">
        <f>SUMPRODUCT(Y542:Y547,$K542:$K547)</f>
        <v>0</v>
      </c>
      <c r="Z541" s="43">
        <f t="shared" ref="Z541:AA541" si="484">SUMPRODUCT(Z542:Z547,$K542:$K547)</f>
        <v>0</v>
      </c>
      <c r="AA541" s="43">
        <f t="shared" si="484"/>
        <v>0</v>
      </c>
    </row>
    <row r="542" spans="1:27" ht="18.75" customHeight="1" outlineLevel="6" x14ac:dyDescent="0.3">
      <c r="B542" s="44"/>
      <c r="C542" s="18"/>
      <c r="D542" s="24"/>
      <c r="E542" s="29"/>
      <c r="F542" s="34"/>
      <c r="G542" s="39"/>
      <c r="H542" s="46" t="s">
        <v>603</v>
      </c>
      <c r="I542" s="46" t="s">
        <v>45</v>
      </c>
      <c r="J542" s="47" t="s">
        <v>59</v>
      </c>
      <c r="K542" s="48">
        <v>0.05</v>
      </c>
      <c r="L542" s="49">
        <v>2.5000000000000001E-4</v>
      </c>
      <c r="M542" s="50">
        <f>VLOOKUP(H542,[4]Sheet2!K:Q,7,0)</f>
        <v>300</v>
      </c>
      <c r="N542" s="51"/>
      <c r="O542" s="51"/>
      <c r="P542" s="51"/>
      <c r="Q542" s="51"/>
      <c r="R542" s="51"/>
      <c r="S542" s="51"/>
      <c r="T542" s="51"/>
      <c r="U542" s="51"/>
      <c r="V542" s="52">
        <f>VLOOKUP(H542,[4]Sheet2!K:N,4,0)</f>
        <v>0</v>
      </c>
      <c r="W542" s="52">
        <f t="shared" ref="W542:W547" si="485">X542-V542</f>
        <v>0</v>
      </c>
      <c r="X542" s="52">
        <f>VLOOKUP(H542,[4]Sheet2!K:N,4,0)</f>
        <v>0</v>
      </c>
      <c r="Y542" s="53">
        <f t="shared" ref="Y542:Y547" si="486">IFERROR(V542/M542,1)</f>
        <v>0</v>
      </c>
      <c r="Z542" s="53">
        <f t="shared" ref="Z542:Z547" si="487">IFERROR(W542/M542,1)</f>
        <v>0</v>
      </c>
      <c r="AA542" s="53">
        <f t="shared" ref="AA542:AA547" si="488">IFERROR(X542/M542,1)</f>
        <v>0</v>
      </c>
    </row>
    <row r="543" spans="1:27" ht="18.75" customHeight="1" outlineLevel="6" x14ac:dyDescent="0.3">
      <c r="A543" s="1" t="s">
        <v>583</v>
      </c>
      <c r="B543" s="44"/>
      <c r="C543" s="18"/>
      <c r="D543" s="24"/>
      <c r="E543" s="29"/>
      <c r="F543" s="34"/>
      <c r="G543" s="39"/>
      <c r="H543" s="46" t="s">
        <v>604</v>
      </c>
      <c r="I543" s="46" t="s">
        <v>585</v>
      </c>
      <c r="J543" s="47" t="s">
        <v>59</v>
      </c>
      <c r="K543" s="48">
        <v>0.3</v>
      </c>
      <c r="L543" s="49">
        <v>1.5E-3</v>
      </c>
      <c r="M543" s="50">
        <f>VLOOKUP(H543,[4]Sheet2!K:Q,7,0)</f>
        <v>300</v>
      </c>
      <c r="N543" s="51"/>
      <c r="O543" s="51"/>
      <c r="P543" s="51"/>
      <c r="Q543" s="51"/>
      <c r="R543" s="51"/>
      <c r="S543" s="51"/>
      <c r="T543" s="51"/>
      <c r="U543" s="51"/>
      <c r="V543" s="52">
        <f>VLOOKUP(H543,[4]Sheet2!K:N,4,0)</f>
        <v>0</v>
      </c>
      <c r="W543" s="52">
        <f t="shared" si="485"/>
        <v>0</v>
      </c>
      <c r="X543" s="52">
        <f>VLOOKUP(H543,[4]Sheet2!K:N,4,0)</f>
        <v>0</v>
      </c>
      <c r="Y543" s="53">
        <f t="shared" si="486"/>
        <v>0</v>
      </c>
      <c r="Z543" s="53">
        <f t="shared" si="487"/>
        <v>0</v>
      </c>
      <c r="AA543" s="53">
        <f t="shared" si="488"/>
        <v>0</v>
      </c>
    </row>
    <row r="544" spans="1:27" ht="18.75" customHeight="1" outlineLevel="6" x14ac:dyDescent="0.3">
      <c r="A544" s="1" t="s">
        <v>586</v>
      </c>
      <c r="B544" s="44"/>
      <c r="C544" s="18"/>
      <c r="D544" s="24"/>
      <c r="E544" s="29"/>
      <c r="F544" s="34"/>
      <c r="G544" s="39"/>
      <c r="H544" s="46" t="s">
        <v>605</v>
      </c>
      <c r="I544" s="46" t="s">
        <v>588</v>
      </c>
      <c r="J544" s="47" t="s">
        <v>59</v>
      </c>
      <c r="K544" s="48">
        <v>0.35</v>
      </c>
      <c r="L544" s="49">
        <v>1.75E-3</v>
      </c>
      <c r="M544" s="50">
        <f>VLOOKUP(H544,[4]Sheet2!K:Q,7,0)</f>
        <v>300</v>
      </c>
      <c r="N544" s="51"/>
      <c r="O544" s="51"/>
      <c r="P544" s="51"/>
      <c r="Q544" s="51"/>
      <c r="R544" s="51"/>
      <c r="S544" s="51"/>
      <c r="T544" s="51"/>
      <c r="U544" s="51"/>
      <c r="V544" s="52">
        <f>VLOOKUP(H544,[4]Sheet2!K:N,4,0)</f>
        <v>0</v>
      </c>
      <c r="W544" s="52">
        <f t="shared" si="485"/>
        <v>0</v>
      </c>
      <c r="X544" s="52">
        <f>VLOOKUP(H544,[4]Sheet2!K:N,4,0)</f>
        <v>0</v>
      </c>
      <c r="Y544" s="53">
        <f t="shared" si="486"/>
        <v>0</v>
      </c>
      <c r="Z544" s="53">
        <f t="shared" si="487"/>
        <v>0</v>
      </c>
      <c r="AA544" s="53">
        <f t="shared" si="488"/>
        <v>0</v>
      </c>
    </row>
    <row r="545" spans="1:27" ht="18.75" customHeight="1" outlineLevel="6" x14ac:dyDescent="0.3">
      <c r="B545" s="44"/>
      <c r="C545" s="18"/>
      <c r="D545" s="24"/>
      <c r="E545" s="29"/>
      <c r="F545" s="34"/>
      <c r="G545" s="39"/>
      <c r="H545" s="46" t="s">
        <v>606</v>
      </c>
      <c r="I545" s="46" t="s">
        <v>590</v>
      </c>
      <c r="J545" s="47" t="s">
        <v>59</v>
      </c>
      <c r="K545" s="48">
        <v>0.15</v>
      </c>
      <c r="L545" s="49">
        <v>7.5000000000000002E-4</v>
      </c>
      <c r="M545" s="50">
        <f>VLOOKUP(H545,[4]Sheet2!K:Q,7,0)</f>
        <v>300</v>
      </c>
      <c r="N545" s="51"/>
      <c r="O545" s="51"/>
      <c r="P545" s="51"/>
      <c r="Q545" s="51"/>
      <c r="R545" s="51"/>
      <c r="S545" s="51"/>
      <c r="T545" s="51"/>
      <c r="U545" s="51"/>
      <c r="V545" s="52">
        <f>VLOOKUP(H545,[4]Sheet2!K:N,4,0)</f>
        <v>0</v>
      </c>
      <c r="W545" s="52">
        <f t="shared" si="485"/>
        <v>0</v>
      </c>
      <c r="X545" s="52">
        <f>VLOOKUP(H545,[4]Sheet2!K:N,4,0)</f>
        <v>0</v>
      </c>
      <c r="Y545" s="53">
        <f t="shared" si="486"/>
        <v>0</v>
      </c>
      <c r="Z545" s="53">
        <f t="shared" si="487"/>
        <v>0</v>
      </c>
      <c r="AA545" s="53">
        <f t="shared" si="488"/>
        <v>0</v>
      </c>
    </row>
    <row r="546" spans="1:27" ht="18.75" customHeight="1" outlineLevel="6" x14ac:dyDescent="0.3">
      <c r="B546" s="44"/>
      <c r="C546" s="18"/>
      <c r="D546" s="24"/>
      <c r="E546" s="29"/>
      <c r="F546" s="34"/>
      <c r="G546" s="39"/>
      <c r="H546" s="46" t="s">
        <v>607</v>
      </c>
      <c r="I546" s="46" t="s">
        <v>592</v>
      </c>
      <c r="J546" s="47" t="s">
        <v>59</v>
      </c>
      <c r="K546" s="48">
        <v>0.1</v>
      </c>
      <c r="L546" s="49">
        <v>5.0000000000000001E-4</v>
      </c>
      <c r="M546" s="50">
        <f>VLOOKUP(H546,[4]Sheet2!K:Q,7,0)</f>
        <v>300</v>
      </c>
      <c r="N546" s="51"/>
      <c r="O546" s="51"/>
      <c r="P546" s="51"/>
      <c r="Q546" s="51"/>
      <c r="R546" s="51"/>
      <c r="S546" s="51"/>
      <c r="T546" s="51"/>
      <c r="U546" s="51"/>
      <c r="V546" s="52">
        <f>VLOOKUP(H546,[4]Sheet2!K:N,4,0)</f>
        <v>0</v>
      </c>
      <c r="W546" s="52">
        <f t="shared" si="485"/>
        <v>0</v>
      </c>
      <c r="X546" s="52">
        <f>VLOOKUP(H546,[4]Sheet2!K:N,4,0)</f>
        <v>0</v>
      </c>
      <c r="Y546" s="53">
        <f t="shared" si="486"/>
        <v>0</v>
      </c>
      <c r="Z546" s="53">
        <f t="shared" si="487"/>
        <v>0</v>
      </c>
      <c r="AA546" s="53">
        <f t="shared" si="488"/>
        <v>0</v>
      </c>
    </row>
    <row r="547" spans="1:27" ht="18.75" customHeight="1" outlineLevel="6" x14ac:dyDescent="0.3">
      <c r="B547" s="44"/>
      <c r="C547" s="18"/>
      <c r="D547" s="24"/>
      <c r="E547" s="29"/>
      <c r="F547" s="34"/>
      <c r="G547" s="39"/>
      <c r="H547" s="46" t="s">
        <v>608</v>
      </c>
      <c r="I547" s="46" t="s">
        <v>56</v>
      </c>
      <c r="J547" s="47" t="s">
        <v>59</v>
      </c>
      <c r="K547" s="48">
        <v>0.05</v>
      </c>
      <c r="L547" s="49">
        <v>2.5000000000000001E-4</v>
      </c>
      <c r="M547" s="50">
        <f>VLOOKUP(H547,[4]Sheet2!K:Q,7,0)</f>
        <v>300</v>
      </c>
      <c r="N547" s="51"/>
      <c r="O547" s="51"/>
      <c r="P547" s="51"/>
      <c r="Q547" s="51"/>
      <c r="R547" s="51"/>
      <c r="S547" s="51"/>
      <c r="T547" s="51"/>
      <c r="U547" s="51"/>
      <c r="V547" s="52">
        <f>VLOOKUP(H547,[4]Sheet2!K:N,4,0)</f>
        <v>0</v>
      </c>
      <c r="W547" s="52">
        <f t="shared" si="485"/>
        <v>0</v>
      </c>
      <c r="X547" s="52">
        <f>VLOOKUP(H547,[4]Sheet2!K:N,4,0)</f>
        <v>0</v>
      </c>
      <c r="Y547" s="53">
        <f t="shared" si="486"/>
        <v>0</v>
      </c>
      <c r="Z547" s="53">
        <f t="shared" si="487"/>
        <v>0</v>
      </c>
      <c r="AA547" s="53">
        <f t="shared" si="488"/>
        <v>0</v>
      </c>
    </row>
    <row r="548" spans="1:27" ht="18.75" customHeight="1" outlineLevel="5" x14ac:dyDescent="0.3">
      <c r="B548" s="12"/>
      <c r="C548" s="18"/>
      <c r="D548" s="24"/>
      <c r="E548" s="29"/>
      <c r="F548" s="34"/>
      <c r="G548" s="39" t="s">
        <v>594</v>
      </c>
      <c r="H548" s="58"/>
      <c r="I548" s="58"/>
      <c r="J548" s="58"/>
      <c r="K548" s="58"/>
      <c r="L548" s="41">
        <f>SUM(L549:L554)</f>
        <v>1.0000000000000002E-2</v>
      </c>
      <c r="M548" s="42">
        <v>600</v>
      </c>
      <c r="N548" s="40"/>
      <c r="O548" s="40"/>
      <c r="P548" s="40"/>
      <c r="Q548" s="40"/>
      <c r="R548" s="40"/>
      <c r="S548" s="40"/>
      <c r="T548" s="40"/>
      <c r="U548" s="40"/>
      <c r="V548" s="62">
        <f t="shared" ref="V548:X548" si="489">SUMPRODUCT(V549:V554,$K549:$K554)</f>
        <v>0</v>
      </c>
      <c r="W548" s="62">
        <f t="shared" si="489"/>
        <v>0</v>
      </c>
      <c r="X548" s="62">
        <f t="shared" si="489"/>
        <v>0</v>
      </c>
      <c r="Y548" s="43">
        <f>SUMPRODUCT(Y549:Y554,$K549:$K554)</f>
        <v>0</v>
      </c>
      <c r="Z548" s="43">
        <f t="shared" ref="Z548:AA548" si="490">SUMPRODUCT(Z549:Z554,$K549:$K554)</f>
        <v>0</v>
      </c>
      <c r="AA548" s="43">
        <f t="shared" si="490"/>
        <v>0</v>
      </c>
    </row>
    <row r="549" spans="1:27" ht="18.75" customHeight="1" outlineLevel="6" x14ac:dyDescent="0.3">
      <c r="B549" s="44"/>
      <c r="C549" s="18"/>
      <c r="D549" s="24"/>
      <c r="E549" s="29"/>
      <c r="F549" s="34"/>
      <c r="G549" s="39"/>
      <c r="H549" s="46" t="s">
        <v>609</v>
      </c>
      <c r="I549" s="46" t="s">
        <v>45</v>
      </c>
      <c r="J549" s="47" t="s">
        <v>59</v>
      </c>
      <c r="K549" s="48">
        <v>0.05</v>
      </c>
      <c r="L549" s="49">
        <v>5.0000000000000001E-4</v>
      </c>
      <c r="M549" s="50">
        <f>VLOOKUP(H549,[4]Sheet2!K:Q,7,0)</f>
        <v>600</v>
      </c>
      <c r="N549" s="51"/>
      <c r="O549" s="51"/>
      <c r="P549" s="51"/>
      <c r="Q549" s="51"/>
      <c r="R549" s="51"/>
      <c r="S549" s="51"/>
      <c r="T549" s="51"/>
      <c r="U549" s="51"/>
      <c r="V549" s="52">
        <f>VLOOKUP(H549,[4]Sheet2!K:N,4,0)</f>
        <v>0</v>
      </c>
      <c r="W549" s="52">
        <f t="shared" ref="W549:W554" si="491">X549-V549</f>
        <v>0</v>
      </c>
      <c r="X549" s="52">
        <f>VLOOKUP(H549,[4]Sheet2!K:N,4,0)</f>
        <v>0</v>
      </c>
      <c r="Y549" s="53">
        <f t="shared" ref="Y549:Y554" si="492">IFERROR(V549/M549,1)</f>
        <v>0</v>
      </c>
      <c r="Z549" s="53">
        <f t="shared" ref="Z549:Z554" si="493">IFERROR(W549/M549,1)</f>
        <v>0</v>
      </c>
      <c r="AA549" s="53">
        <f t="shared" ref="AA549:AA554" si="494">IFERROR(X549/M549,1)</f>
        <v>0</v>
      </c>
    </row>
    <row r="550" spans="1:27" ht="18.75" customHeight="1" outlineLevel="6" x14ac:dyDescent="0.3">
      <c r="A550" s="1" t="s">
        <v>583</v>
      </c>
      <c r="B550" s="44"/>
      <c r="C550" s="18"/>
      <c r="D550" s="24"/>
      <c r="E550" s="29"/>
      <c r="F550" s="34"/>
      <c r="G550" s="39"/>
      <c r="H550" s="46" t="s">
        <v>610</v>
      </c>
      <c r="I550" s="46" t="s">
        <v>585</v>
      </c>
      <c r="J550" s="47" t="s">
        <v>59</v>
      </c>
      <c r="K550" s="48">
        <v>0.3</v>
      </c>
      <c r="L550" s="49">
        <v>3.0000000000000001E-3</v>
      </c>
      <c r="M550" s="50">
        <f>VLOOKUP(H550,[4]Sheet2!K:Q,7,0)</f>
        <v>600</v>
      </c>
      <c r="N550" s="51"/>
      <c r="O550" s="51"/>
      <c r="P550" s="51"/>
      <c r="Q550" s="51"/>
      <c r="R550" s="51"/>
      <c r="S550" s="51"/>
      <c r="T550" s="51"/>
      <c r="U550" s="51"/>
      <c r="V550" s="52">
        <f>VLOOKUP(H550,[4]Sheet2!K:N,4,0)</f>
        <v>0</v>
      </c>
      <c r="W550" s="52">
        <f t="shared" si="491"/>
        <v>0</v>
      </c>
      <c r="X550" s="52">
        <f>VLOOKUP(H550,[4]Sheet2!K:N,4,0)</f>
        <v>0</v>
      </c>
      <c r="Y550" s="53">
        <f t="shared" si="492"/>
        <v>0</v>
      </c>
      <c r="Z550" s="53">
        <f t="shared" si="493"/>
        <v>0</v>
      </c>
      <c r="AA550" s="53">
        <f t="shared" si="494"/>
        <v>0</v>
      </c>
    </row>
    <row r="551" spans="1:27" ht="18.75" customHeight="1" outlineLevel="6" x14ac:dyDescent="0.3">
      <c r="A551" s="1" t="s">
        <v>586</v>
      </c>
      <c r="B551" s="44"/>
      <c r="C551" s="18"/>
      <c r="D551" s="24"/>
      <c r="E551" s="29"/>
      <c r="F551" s="34"/>
      <c r="G551" s="39"/>
      <c r="H551" s="46" t="s">
        <v>611</v>
      </c>
      <c r="I551" s="46" t="s">
        <v>588</v>
      </c>
      <c r="J551" s="47" t="s">
        <v>59</v>
      </c>
      <c r="K551" s="48">
        <v>0.35</v>
      </c>
      <c r="L551" s="49">
        <v>3.5000000000000001E-3</v>
      </c>
      <c r="M551" s="50">
        <f>VLOOKUP(H551,[4]Sheet2!K:Q,7,0)</f>
        <v>600</v>
      </c>
      <c r="N551" s="51"/>
      <c r="O551" s="51"/>
      <c r="P551" s="51"/>
      <c r="Q551" s="51"/>
      <c r="R551" s="51"/>
      <c r="S551" s="51"/>
      <c r="T551" s="51"/>
      <c r="U551" s="51"/>
      <c r="V551" s="52">
        <f>VLOOKUP(H551,[4]Sheet2!K:N,4,0)</f>
        <v>0</v>
      </c>
      <c r="W551" s="52">
        <f t="shared" si="491"/>
        <v>0</v>
      </c>
      <c r="X551" s="52">
        <f>VLOOKUP(H551,[4]Sheet2!K:N,4,0)</f>
        <v>0</v>
      </c>
      <c r="Y551" s="53">
        <f t="shared" si="492"/>
        <v>0</v>
      </c>
      <c r="Z551" s="53">
        <f t="shared" si="493"/>
        <v>0</v>
      </c>
      <c r="AA551" s="53">
        <f t="shared" si="494"/>
        <v>0</v>
      </c>
    </row>
    <row r="552" spans="1:27" ht="18.75" customHeight="1" outlineLevel="6" x14ac:dyDescent="0.3">
      <c r="B552" s="44"/>
      <c r="C552" s="18"/>
      <c r="D552" s="24"/>
      <c r="E552" s="29"/>
      <c r="F552" s="34"/>
      <c r="G552" s="39"/>
      <c r="H552" s="46" t="s">
        <v>612</v>
      </c>
      <c r="I552" s="46" t="s">
        <v>590</v>
      </c>
      <c r="J552" s="47" t="s">
        <v>59</v>
      </c>
      <c r="K552" s="48">
        <v>0.15</v>
      </c>
      <c r="L552" s="49">
        <v>1.5E-3</v>
      </c>
      <c r="M552" s="50">
        <f>VLOOKUP(H552,[4]Sheet2!K:Q,7,0)</f>
        <v>600</v>
      </c>
      <c r="N552" s="51"/>
      <c r="O552" s="51"/>
      <c r="P552" s="51"/>
      <c r="Q552" s="51"/>
      <c r="R552" s="51"/>
      <c r="S552" s="51"/>
      <c r="T552" s="51"/>
      <c r="U552" s="51"/>
      <c r="V552" s="52">
        <f>VLOOKUP(H552,[4]Sheet2!K:N,4,0)</f>
        <v>0</v>
      </c>
      <c r="W552" s="52">
        <f t="shared" si="491"/>
        <v>0</v>
      </c>
      <c r="X552" s="52">
        <f>VLOOKUP(H552,[4]Sheet2!K:N,4,0)</f>
        <v>0</v>
      </c>
      <c r="Y552" s="53">
        <f t="shared" si="492"/>
        <v>0</v>
      </c>
      <c r="Z552" s="53">
        <f t="shared" si="493"/>
        <v>0</v>
      </c>
      <c r="AA552" s="53">
        <f t="shared" si="494"/>
        <v>0</v>
      </c>
    </row>
    <row r="553" spans="1:27" ht="18.75" customHeight="1" outlineLevel="6" x14ac:dyDescent="0.3">
      <c r="B553" s="44"/>
      <c r="C553" s="18"/>
      <c r="D553" s="24"/>
      <c r="E553" s="29"/>
      <c r="F553" s="34"/>
      <c r="G553" s="39"/>
      <c r="H553" s="46" t="s">
        <v>613</v>
      </c>
      <c r="I553" s="46" t="s">
        <v>592</v>
      </c>
      <c r="J553" s="47" t="s">
        <v>59</v>
      </c>
      <c r="K553" s="48">
        <v>0.1</v>
      </c>
      <c r="L553" s="49">
        <v>1E-3</v>
      </c>
      <c r="M553" s="50">
        <f>VLOOKUP(H553,[4]Sheet2!K:Q,7,0)</f>
        <v>600</v>
      </c>
      <c r="N553" s="51"/>
      <c r="O553" s="51"/>
      <c r="P553" s="51"/>
      <c r="Q553" s="51"/>
      <c r="R553" s="51"/>
      <c r="S553" s="51"/>
      <c r="T553" s="51"/>
      <c r="U553" s="51"/>
      <c r="V553" s="52">
        <f>VLOOKUP(H553,[4]Sheet2!K:N,4,0)</f>
        <v>0</v>
      </c>
      <c r="W553" s="52">
        <f t="shared" si="491"/>
        <v>0</v>
      </c>
      <c r="X553" s="52">
        <f>VLOOKUP(H553,[4]Sheet2!K:N,4,0)</f>
        <v>0</v>
      </c>
      <c r="Y553" s="53">
        <f t="shared" si="492"/>
        <v>0</v>
      </c>
      <c r="Z553" s="53">
        <f t="shared" si="493"/>
        <v>0</v>
      </c>
      <c r="AA553" s="53">
        <f t="shared" si="494"/>
        <v>0</v>
      </c>
    </row>
    <row r="554" spans="1:27" ht="18.75" customHeight="1" outlineLevel="6" x14ac:dyDescent="0.3">
      <c r="B554" s="44"/>
      <c r="C554" s="18"/>
      <c r="D554" s="24"/>
      <c r="E554" s="29"/>
      <c r="F554" s="34"/>
      <c r="G554" s="39"/>
      <c r="H554" s="46" t="s">
        <v>614</v>
      </c>
      <c r="I554" s="46" t="s">
        <v>56</v>
      </c>
      <c r="J554" s="47" t="s">
        <v>59</v>
      </c>
      <c r="K554" s="48">
        <v>0.05</v>
      </c>
      <c r="L554" s="49">
        <v>5.0000000000000001E-4</v>
      </c>
      <c r="M554" s="50">
        <f>VLOOKUP(H554,[4]Sheet2!K:Q,7,0)</f>
        <v>600</v>
      </c>
      <c r="N554" s="51"/>
      <c r="O554" s="51"/>
      <c r="P554" s="51"/>
      <c r="Q554" s="51"/>
      <c r="R554" s="51"/>
      <c r="S554" s="51"/>
      <c r="T554" s="51"/>
      <c r="U554" s="51"/>
      <c r="V554" s="52">
        <f>VLOOKUP(H554,[4]Sheet2!K:N,4,0)</f>
        <v>0</v>
      </c>
      <c r="W554" s="52">
        <f t="shared" si="491"/>
        <v>0</v>
      </c>
      <c r="X554" s="52">
        <f>VLOOKUP(H554,[4]Sheet2!K:N,4,0)</f>
        <v>0</v>
      </c>
      <c r="Y554" s="53">
        <f t="shared" si="492"/>
        <v>0</v>
      </c>
      <c r="Z554" s="53">
        <f t="shared" si="493"/>
        <v>0</v>
      </c>
      <c r="AA554" s="53">
        <f t="shared" si="494"/>
        <v>0</v>
      </c>
    </row>
    <row r="555" spans="1:27" ht="18.75" customHeight="1" outlineLevel="2" x14ac:dyDescent="0.3">
      <c r="B555" s="12"/>
      <c r="C555" s="18"/>
      <c r="D555" s="24" t="s">
        <v>615</v>
      </c>
      <c r="E555" s="65"/>
      <c r="F555" s="65"/>
      <c r="G555" s="65"/>
      <c r="H555" s="25"/>
      <c r="I555" s="25"/>
      <c r="J555" s="25"/>
      <c r="K555" s="25"/>
      <c r="L555" s="26">
        <f>L556+L568</f>
        <v>7.4999999999999997E-3</v>
      </c>
      <c r="M555" s="27">
        <f>M556+M568</f>
        <v>5</v>
      </c>
      <c r="N555" s="25"/>
      <c r="O555" s="25"/>
      <c r="P555" s="25"/>
      <c r="Q555" s="25"/>
      <c r="R555" s="25"/>
      <c r="S555" s="25"/>
      <c r="T555" s="25"/>
      <c r="U555" s="25"/>
      <c r="V555" s="64">
        <f t="shared" ref="V555:X555" si="495">(V556*$L556+V568*$L568)/$L555</f>
        <v>0</v>
      </c>
      <c r="W555" s="64">
        <f t="shared" si="495"/>
        <v>0</v>
      </c>
      <c r="X555" s="64">
        <f t="shared" si="495"/>
        <v>0</v>
      </c>
      <c r="Y555" s="28">
        <f>(Y556*$L556+Y568*$L568)/$L555</f>
        <v>0</v>
      </c>
      <c r="Z555" s="28">
        <f t="shared" ref="Z555:AA555" si="496">(Z556*$L556+Z568*$L568)/$L555</f>
        <v>0</v>
      </c>
      <c r="AA555" s="28">
        <f t="shared" si="496"/>
        <v>0</v>
      </c>
    </row>
    <row r="556" spans="1:27" ht="18.75" customHeight="1" outlineLevel="3" x14ac:dyDescent="0.3">
      <c r="B556" s="12"/>
      <c r="C556" s="18"/>
      <c r="D556" s="24"/>
      <c r="E556" s="29" t="s">
        <v>616</v>
      </c>
      <c r="F556" s="66"/>
      <c r="G556" s="66"/>
      <c r="H556" s="30"/>
      <c r="I556" s="30"/>
      <c r="J556" s="30"/>
      <c r="K556" s="30"/>
      <c r="L556" s="31">
        <f>L557</f>
        <v>6.9499999999999996E-3</v>
      </c>
      <c r="M556" s="32">
        <f>M557</f>
        <v>4.5</v>
      </c>
      <c r="N556" s="30"/>
      <c r="O556" s="30"/>
      <c r="P556" s="30"/>
      <c r="Q556" s="30"/>
      <c r="R556" s="30"/>
      <c r="S556" s="30"/>
      <c r="T556" s="30"/>
      <c r="U556" s="30"/>
      <c r="V556" s="63">
        <f t="shared" ref="V556:AA556" si="497">V557</f>
        <v>0</v>
      </c>
      <c r="W556" s="63">
        <f t="shared" si="497"/>
        <v>0</v>
      </c>
      <c r="X556" s="63">
        <f t="shared" si="497"/>
        <v>0</v>
      </c>
      <c r="Y556" s="33">
        <f t="shared" si="497"/>
        <v>0</v>
      </c>
      <c r="Z556" s="33">
        <f t="shared" si="497"/>
        <v>0</v>
      </c>
      <c r="AA556" s="33">
        <f t="shared" si="497"/>
        <v>0</v>
      </c>
    </row>
    <row r="557" spans="1:27" ht="18.75" customHeight="1" outlineLevel="4" x14ac:dyDescent="0.3">
      <c r="B557" s="12"/>
      <c r="C557" s="18"/>
      <c r="D557" s="24"/>
      <c r="E557" s="29"/>
      <c r="F557" s="34" t="s">
        <v>617</v>
      </c>
      <c r="G557" s="34"/>
      <c r="H557" s="35"/>
      <c r="I557" s="35"/>
      <c r="J557" s="35"/>
      <c r="K557" s="35"/>
      <c r="L557" s="36">
        <f>L558+L560+L562+L564+L566</f>
        <v>6.9499999999999996E-3</v>
      </c>
      <c r="M557" s="37">
        <f>M558+M560+M562+M564+M566</f>
        <v>4.5</v>
      </c>
      <c r="N557" s="35"/>
      <c r="O557" s="35"/>
      <c r="P557" s="35"/>
      <c r="Q557" s="35"/>
      <c r="R557" s="35"/>
      <c r="S557" s="35"/>
      <c r="T557" s="35"/>
      <c r="U557" s="35"/>
      <c r="V557" s="61">
        <f t="shared" ref="V557:X557" si="498">(V558*$L558+V560*$L560+V562*$L562+V564*$L564+V566*$L566)/$L557</f>
        <v>0</v>
      </c>
      <c r="W557" s="61">
        <f t="shared" si="498"/>
        <v>0</v>
      </c>
      <c r="X557" s="61">
        <f t="shared" si="498"/>
        <v>0</v>
      </c>
      <c r="Y557" s="38">
        <f>(Y558*$L558+Y560*$L560+Y562*$L562+Y564*$L564+Y566*$L566)/$L557</f>
        <v>0</v>
      </c>
      <c r="Z557" s="38">
        <f t="shared" ref="Z557:AA557" si="499">(Z558*$L558+Z560*$L560+Z562*$L562+Z564*$L564+Z566*$L566)/$L557</f>
        <v>0</v>
      </c>
      <c r="AA557" s="38">
        <f t="shared" si="499"/>
        <v>0</v>
      </c>
    </row>
    <row r="558" spans="1:27" ht="18.75" customHeight="1" outlineLevel="5" x14ac:dyDescent="0.3">
      <c r="B558" s="12"/>
      <c r="C558" s="18"/>
      <c r="D558" s="24"/>
      <c r="E558" s="29"/>
      <c r="F558" s="34"/>
      <c r="G558" s="39" t="s">
        <v>618</v>
      </c>
      <c r="H558" s="40"/>
      <c r="I558" s="40"/>
      <c r="J558" s="40"/>
      <c r="K558" s="40"/>
      <c r="L558" s="41">
        <f>L559</f>
        <v>2.4499999999999999E-3</v>
      </c>
      <c r="M558" s="42">
        <f>M559</f>
        <v>1</v>
      </c>
      <c r="N558" s="40"/>
      <c r="O558" s="40"/>
      <c r="P558" s="40"/>
      <c r="Q558" s="40"/>
      <c r="R558" s="40"/>
      <c r="S558" s="40"/>
      <c r="T558" s="40"/>
      <c r="U558" s="40"/>
      <c r="V558" s="62">
        <f t="shared" ref="V558:AA558" si="500">V559</f>
        <v>0</v>
      </c>
      <c r="W558" s="62">
        <f t="shared" si="500"/>
        <v>0</v>
      </c>
      <c r="X558" s="62">
        <f t="shared" si="500"/>
        <v>0</v>
      </c>
      <c r="Y558" s="43">
        <f t="shared" si="500"/>
        <v>0</v>
      </c>
      <c r="Z558" s="43">
        <f t="shared" si="500"/>
        <v>0</v>
      </c>
      <c r="AA558" s="43">
        <f t="shared" si="500"/>
        <v>0</v>
      </c>
    </row>
    <row r="559" spans="1:27" ht="18.75" customHeight="1" outlineLevel="6" x14ac:dyDescent="0.3">
      <c r="B559" s="44"/>
      <c r="C559" s="18"/>
      <c r="D559" s="24"/>
      <c r="E559" s="29"/>
      <c r="F559" s="34"/>
      <c r="G559" s="39"/>
      <c r="H559" s="46" t="s">
        <v>619</v>
      </c>
      <c r="I559" s="46" t="s">
        <v>464</v>
      </c>
      <c r="J559" s="47" t="s">
        <v>542</v>
      </c>
      <c r="K559" s="48">
        <v>1</v>
      </c>
      <c r="L559" s="49">
        <f>VLOOKUP(H559,[4]Sheet2!K:P,6,0)</f>
        <v>2.4499999999999999E-3</v>
      </c>
      <c r="M559" s="50">
        <f>VLOOKUP(H559,[4]Sheet2!K:Q,7,0)</f>
        <v>1</v>
      </c>
      <c r="N559" s="51"/>
      <c r="O559" s="51"/>
      <c r="P559" s="51"/>
      <c r="Q559" s="51"/>
      <c r="R559" s="51"/>
      <c r="S559" s="51"/>
      <c r="T559" s="51"/>
      <c r="U559" s="51"/>
      <c r="V559" s="52">
        <f>VLOOKUP(H559,[4]Sheet2!K:N,4,0)</f>
        <v>0</v>
      </c>
      <c r="W559" s="52">
        <f>X559-V559</f>
        <v>0</v>
      </c>
      <c r="X559" s="52">
        <f>VLOOKUP(H559,[4]Sheet2!K:N,4,0)</f>
        <v>0</v>
      </c>
      <c r="Y559" s="53">
        <f>IFERROR(V559/M559,1)</f>
        <v>0</v>
      </c>
      <c r="Z559" s="53">
        <f>IFERROR(W559/M559,1)</f>
        <v>0</v>
      </c>
      <c r="AA559" s="53">
        <f>IFERROR(X559/M559,1)</f>
        <v>0</v>
      </c>
    </row>
    <row r="560" spans="1:27" ht="18.75" customHeight="1" outlineLevel="5" x14ac:dyDescent="0.3">
      <c r="B560" s="12"/>
      <c r="C560" s="18"/>
      <c r="D560" s="24"/>
      <c r="E560" s="29"/>
      <c r="F560" s="34"/>
      <c r="G560" s="39" t="s">
        <v>620</v>
      </c>
      <c r="H560" s="40"/>
      <c r="I560" s="40"/>
      <c r="J560" s="40"/>
      <c r="K560" s="40"/>
      <c r="L560" s="41">
        <f>L561</f>
        <v>1E-3</v>
      </c>
      <c r="M560" s="42">
        <f>M561</f>
        <v>1</v>
      </c>
      <c r="N560" s="40"/>
      <c r="O560" s="40"/>
      <c r="P560" s="40"/>
      <c r="Q560" s="40"/>
      <c r="R560" s="40"/>
      <c r="S560" s="40"/>
      <c r="T560" s="40"/>
      <c r="U560" s="40"/>
      <c r="V560" s="62">
        <f t="shared" ref="V560:AA560" si="501">V561</f>
        <v>0</v>
      </c>
      <c r="W560" s="62">
        <f t="shared" si="501"/>
        <v>0</v>
      </c>
      <c r="X560" s="62">
        <f t="shared" si="501"/>
        <v>0</v>
      </c>
      <c r="Y560" s="43">
        <f t="shared" si="501"/>
        <v>0</v>
      </c>
      <c r="Z560" s="43">
        <f t="shared" si="501"/>
        <v>0</v>
      </c>
      <c r="AA560" s="43">
        <f t="shared" si="501"/>
        <v>0</v>
      </c>
    </row>
    <row r="561" spans="2:27" ht="18.75" customHeight="1" outlineLevel="6" x14ac:dyDescent="0.3">
      <c r="B561" s="44"/>
      <c r="C561" s="18"/>
      <c r="D561" s="24"/>
      <c r="E561" s="29"/>
      <c r="F561" s="34"/>
      <c r="G561" s="39"/>
      <c r="H561" s="46" t="s">
        <v>621</v>
      </c>
      <c r="I561" s="46" t="s">
        <v>464</v>
      </c>
      <c r="J561" s="47" t="s">
        <v>542</v>
      </c>
      <c r="K561" s="48">
        <v>1</v>
      </c>
      <c r="L561" s="49">
        <f>VLOOKUP(H561,[4]Sheet2!K:P,6,0)</f>
        <v>1E-3</v>
      </c>
      <c r="M561" s="50">
        <f>VLOOKUP(H561,[4]Sheet2!K:Q,7,0)</f>
        <v>1</v>
      </c>
      <c r="N561" s="51"/>
      <c r="O561" s="51"/>
      <c r="P561" s="51"/>
      <c r="Q561" s="51"/>
      <c r="R561" s="51"/>
      <c r="S561" s="51"/>
      <c r="T561" s="51"/>
      <c r="U561" s="51"/>
      <c r="V561" s="52">
        <f>VLOOKUP(H561,[4]Sheet2!K:N,4,0)</f>
        <v>0</v>
      </c>
      <c r="W561" s="52">
        <f>X561-V561</f>
        <v>0</v>
      </c>
      <c r="X561" s="52">
        <f>VLOOKUP(H561,[4]Sheet2!K:N,4,0)</f>
        <v>0</v>
      </c>
      <c r="Y561" s="53">
        <f>IFERROR(V561/M561,1)</f>
        <v>0</v>
      </c>
      <c r="Z561" s="53">
        <f>IFERROR(W561/M561,1)</f>
        <v>0</v>
      </c>
      <c r="AA561" s="53">
        <f>IFERROR(X561/M561,1)</f>
        <v>0</v>
      </c>
    </row>
    <row r="562" spans="2:27" ht="18.75" customHeight="1" outlineLevel="5" x14ac:dyDescent="0.3">
      <c r="B562" s="12"/>
      <c r="C562" s="18"/>
      <c r="D562" s="24"/>
      <c r="E562" s="29"/>
      <c r="F562" s="34"/>
      <c r="G562" s="39" t="s">
        <v>622</v>
      </c>
      <c r="H562" s="40"/>
      <c r="I562" s="40"/>
      <c r="J562" s="40"/>
      <c r="K562" s="40"/>
      <c r="L562" s="41">
        <f>L563</f>
        <v>1.5E-3</v>
      </c>
      <c r="M562" s="42">
        <f>M563</f>
        <v>1</v>
      </c>
      <c r="N562" s="40"/>
      <c r="O562" s="40"/>
      <c r="P562" s="40"/>
      <c r="Q562" s="40"/>
      <c r="R562" s="40"/>
      <c r="S562" s="40"/>
      <c r="T562" s="40"/>
      <c r="U562" s="40"/>
      <c r="V562" s="62">
        <f t="shared" ref="V562:AA562" si="502">V563</f>
        <v>0</v>
      </c>
      <c r="W562" s="62">
        <f t="shared" si="502"/>
        <v>0</v>
      </c>
      <c r="X562" s="62">
        <f t="shared" si="502"/>
        <v>0</v>
      </c>
      <c r="Y562" s="43">
        <f t="shared" si="502"/>
        <v>0</v>
      </c>
      <c r="Z562" s="43">
        <f t="shared" si="502"/>
        <v>0</v>
      </c>
      <c r="AA562" s="43">
        <f t="shared" si="502"/>
        <v>0</v>
      </c>
    </row>
    <row r="563" spans="2:27" ht="18.75" customHeight="1" outlineLevel="6" x14ac:dyDescent="0.3">
      <c r="B563" s="44"/>
      <c r="C563" s="18"/>
      <c r="D563" s="24"/>
      <c r="E563" s="29"/>
      <c r="F563" s="34"/>
      <c r="G563" s="39"/>
      <c r="H563" s="46" t="s">
        <v>623</v>
      </c>
      <c r="I563" s="46" t="s">
        <v>464</v>
      </c>
      <c r="J563" s="47" t="s">
        <v>542</v>
      </c>
      <c r="K563" s="48">
        <v>1</v>
      </c>
      <c r="L563" s="49">
        <f>VLOOKUP(H563,[4]Sheet2!K:P,6,0)</f>
        <v>1.5E-3</v>
      </c>
      <c r="M563" s="50">
        <f>VLOOKUP(H563,[4]Sheet2!K:Q,7,0)</f>
        <v>1</v>
      </c>
      <c r="N563" s="51"/>
      <c r="O563" s="51"/>
      <c r="P563" s="51"/>
      <c r="Q563" s="51"/>
      <c r="R563" s="51"/>
      <c r="S563" s="51"/>
      <c r="T563" s="51"/>
      <c r="U563" s="51"/>
      <c r="V563" s="52">
        <f>VLOOKUP(H563,[4]Sheet2!K:N,4,0)</f>
        <v>0</v>
      </c>
      <c r="W563" s="52">
        <f>X563-V563</f>
        <v>0</v>
      </c>
      <c r="X563" s="52">
        <f>VLOOKUP(H563,[4]Sheet2!K:N,4,0)</f>
        <v>0</v>
      </c>
      <c r="Y563" s="53">
        <f>IFERROR(V563/M563,1)</f>
        <v>0</v>
      </c>
      <c r="Z563" s="53">
        <f>IFERROR(W563/M563,1)</f>
        <v>0</v>
      </c>
      <c r="AA563" s="53">
        <f>IFERROR(X563/M563,1)</f>
        <v>0</v>
      </c>
    </row>
    <row r="564" spans="2:27" ht="18.75" customHeight="1" outlineLevel="5" x14ac:dyDescent="0.3">
      <c r="B564" s="12"/>
      <c r="C564" s="18"/>
      <c r="D564" s="24"/>
      <c r="E564" s="29"/>
      <c r="F564" s="34"/>
      <c r="G564" s="39" t="s">
        <v>624</v>
      </c>
      <c r="H564" s="40"/>
      <c r="I564" s="40"/>
      <c r="J564" s="40"/>
      <c r="K564" s="40"/>
      <c r="L564" s="41">
        <f>L565</f>
        <v>1.5E-3</v>
      </c>
      <c r="M564" s="42">
        <f>M565</f>
        <v>1</v>
      </c>
      <c r="N564" s="40"/>
      <c r="O564" s="40"/>
      <c r="P564" s="40"/>
      <c r="Q564" s="40"/>
      <c r="R564" s="40"/>
      <c r="S564" s="40"/>
      <c r="T564" s="40"/>
      <c r="U564" s="40"/>
      <c r="V564" s="62">
        <f t="shared" ref="V564:AA564" si="503">V565</f>
        <v>0</v>
      </c>
      <c r="W564" s="62">
        <f t="shared" si="503"/>
        <v>0</v>
      </c>
      <c r="X564" s="62">
        <f t="shared" si="503"/>
        <v>0</v>
      </c>
      <c r="Y564" s="43">
        <f t="shared" si="503"/>
        <v>0</v>
      </c>
      <c r="Z564" s="43">
        <f t="shared" si="503"/>
        <v>0</v>
      </c>
      <c r="AA564" s="43">
        <f t="shared" si="503"/>
        <v>0</v>
      </c>
    </row>
    <row r="565" spans="2:27" ht="18.75" customHeight="1" outlineLevel="6" x14ac:dyDescent="0.3">
      <c r="B565" s="44"/>
      <c r="C565" s="18"/>
      <c r="D565" s="24"/>
      <c r="E565" s="29"/>
      <c r="F565" s="34"/>
      <c r="G565" s="39"/>
      <c r="H565" s="46" t="s">
        <v>625</v>
      </c>
      <c r="I565" s="46" t="s">
        <v>464</v>
      </c>
      <c r="J565" s="47" t="s">
        <v>542</v>
      </c>
      <c r="K565" s="48">
        <v>1</v>
      </c>
      <c r="L565" s="49">
        <f>VLOOKUP(H565,[4]Sheet2!K:P,6,0)</f>
        <v>1.5E-3</v>
      </c>
      <c r="M565" s="50">
        <f>VLOOKUP(H565,[4]Sheet2!K:Q,7,0)</f>
        <v>1</v>
      </c>
      <c r="N565" s="51"/>
      <c r="O565" s="51"/>
      <c r="P565" s="51"/>
      <c r="Q565" s="51"/>
      <c r="R565" s="51"/>
      <c r="S565" s="51"/>
      <c r="T565" s="51"/>
      <c r="U565" s="51"/>
      <c r="V565" s="52">
        <f>VLOOKUP(H565,[4]Sheet2!K:N,4,0)</f>
        <v>0</v>
      </c>
      <c r="W565" s="52">
        <f>X565-V565</f>
        <v>0</v>
      </c>
      <c r="X565" s="52">
        <f>VLOOKUP(H565,[4]Sheet2!K:N,4,0)</f>
        <v>0</v>
      </c>
      <c r="Y565" s="53">
        <f>IFERROR(V565/M565,1)</f>
        <v>0</v>
      </c>
      <c r="Z565" s="53">
        <f>IFERROR(W565/M565,1)</f>
        <v>0</v>
      </c>
      <c r="AA565" s="53">
        <f>IFERROR(X565/M565,1)</f>
        <v>0</v>
      </c>
    </row>
    <row r="566" spans="2:27" ht="18.75" customHeight="1" outlineLevel="5" x14ac:dyDescent="0.3">
      <c r="B566" s="12"/>
      <c r="C566" s="18"/>
      <c r="D566" s="24"/>
      <c r="E566" s="29"/>
      <c r="F566" s="34"/>
      <c r="G566" s="39" t="s">
        <v>626</v>
      </c>
      <c r="H566" s="40"/>
      <c r="I566" s="40"/>
      <c r="J566" s="40"/>
      <c r="K566" s="40"/>
      <c r="L566" s="41">
        <f>L567</f>
        <v>5.0000000000000001E-4</v>
      </c>
      <c r="M566" s="42">
        <f>M567</f>
        <v>0.5</v>
      </c>
      <c r="N566" s="40"/>
      <c r="O566" s="40"/>
      <c r="P566" s="40"/>
      <c r="Q566" s="40"/>
      <c r="R566" s="40"/>
      <c r="S566" s="40"/>
      <c r="T566" s="40"/>
      <c r="U566" s="40"/>
      <c r="V566" s="62">
        <f t="shared" ref="V566:AA566" si="504">V567</f>
        <v>0</v>
      </c>
      <c r="W566" s="62">
        <f t="shared" si="504"/>
        <v>0</v>
      </c>
      <c r="X566" s="62">
        <f t="shared" si="504"/>
        <v>0</v>
      </c>
      <c r="Y566" s="43">
        <f t="shared" si="504"/>
        <v>0</v>
      </c>
      <c r="Z566" s="43">
        <f t="shared" si="504"/>
        <v>0</v>
      </c>
      <c r="AA566" s="43">
        <f t="shared" si="504"/>
        <v>0</v>
      </c>
    </row>
    <row r="567" spans="2:27" ht="18.75" customHeight="1" outlineLevel="6" x14ac:dyDescent="0.3">
      <c r="B567" s="44"/>
      <c r="C567" s="18"/>
      <c r="D567" s="24"/>
      <c r="E567" s="29"/>
      <c r="F567" s="34"/>
      <c r="G567" s="39"/>
      <c r="H567" s="46" t="s">
        <v>627</v>
      </c>
      <c r="I567" s="46" t="s">
        <v>464</v>
      </c>
      <c r="J567" s="47" t="s">
        <v>542</v>
      </c>
      <c r="K567" s="48">
        <v>1</v>
      </c>
      <c r="L567" s="49">
        <f>VLOOKUP(H567,[4]Sheet2!K:P,6,0)</f>
        <v>5.0000000000000001E-4</v>
      </c>
      <c r="M567" s="50">
        <f>VLOOKUP(H567,[4]Sheet2!K:Q,7,0)</f>
        <v>0.5</v>
      </c>
      <c r="N567" s="51"/>
      <c r="O567" s="51"/>
      <c r="P567" s="51"/>
      <c r="Q567" s="51"/>
      <c r="R567" s="51"/>
      <c r="S567" s="51"/>
      <c r="T567" s="51"/>
      <c r="U567" s="51"/>
      <c r="V567" s="52">
        <f>VLOOKUP(H567,[4]Sheet2!K:N,4,0)</f>
        <v>0</v>
      </c>
      <c r="W567" s="52">
        <f>X567-V567</f>
        <v>0</v>
      </c>
      <c r="X567" s="52">
        <f>VLOOKUP(H567,[4]Sheet2!K:N,4,0)</f>
        <v>0</v>
      </c>
      <c r="Y567" s="53">
        <f>IFERROR(V567/M567,1)</f>
        <v>0</v>
      </c>
      <c r="Z567" s="53">
        <f>IFERROR(W567/M567,1)</f>
        <v>0</v>
      </c>
      <c r="AA567" s="53">
        <f>IFERROR(X567/M567,1)</f>
        <v>0</v>
      </c>
    </row>
    <row r="568" spans="2:27" ht="18.75" customHeight="1" outlineLevel="3" x14ac:dyDescent="0.3">
      <c r="B568" s="12"/>
      <c r="C568" s="18"/>
      <c r="D568" s="24"/>
      <c r="E568" s="29" t="s">
        <v>628</v>
      </c>
      <c r="F568" s="66"/>
      <c r="G568" s="66"/>
      <c r="H568" s="30"/>
      <c r="I568" s="30"/>
      <c r="J568" s="30"/>
      <c r="K568" s="30"/>
      <c r="L568" s="31">
        <f t="shared" ref="L568:M570" si="505">L569</f>
        <v>5.5000000000000003E-4</v>
      </c>
      <c r="M568" s="32">
        <f t="shared" si="505"/>
        <v>0.5</v>
      </c>
      <c r="N568" s="30"/>
      <c r="O568" s="30"/>
      <c r="P568" s="30"/>
      <c r="Q568" s="30"/>
      <c r="R568" s="30"/>
      <c r="S568" s="30"/>
      <c r="T568" s="30"/>
      <c r="U568" s="30"/>
      <c r="V568" s="63">
        <f t="shared" ref="V568:AA570" si="506">V569</f>
        <v>0</v>
      </c>
      <c r="W568" s="63">
        <f t="shared" si="506"/>
        <v>0</v>
      </c>
      <c r="X568" s="63">
        <f t="shared" si="506"/>
        <v>0</v>
      </c>
      <c r="Y568" s="33">
        <f t="shared" si="506"/>
        <v>0</v>
      </c>
      <c r="Z568" s="33">
        <f t="shared" si="506"/>
        <v>0</v>
      </c>
      <c r="AA568" s="33">
        <f t="shared" si="506"/>
        <v>0</v>
      </c>
    </row>
    <row r="569" spans="2:27" ht="18.75" customHeight="1" outlineLevel="4" x14ac:dyDescent="0.3">
      <c r="B569" s="12"/>
      <c r="C569" s="18"/>
      <c r="D569" s="24"/>
      <c r="E569" s="29"/>
      <c r="F569" s="34" t="s">
        <v>629</v>
      </c>
      <c r="G569" s="34"/>
      <c r="H569" s="35"/>
      <c r="I569" s="35"/>
      <c r="J569" s="35"/>
      <c r="K569" s="35"/>
      <c r="L569" s="36">
        <f t="shared" si="505"/>
        <v>5.5000000000000003E-4</v>
      </c>
      <c r="M569" s="37">
        <f t="shared" si="505"/>
        <v>0.5</v>
      </c>
      <c r="N569" s="35"/>
      <c r="O569" s="35"/>
      <c r="P569" s="35"/>
      <c r="Q569" s="35"/>
      <c r="R569" s="35"/>
      <c r="S569" s="35"/>
      <c r="T569" s="35"/>
      <c r="U569" s="35"/>
      <c r="V569" s="61">
        <f t="shared" si="506"/>
        <v>0</v>
      </c>
      <c r="W569" s="61">
        <f t="shared" si="506"/>
        <v>0</v>
      </c>
      <c r="X569" s="61">
        <f t="shared" si="506"/>
        <v>0</v>
      </c>
      <c r="Y569" s="38">
        <f t="shared" si="506"/>
        <v>0</v>
      </c>
      <c r="Z569" s="38">
        <f t="shared" si="506"/>
        <v>0</v>
      </c>
      <c r="AA569" s="38">
        <f t="shared" si="506"/>
        <v>0</v>
      </c>
    </row>
    <row r="570" spans="2:27" ht="18.75" customHeight="1" outlineLevel="5" x14ac:dyDescent="0.3">
      <c r="B570" s="12"/>
      <c r="C570" s="18"/>
      <c r="D570" s="24"/>
      <c r="E570" s="29"/>
      <c r="F570" s="34"/>
      <c r="G570" s="39" t="s">
        <v>630</v>
      </c>
      <c r="H570" s="40"/>
      <c r="I570" s="40"/>
      <c r="J570" s="40"/>
      <c r="K570" s="40"/>
      <c r="L570" s="41">
        <f t="shared" si="505"/>
        <v>5.5000000000000003E-4</v>
      </c>
      <c r="M570" s="42">
        <f t="shared" si="505"/>
        <v>0.5</v>
      </c>
      <c r="N570" s="40"/>
      <c r="O570" s="40"/>
      <c r="P570" s="40"/>
      <c r="Q570" s="40"/>
      <c r="R570" s="40"/>
      <c r="S570" s="40"/>
      <c r="T570" s="40"/>
      <c r="U570" s="40"/>
      <c r="V570" s="62">
        <f t="shared" si="506"/>
        <v>0</v>
      </c>
      <c r="W570" s="62">
        <f t="shared" si="506"/>
        <v>0</v>
      </c>
      <c r="X570" s="62">
        <f t="shared" si="506"/>
        <v>0</v>
      </c>
      <c r="Y570" s="43">
        <f t="shared" si="506"/>
        <v>0</v>
      </c>
      <c r="Z570" s="43">
        <f t="shared" si="506"/>
        <v>0</v>
      </c>
      <c r="AA570" s="43">
        <f t="shared" si="506"/>
        <v>0</v>
      </c>
    </row>
    <row r="571" spans="2:27" ht="18.75" customHeight="1" outlineLevel="6" x14ac:dyDescent="0.3">
      <c r="B571" s="44"/>
      <c r="C571" s="18"/>
      <c r="D571" s="24"/>
      <c r="E571" s="29"/>
      <c r="F571" s="34"/>
      <c r="G571" s="39"/>
      <c r="H571" s="46" t="s">
        <v>631</v>
      </c>
      <c r="I571" s="46" t="s">
        <v>464</v>
      </c>
      <c r="J571" s="47" t="s">
        <v>542</v>
      </c>
      <c r="K571" s="48">
        <v>1</v>
      </c>
      <c r="L571" s="49">
        <f>VLOOKUP(H571,[4]Sheet2!K:P,6,0)</f>
        <v>5.5000000000000003E-4</v>
      </c>
      <c r="M571" s="50">
        <f>VLOOKUP(H571,[4]Sheet2!K:Q,7,0)</f>
        <v>0.5</v>
      </c>
      <c r="N571" s="51"/>
      <c r="O571" s="51"/>
      <c r="P571" s="51"/>
      <c r="Q571" s="51"/>
      <c r="R571" s="51"/>
      <c r="S571" s="51"/>
      <c r="T571" s="51"/>
      <c r="U571" s="51"/>
      <c r="V571" s="52">
        <f>VLOOKUP(H571,[4]Sheet2!K:N,4,0)</f>
        <v>0</v>
      </c>
      <c r="W571" s="52">
        <f>X571-V571</f>
        <v>0</v>
      </c>
      <c r="X571" s="52">
        <f>VLOOKUP(H571,[4]Sheet2!K:N,4,0)</f>
        <v>0</v>
      </c>
      <c r="Y571" s="53">
        <f>IFERROR(V571/M571,1)</f>
        <v>0</v>
      </c>
      <c r="Z571" s="53">
        <f>IFERROR(W571/M571,1)</f>
        <v>0</v>
      </c>
      <c r="AA571" s="53">
        <f>IFERROR(X571/M571,1)</f>
        <v>0</v>
      </c>
    </row>
    <row r="572" spans="2:27" ht="18.75" customHeight="1" outlineLevel="1" x14ac:dyDescent="0.3">
      <c r="B572" s="12"/>
      <c r="C572" s="18" t="s">
        <v>632</v>
      </c>
      <c r="D572" s="18"/>
      <c r="E572" s="18"/>
      <c r="F572" s="18"/>
      <c r="G572" s="18"/>
      <c r="H572" s="54"/>
      <c r="I572" s="54"/>
      <c r="J572" s="54"/>
      <c r="K572" s="54"/>
      <c r="L572" s="21">
        <f>L573+L1049+L1074+L1107</f>
        <v>0.48565000000000003</v>
      </c>
      <c r="M572" s="22">
        <f>M573+M1049+M1074+M1107</f>
        <v>1268662.45</v>
      </c>
      <c r="N572" s="20"/>
      <c r="O572" s="20"/>
      <c r="P572" s="20"/>
      <c r="Q572" s="20"/>
      <c r="R572" s="20"/>
      <c r="S572" s="20"/>
      <c r="T572" s="20"/>
      <c r="U572" s="20"/>
      <c r="V572" s="22">
        <f>V573+V1049+V1074+V1107</f>
        <v>846794.36788888893</v>
      </c>
      <c r="W572" s="22">
        <f>W573+W1049+W1074+W1107</f>
        <v>0</v>
      </c>
      <c r="X572" s="22">
        <f>X573+X1049+X1074+X1107</f>
        <v>608247.36770691688</v>
      </c>
      <c r="Y572" s="23">
        <f>(Y573*$L573+Y1049*$L1049+Y1074*$L1074+Y1107*$L1107)/$L572</f>
        <v>0.5925978529766146</v>
      </c>
      <c r="Z572" s="23">
        <f>(Z573*$L573+Z1049*$L1049+Z1074*$L1074+Z1107*$L1107)/$L572</f>
        <v>0</v>
      </c>
      <c r="AA572" s="23">
        <f>(AA573*$L573+AA1049*$L1049+AA1074*$L1074+AA1107*$L1107)/$L572</f>
        <v>0.60348177030420991</v>
      </c>
    </row>
    <row r="573" spans="2:27" ht="18.75" customHeight="1" outlineLevel="2" x14ac:dyDescent="0.3">
      <c r="B573" s="12"/>
      <c r="C573" s="18"/>
      <c r="D573" s="24" t="s">
        <v>40</v>
      </c>
      <c r="E573" s="24"/>
      <c r="F573" s="24"/>
      <c r="G573" s="24"/>
      <c r="H573" s="55"/>
      <c r="I573" s="55"/>
      <c r="J573" s="55"/>
      <c r="K573" s="55"/>
      <c r="L573" s="26">
        <f>L574+L787+L882+L956+L1035</f>
        <v>0.42814999999999998</v>
      </c>
      <c r="M573" s="27">
        <f>M574+M787+M882+M956+M1035</f>
        <v>1186857.45</v>
      </c>
      <c r="N573" s="25"/>
      <c r="O573" s="25"/>
      <c r="P573" s="25"/>
      <c r="Q573" s="25"/>
      <c r="R573" s="25"/>
      <c r="S573" s="25"/>
      <c r="T573" s="25"/>
      <c r="U573" s="25"/>
      <c r="V573" s="27">
        <f>V574+V787+V882+V956+V1035</f>
        <v>846794.36788888893</v>
      </c>
      <c r="W573" s="27">
        <f>W574+W787+W882+W956+W1035</f>
        <v>0</v>
      </c>
      <c r="X573" s="27">
        <f>X574+X787+X882+X956+X1035</f>
        <v>608247.36770691688</v>
      </c>
      <c r="Y573" s="28">
        <f>(Y574*$L574+Y787*$L787+Y882*$L882+Y956*$L956+Y1035*$L1035)/$L573</f>
        <v>0.67218299030268114</v>
      </c>
      <c r="Z573" s="28">
        <f>(Z574*$L574+Z787*$L787+Z882*$L882+Z956*$L956+Z1035*$L1035)/$L573</f>
        <v>0</v>
      </c>
      <c r="AA573" s="28">
        <f>(AA574*$L574+AA787*$L787+AA882*$L882+AA956*$L956+AA1035*$L1035)/$L573</f>
        <v>0.68260170909316731</v>
      </c>
    </row>
    <row r="574" spans="2:27" ht="18.75" customHeight="1" outlineLevel="3" x14ac:dyDescent="0.3">
      <c r="B574" s="12"/>
      <c r="C574" s="18"/>
      <c r="D574" s="24"/>
      <c r="E574" s="29" t="s">
        <v>41</v>
      </c>
      <c r="F574" s="29"/>
      <c r="G574" s="29"/>
      <c r="H574" s="56"/>
      <c r="I574" s="56"/>
      <c r="J574" s="56"/>
      <c r="K574" s="56"/>
      <c r="L574" s="31">
        <f>L575+L629+L685+L721+L736+L778</f>
        <v>0.19750000000000001</v>
      </c>
      <c r="M574" s="32">
        <f>M575+M629+M685+M721+M736+M778</f>
        <v>432867.5</v>
      </c>
      <c r="N574" s="30"/>
      <c r="O574" s="30"/>
      <c r="P574" s="30"/>
      <c r="Q574" s="30"/>
      <c r="R574" s="30"/>
      <c r="S574" s="30"/>
      <c r="T574" s="30"/>
      <c r="U574" s="30"/>
      <c r="V574" s="32">
        <f>V575+V629+V685+V721+V736+V778</f>
        <v>411719.45</v>
      </c>
      <c r="W574" s="32">
        <f>W575+W629+W685+W721+W736+W778</f>
        <v>0</v>
      </c>
      <c r="X574" s="32">
        <f>X575+X629+X685+X721+X736+X778</f>
        <v>411719.45</v>
      </c>
      <c r="Y574" s="33">
        <f>(Y575*$L575+Y629*$L629+Y685*$L685+Y721*$L721+Y736*$L736+Y778*$L778)/$L574</f>
        <v>0.82116981448383419</v>
      </c>
      <c r="Z574" s="33">
        <f>(Z575*$L575+Z629*$L629+Z685*$L685+Z721*$L721+Z736*$L736+Z778*$L778)/$L574</f>
        <v>0</v>
      </c>
      <c r="AA574" s="33">
        <f>(AA575*$L575+AA629*$L629+AA685*$L685+AA721*$L721+AA736*$L736+AA778*$L778)/$L574</f>
        <v>0.82350284967445009</v>
      </c>
    </row>
    <row r="575" spans="2:27" ht="18.75" customHeight="1" outlineLevel="4" x14ac:dyDescent="0.3">
      <c r="B575" s="12"/>
      <c r="C575" s="18"/>
      <c r="D575" s="24"/>
      <c r="E575" s="29"/>
      <c r="F575" s="34" t="s">
        <v>42</v>
      </c>
      <c r="G575" s="34"/>
      <c r="H575" s="57"/>
      <c r="I575" s="57"/>
      <c r="J575" s="57"/>
      <c r="K575" s="57"/>
      <c r="L575" s="36">
        <f>L576+L583+L592+L601+L608+L615+L622</f>
        <v>4.8943100000000003E-2</v>
      </c>
      <c r="M575" s="37">
        <f>M576+M583+M592+M601+M608+M615+M622</f>
        <v>110000</v>
      </c>
      <c r="N575" s="35"/>
      <c r="O575" s="35"/>
      <c r="P575" s="35"/>
      <c r="Q575" s="35"/>
      <c r="R575" s="35"/>
      <c r="S575" s="35"/>
      <c r="T575" s="35"/>
      <c r="U575" s="35"/>
      <c r="V575" s="37">
        <f t="shared" ref="V575:X575" si="507">V576+V583+V592+V601+V608+V615+V622</f>
        <v>109000</v>
      </c>
      <c r="W575" s="37">
        <f t="shared" si="507"/>
        <v>0</v>
      </c>
      <c r="X575" s="37">
        <f t="shared" si="507"/>
        <v>109000</v>
      </c>
      <c r="Y575" s="59">
        <f>(Y576*$L576+Y583*$L583+Y592*$L592+Y601*$L601+Y608*$L608+Y615*$L615+Y622*$L622)/$L575</f>
        <v>0.97275644595458799</v>
      </c>
      <c r="Z575" s="59">
        <f t="shared" ref="Z575:AA575" si="508">(Z576*$L576+Z583*$L583+Z592*$L592+Z601*$L601+Z608*$L608+Z615*$L615+Z622*$L622)/$L575</f>
        <v>0</v>
      </c>
      <c r="AA575" s="59">
        <f t="shared" si="508"/>
        <v>0.978332094003036</v>
      </c>
    </row>
    <row r="576" spans="2:27" ht="18.75" customHeight="1" outlineLevel="5" x14ac:dyDescent="0.3">
      <c r="B576" s="12"/>
      <c r="C576" s="18"/>
      <c r="D576" s="24"/>
      <c r="E576" s="29"/>
      <c r="F576" s="34"/>
      <c r="G576" s="39" t="s">
        <v>43</v>
      </c>
      <c r="H576" s="58"/>
      <c r="I576" s="58"/>
      <c r="J576" s="58"/>
      <c r="K576" s="58"/>
      <c r="L576" s="41">
        <f>SUM(L577:L582)</f>
        <v>3.5189999999999996E-3</v>
      </c>
      <c r="M576" s="42">
        <f>M577</f>
        <v>9000</v>
      </c>
      <c r="N576" s="40"/>
      <c r="O576" s="40"/>
      <c r="P576" s="40"/>
      <c r="Q576" s="40"/>
      <c r="R576" s="40"/>
      <c r="S576" s="40"/>
      <c r="T576" s="40"/>
      <c r="U576" s="40"/>
      <c r="V576" s="42">
        <f t="shared" ref="V576:X576" si="509">V577</f>
        <v>9000</v>
      </c>
      <c r="W576" s="42">
        <f t="shared" si="509"/>
        <v>0</v>
      </c>
      <c r="X576" s="42">
        <f t="shared" si="509"/>
        <v>9000</v>
      </c>
      <c r="Y576" s="43">
        <f>SUMPRODUCT(Y577:Y582,$K577:$K582)</f>
        <v>1.0000000000000002</v>
      </c>
      <c r="Z576" s="43">
        <f t="shared" ref="Z576" si="510">SUMPRODUCT(Z577:Z582,$K577:$K582)</f>
        <v>0</v>
      </c>
      <c r="AA576" s="43">
        <f>SUMPRODUCT(AA577:AA582,$K577:$K582)</f>
        <v>1.0000000000000002</v>
      </c>
    </row>
    <row r="577" spans="1:27" ht="18.75" customHeight="1" outlineLevel="6" x14ac:dyDescent="0.3">
      <c r="B577" s="44"/>
      <c r="C577" s="18"/>
      <c r="D577" s="24"/>
      <c r="E577" s="29"/>
      <c r="F577" s="34"/>
      <c r="G577" s="39"/>
      <c r="H577" s="46" t="s">
        <v>633</v>
      </c>
      <c r="I577" s="46" t="s">
        <v>45</v>
      </c>
      <c r="J577" s="47" t="s">
        <v>30</v>
      </c>
      <c r="K577" s="48">
        <v>0.05</v>
      </c>
      <c r="L577" s="49">
        <f>VLOOKUP(H577,[4]Sheet2!K:P,6,0)</f>
        <v>1.7594999999999999E-4</v>
      </c>
      <c r="M577" s="50">
        <f>VLOOKUP(H577,[4]Sheet2!K:Q,7,0)</f>
        <v>9000</v>
      </c>
      <c r="N577" s="51"/>
      <c r="O577" s="51"/>
      <c r="P577" s="51"/>
      <c r="Q577" s="51"/>
      <c r="R577" s="51"/>
      <c r="S577" s="51"/>
      <c r="T577" s="51"/>
      <c r="U577" s="51"/>
      <c r="V577" s="52">
        <f>VLOOKUP(H577,[4]Sheet2!K:N,4,0)</f>
        <v>9000</v>
      </c>
      <c r="W577" s="52">
        <f t="shared" ref="W577:W582" si="511">X577-V577</f>
        <v>0</v>
      </c>
      <c r="X577" s="52">
        <f>VLOOKUP(H577,[4]Sheet2!K:N,4,0)</f>
        <v>9000</v>
      </c>
      <c r="Y577" s="53">
        <f t="shared" ref="Y577:Y582" si="512">IFERROR(V577/M577,1)</f>
        <v>1</v>
      </c>
      <c r="Z577" s="53">
        <f t="shared" ref="Z577:Z582" si="513">IFERROR(W577/M577,1)</f>
        <v>0</v>
      </c>
      <c r="AA577" s="53">
        <f>IFERROR(X577/M577,1)</f>
        <v>1</v>
      </c>
    </row>
    <row r="578" spans="1:27" ht="18.75" customHeight="1" outlineLevel="6" x14ac:dyDescent="0.3">
      <c r="A578" s="60" t="s">
        <v>634</v>
      </c>
      <c r="B578" s="44"/>
      <c r="C578" s="18"/>
      <c r="D578" s="24"/>
      <c r="E578" s="29"/>
      <c r="F578" s="34"/>
      <c r="G578" s="39"/>
      <c r="H578" s="46" t="s">
        <v>635</v>
      </c>
      <c r="I578" s="46" t="s">
        <v>48</v>
      </c>
      <c r="J578" s="47" t="s">
        <v>30</v>
      </c>
      <c r="K578" s="48">
        <v>0.5</v>
      </c>
      <c r="L578" s="49">
        <f>VLOOKUP(H578,[4]Sheet2!K:P,6,0)</f>
        <v>1.7595E-3</v>
      </c>
      <c r="M578" s="50">
        <f>VLOOKUP(H578,[4]Sheet2!K:Q,7,0)</f>
        <v>9000</v>
      </c>
      <c r="N578" s="51"/>
      <c r="O578" s="51"/>
      <c r="P578" s="51"/>
      <c r="Q578" s="51"/>
      <c r="R578" s="51"/>
      <c r="S578" s="51"/>
      <c r="T578" s="51"/>
      <c r="U578" s="51"/>
      <c r="V578" s="52">
        <f>VLOOKUP(H578,[4]Sheet2!K:N,4,0)</f>
        <v>9000</v>
      </c>
      <c r="W578" s="52">
        <f t="shared" si="511"/>
        <v>0</v>
      </c>
      <c r="X578" s="52">
        <f>VLOOKUP(H578,[4]Sheet2!K:N,4,0)</f>
        <v>9000</v>
      </c>
      <c r="Y578" s="53">
        <f t="shared" si="512"/>
        <v>1</v>
      </c>
      <c r="Z578" s="53">
        <f t="shared" si="513"/>
        <v>0</v>
      </c>
      <c r="AA578" s="53">
        <f t="shared" ref="AA578:AA582" si="514">IFERROR(X578/M578,1)</f>
        <v>1</v>
      </c>
    </row>
    <row r="579" spans="1:27" ht="18.75" customHeight="1" outlineLevel="6" x14ac:dyDescent="0.3">
      <c r="B579" s="44"/>
      <c r="C579" s="18"/>
      <c r="D579" s="24"/>
      <c r="E579" s="29"/>
      <c r="F579" s="34"/>
      <c r="G579" s="39"/>
      <c r="H579" s="46" t="s">
        <v>636</v>
      </c>
      <c r="I579" s="46" t="s">
        <v>50</v>
      </c>
      <c r="J579" s="47" t="s">
        <v>30</v>
      </c>
      <c r="K579" s="48">
        <v>0.15</v>
      </c>
      <c r="L579" s="49">
        <f>VLOOKUP(H579,[4]Sheet2!K:P,6,0)</f>
        <v>5.2784999999999996E-4</v>
      </c>
      <c r="M579" s="50">
        <f>VLOOKUP(H579,[4]Sheet2!K:Q,7,0)</f>
        <v>9000</v>
      </c>
      <c r="N579" s="51"/>
      <c r="O579" s="51"/>
      <c r="P579" s="51"/>
      <c r="Q579" s="51"/>
      <c r="R579" s="51"/>
      <c r="S579" s="51"/>
      <c r="T579" s="51"/>
      <c r="U579" s="51"/>
      <c r="V579" s="52">
        <f>VLOOKUP(H579,[4]Sheet2!K:N,4,0)</f>
        <v>9000</v>
      </c>
      <c r="W579" s="52">
        <f t="shared" si="511"/>
        <v>0</v>
      </c>
      <c r="X579" s="52">
        <f>VLOOKUP(H579,[4]Sheet2!K:N,4,0)</f>
        <v>9000</v>
      </c>
      <c r="Y579" s="53">
        <f t="shared" si="512"/>
        <v>1</v>
      </c>
      <c r="Z579" s="53">
        <f t="shared" si="513"/>
        <v>0</v>
      </c>
      <c r="AA579" s="53">
        <f t="shared" si="514"/>
        <v>1</v>
      </c>
    </row>
    <row r="580" spans="1:27" ht="18.75" customHeight="1" outlineLevel="6" x14ac:dyDescent="0.3">
      <c r="B580" s="44"/>
      <c r="C580" s="18"/>
      <c r="D580" s="24"/>
      <c r="E580" s="29"/>
      <c r="F580" s="34"/>
      <c r="G580" s="39"/>
      <c r="H580" s="46" t="s">
        <v>637</v>
      </c>
      <c r="I580" s="46" t="s">
        <v>52</v>
      </c>
      <c r="J580" s="47" t="s">
        <v>30</v>
      </c>
      <c r="K580" s="48">
        <v>0.2</v>
      </c>
      <c r="L580" s="49">
        <f>VLOOKUP(H580,[4]Sheet2!K:P,6,0)</f>
        <v>7.0379999999999998E-4</v>
      </c>
      <c r="M580" s="50">
        <f>VLOOKUP(H580,[4]Sheet2!K:Q,7,0)</f>
        <v>9000</v>
      </c>
      <c r="N580" s="51"/>
      <c r="O580" s="51"/>
      <c r="P580" s="51"/>
      <c r="Q580" s="51"/>
      <c r="R580" s="51"/>
      <c r="S580" s="51"/>
      <c r="T580" s="51"/>
      <c r="U580" s="51"/>
      <c r="V580" s="52">
        <f>VLOOKUP(H580,[4]Sheet2!K:N,4,0)</f>
        <v>9000</v>
      </c>
      <c r="W580" s="52">
        <f t="shared" si="511"/>
        <v>0</v>
      </c>
      <c r="X580" s="52">
        <f>VLOOKUP(H580,[4]Sheet2!K:N,4,0)</f>
        <v>9000</v>
      </c>
      <c r="Y580" s="53">
        <f t="shared" si="512"/>
        <v>1</v>
      </c>
      <c r="Z580" s="53">
        <f t="shared" si="513"/>
        <v>0</v>
      </c>
      <c r="AA580" s="53">
        <f t="shared" si="514"/>
        <v>1</v>
      </c>
    </row>
    <row r="581" spans="1:27" ht="18.75" customHeight="1" outlineLevel="6" x14ac:dyDescent="0.3">
      <c r="B581" s="44"/>
      <c r="C581" s="18"/>
      <c r="D581" s="24"/>
      <c r="E581" s="29"/>
      <c r="F581" s="34"/>
      <c r="G581" s="39"/>
      <c r="H581" s="46" t="s">
        <v>638</v>
      </c>
      <c r="I581" s="46" t="s">
        <v>54</v>
      </c>
      <c r="J581" s="47" t="s">
        <v>30</v>
      </c>
      <c r="K581" s="48">
        <v>0.05</v>
      </c>
      <c r="L581" s="49">
        <f>VLOOKUP(H581,[4]Sheet2!K:P,6,0)</f>
        <v>1.7594999999999999E-4</v>
      </c>
      <c r="M581" s="50">
        <f>VLOOKUP(H581,[4]Sheet2!K:Q,7,0)</f>
        <v>9000</v>
      </c>
      <c r="N581" s="51"/>
      <c r="O581" s="51"/>
      <c r="P581" s="51"/>
      <c r="Q581" s="51"/>
      <c r="R581" s="51"/>
      <c r="S581" s="51"/>
      <c r="T581" s="51"/>
      <c r="U581" s="51"/>
      <c r="V581" s="52">
        <f>VLOOKUP(H581,[4]Sheet2!K:N,4,0)</f>
        <v>9000</v>
      </c>
      <c r="W581" s="52">
        <f t="shared" si="511"/>
        <v>0</v>
      </c>
      <c r="X581" s="52">
        <f>VLOOKUP(H581,[4]Sheet2!K:N,4,0)</f>
        <v>9000</v>
      </c>
      <c r="Y581" s="53">
        <f t="shared" si="512"/>
        <v>1</v>
      </c>
      <c r="Z581" s="53">
        <f t="shared" si="513"/>
        <v>0</v>
      </c>
      <c r="AA581" s="53">
        <f t="shared" si="514"/>
        <v>1</v>
      </c>
    </row>
    <row r="582" spans="1:27" ht="18.75" customHeight="1" outlineLevel="6" x14ac:dyDescent="0.3">
      <c r="B582" s="44"/>
      <c r="C582" s="18"/>
      <c r="D582" s="24"/>
      <c r="E582" s="29"/>
      <c r="F582" s="34"/>
      <c r="G582" s="39"/>
      <c r="H582" s="46" t="s">
        <v>639</v>
      </c>
      <c r="I582" s="46" t="s">
        <v>56</v>
      </c>
      <c r="J582" s="47" t="s">
        <v>30</v>
      </c>
      <c r="K582" s="48">
        <v>0.05</v>
      </c>
      <c r="L582" s="49">
        <f>VLOOKUP(H582,[4]Sheet2!K:P,6,0)</f>
        <v>1.7594999999999999E-4</v>
      </c>
      <c r="M582" s="50">
        <f>VLOOKUP(H582,[4]Sheet2!K:Q,7,0)</f>
        <v>9000</v>
      </c>
      <c r="N582" s="51"/>
      <c r="O582" s="51"/>
      <c r="P582" s="51"/>
      <c r="Q582" s="51"/>
      <c r="R582" s="51"/>
      <c r="S582" s="51"/>
      <c r="T582" s="51"/>
      <c r="U582" s="51"/>
      <c r="V582" s="52">
        <f>VLOOKUP(H582,[4]Sheet2!K:N,4,0)</f>
        <v>9000</v>
      </c>
      <c r="W582" s="52">
        <f t="shared" si="511"/>
        <v>0</v>
      </c>
      <c r="X582" s="52">
        <f>VLOOKUP(H582,[4]Sheet2!K:N,4,0)</f>
        <v>9000</v>
      </c>
      <c r="Y582" s="53">
        <f t="shared" si="512"/>
        <v>1</v>
      </c>
      <c r="Z582" s="53">
        <f t="shared" si="513"/>
        <v>0</v>
      </c>
      <c r="AA582" s="53">
        <f t="shared" si="514"/>
        <v>1</v>
      </c>
    </row>
    <row r="583" spans="1:27" ht="18.75" customHeight="1" outlineLevel="5" x14ac:dyDescent="0.3">
      <c r="B583" s="12"/>
      <c r="C583" s="18"/>
      <c r="D583" s="24"/>
      <c r="E583" s="29"/>
      <c r="F583" s="34"/>
      <c r="G583" s="39" t="s">
        <v>57</v>
      </c>
      <c r="H583" s="58"/>
      <c r="I583" s="58"/>
      <c r="J583" s="58"/>
      <c r="K583" s="58"/>
      <c r="L583" s="41">
        <f>SUM(L584:L591)</f>
        <v>1.7421400000000004E-2</v>
      </c>
      <c r="M583" s="42">
        <f>M584</f>
        <v>40000</v>
      </c>
      <c r="N583" s="40"/>
      <c r="O583" s="40"/>
      <c r="P583" s="40"/>
      <c r="Q583" s="40"/>
      <c r="R583" s="40"/>
      <c r="S583" s="40"/>
      <c r="T583" s="40"/>
      <c r="U583" s="40"/>
      <c r="V583" s="42">
        <f t="shared" ref="V583:X583" si="515">V584</f>
        <v>40000</v>
      </c>
      <c r="W583" s="42">
        <f t="shared" si="515"/>
        <v>0</v>
      </c>
      <c r="X583" s="42">
        <f t="shared" si="515"/>
        <v>40000</v>
      </c>
      <c r="Y583" s="43">
        <f>SUMPRODUCT(Y584:Y591,$K584:$K591)</f>
        <v>1</v>
      </c>
      <c r="Z583" s="43">
        <f t="shared" ref="Z583:AA583" si="516">SUMPRODUCT(Z584:Z591,$K584:$K591)</f>
        <v>0</v>
      </c>
      <c r="AA583" s="43">
        <f t="shared" si="516"/>
        <v>1</v>
      </c>
    </row>
    <row r="584" spans="1:27" ht="18.75" customHeight="1" outlineLevel="6" x14ac:dyDescent="0.3">
      <c r="B584" s="44"/>
      <c r="C584" s="18"/>
      <c r="D584" s="24"/>
      <c r="E584" s="29"/>
      <c r="F584" s="34"/>
      <c r="G584" s="39"/>
      <c r="H584" s="46" t="s">
        <v>640</v>
      </c>
      <c r="I584" s="46" t="s">
        <v>45</v>
      </c>
      <c r="J584" s="47" t="s">
        <v>59</v>
      </c>
      <c r="K584" s="48">
        <v>0.05</v>
      </c>
      <c r="L584" s="49">
        <f>VLOOKUP(H584,[4]Sheet2!K:P,6,0)</f>
        <v>8.7107000000000005E-4</v>
      </c>
      <c r="M584" s="50">
        <f>VLOOKUP(H584,[4]Sheet2!K:Q,7,0)</f>
        <v>40000</v>
      </c>
      <c r="N584" s="51"/>
      <c r="O584" s="51"/>
      <c r="P584" s="51"/>
      <c r="Q584" s="51"/>
      <c r="R584" s="51"/>
      <c r="S584" s="51"/>
      <c r="T584" s="51"/>
      <c r="U584" s="51"/>
      <c r="V584" s="52">
        <f>VLOOKUP(H584,[4]Sheet2!K:N,4,0)</f>
        <v>40000</v>
      </c>
      <c r="W584" s="52">
        <f t="shared" ref="W584:W591" si="517">X584-V584</f>
        <v>0</v>
      </c>
      <c r="X584" s="52">
        <f>VLOOKUP(H584,[4]Sheet2!K:N,4,0)</f>
        <v>40000</v>
      </c>
      <c r="Y584" s="53">
        <f t="shared" ref="Y584:Y591" si="518">IFERROR(V584/M584,1)</f>
        <v>1</v>
      </c>
      <c r="Z584" s="53">
        <f t="shared" ref="Z584:Z591" si="519">IFERROR(W584/M584,1)</f>
        <v>0</v>
      </c>
      <c r="AA584" s="53">
        <f t="shared" ref="AA584:AA591" si="520">IFERROR(X584/M584,1)</f>
        <v>1</v>
      </c>
    </row>
    <row r="585" spans="1:27" ht="18.75" customHeight="1" outlineLevel="6" x14ac:dyDescent="0.3">
      <c r="B585" s="44"/>
      <c r="C585" s="18"/>
      <c r="D585" s="24"/>
      <c r="E585" s="29"/>
      <c r="F585" s="34"/>
      <c r="G585" s="39"/>
      <c r="H585" s="46" t="s">
        <v>641</v>
      </c>
      <c r="I585" s="46" t="s">
        <v>61</v>
      </c>
      <c r="J585" s="47" t="s">
        <v>59</v>
      </c>
      <c r="K585" s="48">
        <v>0.05</v>
      </c>
      <c r="L585" s="49">
        <f>VLOOKUP(H585,[4]Sheet2!K:P,6,0)</f>
        <v>8.7107000000000005E-4</v>
      </c>
      <c r="M585" s="50">
        <f>VLOOKUP(H585,[4]Sheet2!K:Q,7,0)</f>
        <v>40000</v>
      </c>
      <c r="N585" s="51"/>
      <c r="O585" s="51"/>
      <c r="P585" s="51"/>
      <c r="Q585" s="51"/>
      <c r="R585" s="51"/>
      <c r="S585" s="51"/>
      <c r="T585" s="51"/>
      <c r="U585" s="51"/>
      <c r="V585" s="52">
        <f>VLOOKUP(H585,[4]Sheet2!K:N,4,0)</f>
        <v>40000</v>
      </c>
      <c r="W585" s="52">
        <f t="shared" si="517"/>
        <v>0</v>
      </c>
      <c r="X585" s="52">
        <f>VLOOKUP(H585,[4]Sheet2!K:N,4,0)</f>
        <v>40000</v>
      </c>
      <c r="Y585" s="53">
        <f t="shared" si="518"/>
        <v>1</v>
      </c>
      <c r="Z585" s="53">
        <f t="shared" si="519"/>
        <v>0</v>
      </c>
      <c r="AA585" s="53">
        <f t="shared" si="520"/>
        <v>1</v>
      </c>
    </row>
    <row r="586" spans="1:27" ht="18.75" customHeight="1" outlineLevel="6" x14ac:dyDescent="0.3">
      <c r="A586" s="60" t="s">
        <v>634</v>
      </c>
      <c r="B586" s="44"/>
      <c r="C586" s="18"/>
      <c r="D586" s="24"/>
      <c r="E586" s="29"/>
      <c r="F586" s="34"/>
      <c r="G586" s="39"/>
      <c r="H586" s="46" t="s">
        <v>642</v>
      </c>
      <c r="I586" s="46" t="s">
        <v>63</v>
      </c>
      <c r="J586" s="47" t="s">
        <v>59</v>
      </c>
      <c r="K586" s="48">
        <v>0.5</v>
      </c>
      <c r="L586" s="49">
        <f>VLOOKUP(H586,[4]Sheet2!K:P,6,0)</f>
        <v>8.7107E-3</v>
      </c>
      <c r="M586" s="50">
        <f>VLOOKUP(H586,[4]Sheet2!K:Q,7,0)</f>
        <v>40000</v>
      </c>
      <c r="N586" s="51"/>
      <c r="O586" s="51"/>
      <c r="P586" s="51"/>
      <c r="Q586" s="51"/>
      <c r="R586" s="51"/>
      <c r="S586" s="51"/>
      <c r="T586" s="51"/>
      <c r="U586" s="51"/>
      <c r="V586" s="52">
        <f>VLOOKUP(H586,[4]Sheet2!K:N,4,0)</f>
        <v>40000</v>
      </c>
      <c r="W586" s="52">
        <f t="shared" si="517"/>
        <v>0</v>
      </c>
      <c r="X586" s="52">
        <f>VLOOKUP(H586,[4]Sheet2!K:N,4,0)</f>
        <v>40000</v>
      </c>
      <c r="Y586" s="53">
        <f t="shared" si="518"/>
        <v>1</v>
      </c>
      <c r="Z586" s="53">
        <f t="shared" si="519"/>
        <v>0</v>
      </c>
      <c r="AA586" s="53">
        <f t="shared" si="520"/>
        <v>1</v>
      </c>
    </row>
    <row r="587" spans="1:27" ht="18.75" customHeight="1" outlineLevel="6" x14ac:dyDescent="0.3">
      <c r="B587" s="44"/>
      <c r="C587" s="18"/>
      <c r="D587" s="24"/>
      <c r="E587" s="29"/>
      <c r="F587" s="34"/>
      <c r="G587" s="39"/>
      <c r="H587" s="46" t="s">
        <v>643</v>
      </c>
      <c r="I587" s="46" t="s">
        <v>65</v>
      </c>
      <c r="J587" s="47" t="s">
        <v>59</v>
      </c>
      <c r="K587" s="48">
        <v>0.1</v>
      </c>
      <c r="L587" s="49">
        <f>VLOOKUP(H587,[4]Sheet2!K:P,6,0)</f>
        <v>1.7421400000000001E-3</v>
      </c>
      <c r="M587" s="50">
        <f>VLOOKUP(H587,[4]Sheet2!K:Q,7,0)</f>
        <v>40000</v>
      </c>
      <c r="N587" s="51"/>
      <c r="O587" s="51"/>
      <c r="P587" s="51"/>
      <c r="Q587" s="51"/>
      <c r="R587" s="51"/>
      <c r="S587" s="51"/>
      <c r="T587" s="51"/>
      <c r="U587" s="51"/>
      <c r="V587" s="52">
        <f>VLOOKUP(H587,[4]Sheet2!K:N,4,0)</f>
        <v>40000</v>
      </c>
      <c r="W587" s="52">
        <f t="shared" si="517"/>
        <v>0</v>
      </c>
      <c r="X587" s="52">
        <f>VLOOKUP(H587,[4]Sheet2!K:N,4,0)</f>
        <v>40000</v>
      </c>
      <c r="Y587" s="53">
        <f t="shared" si="518"/>
        <v>1</v>
      </c>
      <c r="Z587" s="53">
        <f t="shared" si="519"/>
        <v>0</v>
      </c>
      <c r="AA587" s="53">
        <f t="shared" si="520"/>
        <v>1</v>
      </c>
    </row>
    <row r="588" spans="1:27" ht="18.75" customHeight="1" outlineLevel="6" x14ac:dyDescent="0.3">
      <c r="B588" s="44"/>
      <c r="C588" s="18"/>
      <c r="D588" s="24"/>
      <c r="E588" s="29"/>
      <c r="F588" s="34"/>
      <c r="G588" s="39"/>
      <c r="H588" s="46" t="s">
        <v>644</v>
      </c>
      <c r="I588" s="46" t="s">
        <v>67</v>
      </c>
      <c r="J588" s="47" t="s">
        <v>59</v>
      </c>
      <c r="K588" s="48">
        <v>0.15</v>
      </c>
      <c r="L588" s="49">
        <f>VLOOKUP(H588,[4]Sheet2!K:P,6,0)</f>
        <v>2.6132099999999999E-3</v>
      </c>
      <c r="M588" s="50">
        <f>VLOOKUP(H588,[4]Sheet2!K:Q,7,0)</f>
        <v>40000</v>
      </c>
      <c r="N588" s="51"/>
      <c r="O588" s="51"/>
      <c r="P588" s="51"/>
      <c r="Q588" s="51"/>
      <c r="R588" s="51"/>
      <c r="S588" s="51"/>
      <c r="T588" s="51"/>
      <c r="U588" s="51"/>
      <c r="V588" s="52">
        <f>VLOOKUP(H588,[4]Sheet2!K:N,4,0)</f>
        <v>40000</v>
      </c>
      <c r="W588" s="52">
        <f t="shared" si="517"/>
        <v>0</v>
      </c>
      <c r="X588" s="52">
        <f>VLOOKUP(H588,[4]Sheet2!K:N,4,0)</f>
        <v>40000</v>
      </c>
      <c r="Y588" s="53">
        <f t="shared" si="518"/>
        <v>1</v>
      </c>
      <c r="Z588" s="53">
        <f t="shared" si="519"/>
        <v>0</v>
      </c>
      <c r="AA588" s="53">
        <f t="shared" si="520"/>
        <v>1</v>
      </c>
    </row>
    <row r="589" spans="1:27" ht="18.75" customHeight="1" outlineLevel="6" x14ac:dyDescent="0.3">
      <c r="B589" s="44"/>
      <c r="C589" s="18"/>
      <c r="D589" s="24"/>
      <c r="E589" s="29"/>
      <c r="F589" s="34"/>
      <c r="G589" s="39"/>
      <c r="H589" s="46" t="s">
        <v>645</v>
      </c>
      <c r="I589" s="46" t="s">
        <v>69</v>
      </c>
      <c r="J589" s="47" t="s">
        <v>59</v>
      </c>
      <c r="K589" s="48">
        <v>0.05</v>
      </c>
      <c r="L589" s="49">
        <f>VLOOKUP(H589,[4]Sheet2!K:P,6,0)</f>
        <v>8.7107000000000005E-4</v>
      </c>
      <c r="M589" s="50">
        <f>VLOOKUP(H589,[4]Sheet2!K:Q,7,0)</f>
        <v>40000</v>
      </c>
      <c r="N589" s="51"/>
      <c r="O589" s="51"/>
      <c r="P589" s="51"/>
      <c r="Q589" s="51"/>
      <c r="R589" s="51"/>
      <c r="S589" s="51"/>
      <c r="T589" s="51"/>
      <c r="U589" s="51"/>
      <c r="V589" s="52">
        <f>VLOOKUP(H589,[4]Sheet2!K:N,4,0)</f>
        <v>40000</v>
      </c>
      <c r="W589" s="52">
        <f t="shared" si="517"/>
        <v>0</v>
      </c>
      <c r="X589" s="52">
        <f>VLOOKUP(H589,[4]Sheet2!K:N,4,0)</f>
        <v>40000</v>
      </c>
      <c r="Y589" s="53">
        <f t="shared" si="518"/>
        <v>1</v>
      </c>
      <c r="Z589" s="53">
        <f t="shared" si="519"/>
        <v>0</v>
      </c>
      <c r="AA589" s="53">
        <f t="shared" si="520"/>
        <v>1</v>
      </c>
    </row>
    <row r="590" spans="1:27" ht="18.75" customHeight="1" outlineLevel="6" x14ac:dyDescent="0.3">
      <c r="B590" s="44"/>
      <c r="C590" s="18"/>
      <c r="D590" s="24"/>
      <c r="E590" s="29"/>
      <c r="F590" s="34"/>
      <c r="G590" s="39"/>
      <c r="H590" s="46" t="s">
        <v>646</v>
      </c>
      <c r="I590" s="46" t="s">
        <v>71</v>
      </c>
      <c r="J590" s="47" t="s">
        <v>59</v>
      </c>
      <c r="K590" s="48">
        <v>0.05</v>
      </c>
      <c r="L590" s="49">
        <f>VLOOKUP(H590,[4]Sheet2!K:P,6,0)</f>
        <v>8.7107000000000005E-4</v>
      </c>
      <c r="M590" s="50">
        <f>VLOOKUP(H590,[4]Sheet2!K:Q,7,0)</f>
        <v>40000</v>
      </c>
      <c r="N590" s="51"/>
      <c r="O590" s="51"/>
      <c r="P590" s="51"/>
      <c r="Q590" s="51"/>
      <c r="R590" s="51"/>
      <c r="S590" s="51"/>
      <c r="T590" s="51"/>
      <c r="U590" s="51"/>
      <c r="V590" s="52">
        <f>VLOOKUP(H590,[4]Sheet2!K:N,4,0)</f>
        <v>40000</v>
      </c>
      <c r="W590" s="52">
        <f t="shared" si="517"/>
        <v>0</v>
      </c>
      <c r="X590" s="52">
        <f>VLOOKUP(H590,[4]Sheet2!K:N,4,0)</f>
        <v>40000</v>
      </c>
      <c r="Y590" s="53">
        <f t="shared" si="518"/>
        <v>1</v>
      </c>
      <c r="Z590" s="53">
        <f t="shared" si="519"/>
        <v>0</v>
      </c>
      <c r="AA590" s="53">
        <f t="shared" si="520"/>
        <v>1</v>
      </c>
    </row>
    <row r="591" spans="1:27" ht="18.75" customHeight="1" outlineLevel="6" x14ac:dyDescent="0.3">
      <c r="B591" s="44"/>
      <c r="C591" s="18"/>
      <c r="D591" s="24"/>
      <c r="E591" s="29"/>
      <c r="F591" s="34"/>
      <c r="G591" s="39"/>
      <c r="H591" s="46" t="s">
        <v>647</v>
      </c>
      <c r="I591" s="46" t="s">
        <v>73</v>
      </c>
      <c r="J591" s="47" t="s">
        <v>59</v>
      </c>
      <c r="K591" s="48">
        <v>0.05</v>
      </c>
      <c r="L591" s="49">
        <f>VLOOKUP(H591,[4]Sheet2!K:P,6,0)</f>
        <v>8.7107000000000005E-4</v>
      </c>
      <c r="M591" s="50">
        <f>VLOOKUP(H591,[4]Sheet2!K:Q,7,0)</f>
        <v>40000</v>
      </c>
      <c r="N591" s="51"/>
      <c r="O591" s="51"/>
      <c r="P591" s="51"/>
      <c r="Q591" s="51"/>
      <c r="R591" s="51"/>
      <c r="S591" s="51"/>
      <c r="T591" s="51"/>
      <c r="U591" s="51"/>
      <c r="V591" s="52">
        <f>VLOOKUP(H591,[4]Sheet2!K:N,4,0)</f>
        <v>40000</v>
      </c>
      <c r="W591" s="52">
        <f t="shared" si="517"/>
        <v>0</v>
      </c>
      <c r="X591" s="52">
        <f>VLOOKUP(H591,[4]Sheet2!K:N,4,0)</f>
        <v>40000</v>
      </c>
      <c r="Y591" s="53">
        <f t="shared" si="518"/>
        <v>1</v>
      </c>
      <c r="Z591" s="53">
        <f t="shared" si="519"/>
        <v>0</v>
      </c>
      <c r="AA591" s="53">
        <f t="shared" si="520"/>
        <v>1</v>
      </c>
    </row>
    <row r="592" spans="1:27" ht="18.75" customHeight="1" outlineLevel="5" x14ac:dyDescent="0.3">
      <c r="B592" s="12"/>
      <c r="C592" s="18"/>
      <c r="D592" s="24"/>
      <c r="E592" s="29"/>
      <c r="F592" s="34"/>
      <c r="G592" s="39" t="s">
        <v>74</v>
      </c>
      <c r="H592" s="58"/>
      <c r="I592" s="58"/>
      <c r="J592" s="58"/>
      <c r="K592" s="58"/>
      <c r="L592" s="41">
        <f>SUM(L593:L600)</f>
        <v>1.6954199999999999E-2</v>
      </c>
      <c r="M592" s="42">
        <f>M593</f>
        <v>37000</v>
      </c>
      <c r="N592" s="40"/>
      <c r="O592" s="40"/>
      <c r="P592" s="40"/>
      <c r="Q592" s="40"/>
      <c r="R592" s="40"/>
      <c r="S592" s="40"/>
      <c r="T592" s="40"/>
      <c r="U592" s="40"/>
      <c r="V592" s="42">
        <f t="shared" ref="V592:X592" si="521">V593</f>
        <v>37000</v>
      </c>
      <c r="W592" s="42">
        <f t="shared" si="521"/>
        <v>0</v>
      </c>
      <c r="X592" s="42">
        <f t="shared" si="521"/>
        <v>37000</v>
      </c>
      <c r="Y592" s="43">
        <f>SUMPRODUCT(Y593:Y600,$K593:$K600)</f>
        <v>1</v>
      </c>
      <c r="Z592" s="43">
        <f t="shared" ref="Z592:AA592" si="522">SUMPRODUCT(Z593:Z600,$K593:$K600)</f>
        <v>0</v>
      </c>
      <c r="AA592" s="43">
        <f t="shared" si="522"/>
        <v>1</v>
      </c>
    </row>
    <row r="593" spans="1:27" ht="18.75" customHeight="1" outlineLevel="6" x14ac:dyDescent="0.3">
      <c r="B593" s="44"/>
      <c r="C593" s="18"/>
      <c r="D593" s="24"/>
      <c r="E593" s="29"/>
      <c r="F593" s="34"/>
      <c r="G593" s="39"/>
      <c r="H593" s="46" t="s">
        <v>648</v>
      </c>
      <c r="I593" s="46" t="s">
        <v>45</v>
      </c>
      <c r="J593" s="47" t="s">
        <v>59</v>
      </c>
      <c r="K593" s="48">
        <v>0.05</v>
      </c>
      <c r="L593" s="49">
        <f>VLOOKUP(H593,[4]Sheet2!K:P,6,0)</f>
        <v>8.4771E-4</v>
      </c>
      <c r="M593" s="50">
        <f>VLOOKUP(H593,[4]Sheet2!K:Q,7,0)</f>
        <v>37000</v>
      </c>
      <c r="N593" s="51"/>
      <c r="O593" s="51"/>
      <c r="P593" s="51"/>
      <c r="Q593" s="51"/>
      <c r="R593" s="51"/>
      <c r="S593" s="51"/>
      <c r="T593" s="51"/>
      <c r="U593" s="51"/>
      <c r="V593" s="52">
        <f>VLOOKUP(H593,[4]Sheet2!K:N,4,0)</f>
        <v>37000</v>
      </c>
      <c r="W593" s="52">
        <f t="shared" ref="W593:W600" si="523">X593-V593</f>
        <v>0</v>
      </c>
      <c r="X593" s="52">
        <f>VLOOKUP(H593,[4]Sheet2!K:N,4,0)</f>
        <v>37000</v>
      </c>
      <c r="Y593" s="53">
        <f t="shared" ref="Y593:Y600" si="524">IFERROR(V593/M593,1)</f>
        <v>1</v>
      </c>
      <c r="Z593" s="53">
        <f t="shared" ref="Z593:Z600" si="525">IFERROR(W593/M593,1)</f>
        <v>0</v>
      </c>
      <c r="AA593" s="53">
        <f t="shared" ref="AA593:AA600" si="526">IFERROR(X593/M593,1)</f>
        <v>1</v>
      </c>
    </row>
    <row r="594" spans="1:27" ht="18.75" customHeight="1" outlineLevel="6" x14ac:dyDescent="0.3">
      <c r="B594" s="44"/>
      <c r="C594" s="18"/>
      <c r="D594" s="24"/>
      <c r="E594" s="29"/>
      <c r="F594" s="34"/>
      <c r="G594" s="39"/>
      <c r="H594" s="46" t="s">
        <v>649</v>
      </c>
      <c r="I594" s="46" t="s">
        <v>61</v>
      </c>
      <c r="J594" s="47" t="s">
        <v>59</v>
      </c>
      <c r="K594" s="48">
        <v>0.05</v>
      </c>
      <c r="L594" s="49">
        <f>VLOOKUP(H594,[4]Sheet2!K:P,6,0)</f>
        <v>8.4771E-4</v>
      </c>
      <c r="M594" s="50">
        <f>VLOOKUP(H594,[4]Sheet2!K:Q,7,0)</f>
        <v>37000</v>
      </c>
      <c r="N594" s="51"/>
      <c r="O594" s="51"/>
      <c r="P594" s="51"/>
      <c r="Q594" s="51"/>
      <c r="R594" s="51"/>
      <c r="S594" s="51"/>
      <c r="T594" s="51"/>
      <c r="U594" s="51"/>
      <c r="V594" s="52">
        <f>VLOOKUP(H594,[4]Sheet2!K:N,4,0)</f>
        <v>37000</v>
      </c>
      <c r="W594" s="52">
        <f t="shared" si="523"/>
        <v>0</v>
      </c>
      <c r="X594" s="52">
        <f>VLOOKUP(H594,[4]Sheet2!K:N,4,0)</f>
        <v>37000</v>
      </c>
      <c r="Y594" s="53">
        <f t="shared" si="524"/>
        <v>1</v>
      </c>
      <c r="Z594" s="53">
        <f t="shared" si="525"/>
        <v>0</v>
      </c>
      <c r="AA594" s="53">
        <f t="shared" si="526"/>
        <v>1</v>
      </c>
    </row>
    <row r="595" spans="1:27" ht="18.75" customHeight="1" outlineLevel="6" x14ac:dyDescent="0.3">
      <c r="A595" s="60" t="s">
        <v>634</v>
      </c>
      <c r="B595" s="44"/>
      <c r="C595" s="18"/>
      <c r="D595" s="24"/>
      <c r="E595" s="29"/>
      <c r="F595" s="34"/>
      <c r="G595" s="39"/>
      <c r="H595" s="46" t="s">
        <v>650</v>
      </c>
      <c r="I595" s="46" t="s">
        <v>63</v>
      </c>
      <c r="J595" s="47" t="s">
        <v>59</v>
      </c>
      <c r="K595" s="48">
        <v>0.5</v>
      </c>
      <c r="L595" s="49">
        <f>VLOOKUP(H595,[4]Sheet2!K:P,6,0)</f>
        <v>8.4770999999999996E-3</v>
      </c>
      <c r="M595" s="50">
        <f>VLOOKUP(H595,[4]Sheet2!K:Q,7,0)</f>
        <v>37000</v>
      </c>
      <c r="N595" s="51"/>
      <c r="O595" s="51"/>
      <c r="P595" s="51"/>
      <c r="Q595" s="51"/>
      <c r="R595" s="51"/>
      <c r="S595" s="51"/>
      <c r="T595" s="51"/>
      <c r="U595" s="51"/>
      <c r="V595" s="52">
        <f>VLOOKUP(H595,[4]Sheet2!K:N,4,0)</f>
        <v>37000</v>
      </c>
      <c r="W595" s="52">
        <f t="shared" si="523"/>
        <v>0</v>
      </c>
      <c r="X595" s="52">
        <f>VLOOKUP(H595,[4]Sheet2!K:N,4,0)</f>
        <v>37000</v>
      </c>
      <c r="Y595" s="53">
        <f t="shared" si="524"/>
        <v>1</v>
      </c>
      <c r="Z595" s="53">
        <f t="shared" si="525"/>
        <v>0</v>
      </c>
      <c r="AA595" s="53">
        <f t="shared" si="526"/>
        <v>1</v>
      </c>
    </row>
    <row r="596" spans="1:27" ht="18.75" customHeight="1" outlineLevel="6" x14ac:dyDescent="0.3">
      <c r="B596" s="44"/>
      <c r="C596" s="18"/>
      <c r="D596" s="24"/>
      <c r="E596" s="29"/>
      <c r="F596" s="34"/>
      <c r="G596" s="39"/>
      <c r="H596" s="46" t="s">
        <v>651</v>
      </c>
      <c r="I596" s="46" t="s">
        <v>65</v>
      </c>
      <c r="J596" s="47" t="s">
        <v>59</v>
      </c>
      <c r="K596" s="48">
        <v>0.1</v>
      </c>
      <c r="L596" s="49">
        <f>VLOOKUP(H596,[4]Sheet2!K:P,6,0)</f>
        <v>1.69542E-3</v>
      </c>
      <c r="M596" s="50">
        <f>VLOOKUP(H596,[4]Sheet2!K:Q,7,0)</f>
        <v>37000</v>
      </c>
      <c r="N596" s="51"/>
      <c r="O596" s="51"/>
      <c r="P596" s="51"/>
      <c r="Q596" s="51"/>
      <c r="R596" s="51"/>
      <c r="S596" s="51"/>
      <c r="T596" s="51"/>
      <c r="U596" s="51"/>
      <c r="V596" s="52">
        <f>VLOOKUP(H596,[4]Sheet2!K:N,4,0)</f>
        <v>37000</v>
      </c>
      <c r="W596" s="52">
        <f t="shared" si="523"/>
        <v>0</v>
      </c>
      <c r="X596" s="52">
        <f>VLOOKUP(H596,[4]Sheet2!K:N,4,0)</f>
        <v>37000</v>
      </c>
      <c r="Y596" s="53">
        <f t="shared" si="524"/>
        <v>1</v>
      </c>
      <c r="Z596" s="53">
        <f t="shared" si="525"/>
        <v>0</v>
      </c>
      <c r="AA596" s="53">
        <f t="shared" si="526"/>
        <v>1</v>
      </c>
    </row>
    <row r="597" spans="1:27" ht="18.75" customHeight="1" outlineLevel="6" x14ac:dyDescent="0.3">
      <c r="B597" s="44"/>
      <c r="C597" s="18"/>
      <c r="D597" s="24"/>
      <c r="E597" s="29"/>
      <c r="F597" s="34"/>
      <c r="G597" s="39"/>
      <c r="H597" s="46" t="s">
        <v>652</v>
      </c>
      <c r="I597" s="46" t="s">
        <v>67</v>
      </c>
      <c r="J597" s="47" t="s">
        <v>59</v>
      </c>
      <c r="K597" s="48">
        <v>0.15</v>
      </c>
      <c r="L597" s="49">
        <f>VLOOKUP(H597,[4]Sheet2!K:P,6,0)</f>
        <v>2.5431299999999998E-3</v>
      </c>
      <c r="M597" s="50">
        <f>VLOOKUP(H597,[4]Sheet2!K:Q,7,0)</f>
        <v>37000</v>
      </c>
      <c r="N597" s="51"/>
      <c r="O597" s="51"/>
      <c r="P597" s="51"/>
      <c r="Q597" s="51"/>
      <c r="R597" s="51"/>
      <c r="S597" s="51"/>
      <c r="T597" s="51"/>
      <c r="U597" s="51"/>
      <c r="V597" s="52">
        <f>VLOOKUP(H597,[4]Sheet2!K:N,4,0)</f>
        <v>37000</v>
      </c>
      <c r="W597" s="52">
        <f t="shared" si="523"/>
        <v>0</v>
      </c>
      <c r="X597" s="52">
        <f>VLOOKUP(H597,[4]Sheet2!K:N,4,0)</f>
        <v>37000</v>
      </c>
      <c r="Y597" s="53">
        <f t="shared" si="524"/>
        <v>1</v>
      </c>
      <c r="Z597" s="53">
        <f t="shared" si="525"/>
        <v>0</v>
      </c>
      <c r="AA597" s="53">
        <f t="shared" si="526"/>
        <v>1</v>
      </c>
    </row>
    <row r="598" spans="1:27" ht="18.75" customHeight="1" outlineLevel="6" x14ac:dyDescent="0.3">
      <c r="B598" s="44"/>
      <c r="C598" s="18"/>
      <c r="D598" s="24"/>
      <c r="E598" s="29"/>
      <c r="F598" s="34"/>
      <c r="G598" s="39"/>
      <c r="H598" s="46" t="s">
        <v>653</v>
      </c>
      <c r="I598" s="46" t="s">
        <v>69</v>
      </c>
      <c r="J598" s="47" t="s">
        <v>59</v>
      </c>
      <c r="K598" s="48">
        <v>0.05</v>
      </c>
      <c r="L598" s="49">
        <f>VLOOKUP(H598,[4]Sheet2!K:P,6,0)</f>
        <v>8.4771E-4</v>
      </c>
      <c r="M598" s="50">
        <f>VLOOKUP(H598,[4]Sheet2!K:Q,7,0)</f>
        <v>37000</v>
      </c>
      <c r="N598" s="51"/>
      <c r="O598" s="51"/>
      <c r="P598" s="51"/>
      <c r="Q598" s="51"/>
      <c r="R598" s="51"/>
      <c r="S598" s="51"/>
      <c r="T598" s="51"/>
      <c r="U598" s="51"/>
      <c r="V598" s="52">
        <f>VLOOKUP(H598,[4]Sheet2!K:N,4,0)</f>
        <v>37000</v>
      </c>
      <c r="W598" s="52">
        <f t="shared" si="523"/>
        <v>0</v>
      </c>
      <c r="X598" s="52">
        <f>VLOOKUP(H598,[4]Sheet2!K:N,4,0)</f>
        <v>37000</v>
      </c>
      <c r="Y598" s="53">
        <f t="shared" si="524"/>
        <v>1</v>
      </c>
      <c r="Z598" s="53">
        <f t="shared" si="525"/>
        <v>0</v>
      </c>
      <c r="AA598" s="53">
        <f t="shared" si="526"/>
        <v>1</v>
      </c>
    </row>
    <row r="599" spans="1:27" ht="18.75" customHeight="1" outlineLevel="6" x14ac:dyDescent="0.3">
      <c r="B599" s="44"/>
      <c r="C599" s="18"/>
      <c r="D599" s="24"/>
      <c r="E599" s="29"/>
      <c r="F599" s="34"/>
      <c r="G599" s="39"/>
      <c r="H599" s="46" t="s">
        <v>654</v>
      </c>
      <c r="I599" s="46" t="s">
        <v>71</v>
      </c>
      <c r="J599" s="47" t="s">
        <v>59</v>
      </c>
      <c r="K599" s="48">
        <v>0.05</v>
      </c>
      <c r="L599" s="49">
        <f>VLOOKUP(H599,[4]Sheet2!K:P,6,0)</f>
        <v>8.4771E-4</v>
      </c>
      <c r="M599" s="50">
        <f>VLOOKUP(H599,[4]Sheet2!K:Q,7,0)</f>
        <v>37000</v>
      </c>
      <c r="N599" s="51"/>
      <c r="O599" s="51"/>
      <c r="P599" s="51"/>
      <c r="Q599" s="51"/>
      <c r="R599" s="51"/>
      <c r="S599" s="51"/>
      <c r="T599" s="51"/>
      <c r="U599" s="51"/>
      <c r="V599" s="52">
        <f>VLOOKUP(H599,[4]Sheet2!K:N,4,0)</f>
        <v>37000</v>
      </c>
      <c r="W599" s="52">
        <f t="shared" si="523"/>
        <v>0</v>
      </c>
      <c r="X599" s="52">
        <f>VLOOKUP(H599,[4]Sheet2!K:N,4,0)</f>
        <v>37000</v>
      </c>
      <c r="Y599" s="53">
        <f t="shared" si="524"/>
        <v>1</v>
      </c>
      <c r="Z599" s="53">
        <f t="shared" si="525"/>
        <v>0</v>
      </c>
      <c r="AA599" s="53">
        <f t="shared" si="526"/>
        <v>1</v>
      </c>
    </row>
    <row r="600" spans="1:27" ht="18.75" customHeight="1" outlineLevel="6" x14ac:dyDescent="0.3">
      <c r="B600" s="44"/>
      <c r="C600" s="18"/>
      <c r="D600" s="24"/>
      <c r="E600" s="29"/>
      <c r="F600" s="34"/>
      <c r="G600" s="39"/>
      <c r="H600" s="46" t="s">
        <v>655</v>
      </c>
      <c r="I600" s="46" t="s">
        <v>73</v>
      </c>
      <c r="J600" s="47" t="s">
        <v>59</v>
      </c>
      <c r="K600" s="48">
        <v>0.05</v>
      </c>
      <c r="L600" s="49">
        <f>VLOOKUP(H600,[4]Sheet2!K:P,6,0)</f>
        <v>8.4771E-4</v>
      </c>
      <c r="M600" s="50">
        <f>VLOOKUP(H600,[4]Sheet2!K:Q,7,0)</f>
        <v>37000</v>
      </c>
      <c r="N600" s="51"/>
      <c r="O600" s="51"/>
      <c r="P600" s="51"/>
      <c r="Q600" s="51"/>
      <c r="R600" s="51"/>
      <c r="S600" s="51"/>
      <c r="T600" s="51"/>
      <c r="U600" s="51"/>
      <c r="V600" s="52">
        <f>VLOOKUP(H600,[4]Sheet2!K:N,4,0)</f>
        <v>37000</v>
      </c>
      <c r="W600" s="52">
        <f t="shared" si="523"/>
        <v>0</v>
      </c>
      <c r="X600" s="52">
        <f>VLOOKUP(H600,[4]Sheet2!K:N,4,0)</f>
        <v>37000</v>
      </c>
      <c r="Y600" s="53">
        <f t="shared" si="524"/>
        <v>1</v>
      </c>
      <c r="Z600" s="53">
        <f t="shared" si="525"/>
        <v>0</v>
      </c>
      <c r="AA600" s="53">
        <f t="shared" si="526"/>
        <v>1</v>
      </c>
    </row>
    <row r="601" spans="1:27" ht="18.75" customHeight="1" outlineLevel="5" x14ac:dyDescent="0.3">
      <c r="B601" s="12"/>
      <c r="C601" s="18"/>
      <c r="D601" s="24"/>
      <c r="E601" s="29"/>
      <c r="F601" s="34"/>
      <c r="G601" s="39" t="s">
        <v>83</v>
      </c>
      <c r="H601" s="58"/>
      <c r="I601" s="58"/>
      <c r="J601" s="58"/>
      <c r="K601" s="58"/>
      <c r="L601" s="41">
        <f>SUM(L602:L607)</f>
        <v>4.1982999999999994E-3</v>
      </c>
      <c r="M601" s="42">
        <f>M602</f>
        <v>10000</v>
      </c>
      <c r="N601" s="40"/>
      <c r="O601" s="40"/>
      <c r="P601" s="40"/>
      <c r="Q601" s="40"/>
      <c r="R601" s="40"/>
      <c r="S601" s="40"/>
      <c r="T601" s="40"/>
      <c r="U601" s="40"/>
      <c r="V601" s="42">
        <f t="shared" ref="V601:X601" si="527">V602</f>
        <v>9000</v>
      </c>
      <c r="W601" s="42">
        <f t="shared" si="527"/>
        <v>0</v>
      </c>
      <c r="X601" s="42">
        <f t="shared" si="527"/>
        <v>9000</v>
      </c>
      <c r="Y601" s="43">
        <f>SUMPRODUCT(Y602:Y607,$K602:$K607)</f>
        <v>0.86750000000000005</v>
      </c>
      <c r="Z601" s="43">
        <f t="shared" ref="Z601:AA601" si="528">SUMPRODUCT(Z602:Z607,$K602:$K607)</f>
        <v>0</v>
      </c>
      <c r="AA601" s="43">
        <f t="shared" si="528"/>
        <v>0.9325</v>
      </c>
    </row>
    <row r="602" spans="1:27" ht="18.75" customHeight="1" outlineLevel="6" x14ac:dyDescent="0.3">
      <c r="B602" s="44"/>
      <c r="C602" s="18"/>
      <c r="D602" s="24"/>
      <c r="E602" s="29"/>
      <c r="F602" s="34"/>
      <c r="G602" s="39"/>
      <c r="H602" s="46" t="s">
        <v>656</v>
      </c>
      <c r="I602" s="46" t="s">
        <v>45</v>
      </c>
      <c r="J602" s="47" t="s">
        <v>30</v>
      </c>
      <c r="K602" s="48">
        <v>0.05</v>
      </c>
      <c r="L602" s="49">
        <f>VLOOKUP(H602,[4]Sheet2!K:P,6,0)</f>
        <v>2.0991499999999997E-4</v>
      </c>
      <c r="M602" s="50">
        <f>VLOOKUP(H602,[4]Sheet2!K:Q,7,0)</f>
        <v>10000</v>
      </c>
      <c r="N602" s="51"/>
      <c r="O602" s="51"/>
      <c r="P602" s="51"/>
      <c r="Q602" s="51"/>
      <c r="R602" s="51"/>
      <c r="S602" s="51"/>
      <c r="T602" s="51"/>
      <c r="U602" s="51"/>
      <c r="V602" s="52">
        <f>VLOOKUP(H602,[4]Sheet2!K:N,4,0)</f>
        <v>9000</v>
      </c>
      <c r="W602" s="52">
        <f t="shared" ref="W602:W607" si="529">X602-V602</f>
        <v>0</v>
      </c>
      <c r="X602" s="52">
        <f>VLOOKUP(H602,[4]Sheet2!K:N,4,0)</f>
        <v>9000</v>
      </c>
      <c r="Y602" s="53">
        <f t="shared" ref="Y602:Y607" si="530">IFERROR(V602/M602,1)</f>
        <v>0.9</v>
      </c>
      <c r="Z602" s="53">
        <f t="shared" ref="Z602:Z607" si="531">IFERROR(W602/M602,1)</f>
        <v>0</v>
      </c>
      <c r="AA602" s="53">
        <v>0.95</v>
      </c>
    </row>
    <row r="603" spans="1:27" ht="18.75" customHeight="1" outlineLevel="6" x14ac:dyDescent="0.3">
      <c r="A603" s="60" t="s">
        <v>634</v>
      </c>
      <c r="B603" s="44"/>
      <c r="C603" s="18"/>
      <c r="D603" s="24"/>
      <c r="E603" s="29"/>
      <c r="F603" s="34"/>
      <c r="G603" s="39"/>
      <c r="H603" s="46" t="s">
        <v>657</v>
      </c>
      <c r="I603" s="46" t="s">
        <v>48</v>
      </c>
      <c r="J603" s="47" t="s">
        <v>30</v>
      </c>
      <c r="K603" s="48">
        <v>0.5</v>
      </c>
      <c r="L603" s="49">
        <f>VLOOKUP(H603,[4]Sheet2!K:P,6,0)</f>
        <v>2.0991499999999997E-3</v>
      </c>
      <c r="M603" s="50">
        <f>VLOOKUP(H603,[4]Sheet2!K:Q,7,0)</f>
        <v>10000</v>
      </c>
      <c r="N603" s="51"/>
      <c r="O603" s="51"/>
      <c r="P603" s="51"/>
      <c r="Q603" s="51"/>
      <c r="R603" s="51"/>
      <c r="S603" s="51"/>
      <c r="T603" s="51"/>
      <c r="U603" s="51"/>
      <c r="V603" s="52">
        <f>VLOOKUP(H603,[4]Sheet2!K:N,4,0)</f>
        <v>9000</v>
      </c>
      <c r="W603" s="52">
        <f t="shared" si="529"/>
        <v>0</v>
      </c>
      <c r="X603" s="52">
        <f>VLOOKUP(H603,[4]Sheet2!K:N,4,0)</f>
        <v>9000</v>
      </c>
      <c r="Y603" s="53">
        <f t="shared" si="530"/>
        <v>0.9</v>
      </c>
      <c r="Z603" s="53">
        <f t="shared" si="531"/>
        <v>0</v>
      </c>
      <c r="AA603" s="53">
        <v>0.95</v>
      </c>
    </row>
    <row r="604" spans="1:27" ht="18.75" customHeight="1" outlineLevel="6" x14ac:dyDescent="0.3">
      <c r="B604" s="44"/>
      <c r="C604" s="18"/>
      <c r="D604" s="24"/>
      <c r="E604" s="29"/>
      <c r="F604" s="34"/>
      <c r="G604" s="39"/>
      <c r="H604" s="46" t="s">
        <v>658</v>
      </c>
      <c r="I604" s="46" t="s">
        <v>50</v>
      </c>
      <c r="J604" s="47" t="s">
        <v>30</v>
      </c>
      <c r="K604" s="48">
        <v>0.15</v>
      </c>
      <c r="L604" s="49">
        <f>VLOOKUP(H604,[4]Sheet2!K:P,6,0)</f>
        <v>6.2974499999999991E-4</v>
      </c>
      <c r="M604" s="50">
        <f>VLOOKUP(H604,[4]Sheet2!K:Q,7,0)</f>
        <v>10000</v>
      </c>
      <c r="N604" s="51"/>
      <c r="O604" s="51"/>
      <c r="P604" s="51"/>
      <c r="Q604" s="51"/>
      <c r="R604" s="51"/>
      <c r="S604" s="51"/>
      <c r="T604" s="51"/>
      <c r="U604" s="51"/>
      <c r="V604" s="52">
        <f>VLOOKUP(H604,[4]Sheet2!K:N,4,0)</f>
        <v>9000</v>
      </c>
      <c r="W604" s="52">
        <f t="shared" si="529"/>
        <v>0</v>
      </c>
      <c r="X604" s="52">
        <f>VLOOKUP(H604,[4]Sheet2!K:N,4,0)</f>
        <v>9000</v>
      </c>
      <c r="Y604" s="53">
        <f t="shared" si="530"/>
        <v>0.9</v>
      </c>
      <c r="Z604" s="53">
        <f t="shared" si="531"/>
        <v>0</v>
      </c>
      <c r="AA604" s="53">
        <v>0.95</v>
      </c>
    </row>
    <row r="605" spans="1:27" ht="18.75" customHeight="1" outlineLevel="6" x14ac:dyDescent="0.3">
      <c r="B605" s="44"/>
      <c r="C605" s="18"/>
      <c r="D605" s="24"/>
      <c r="E605" s="29"/>
      <c r="F605" s="34"/>
      <c r="G605" s="39"/>
      <c r="H605" s="46" t="s">
        <v>659</v>
      </c>
      <c r="I605" s="46" t="s">
        <v>52</v>
      </c>
      <c r="J605" s="47" t="s">
        <v>30</v>
      </c>
      <c r="K605" s="48">
        <v>0.2</v>
      </c>
      <c r="L605" s="49">
        <f>VLOOKUP(H605,[4]Sheet2!K:P,6,0)</f>
        <v>8.3965999999999989E-4</v>
      </c>
      <c r="M605" s="50">
        <f>VLOOKUP(H605,[4]Sheet2!K:Q,7,0)</f>
        <v>10000</v>
      </c>
      <c r="N605" s="51"/>
      <c r="O605" s="51"/>
      <c r="P605" s="51"/>
      <c r="Q605" s="51"/>
      <c r="R605" s="51"/>
      <c r="S605" s="51"/>
      <c r="T605" s="51"/>
      <c r="U605" s="51"/>
      <c r="V605" s="52">
        <f>VLOOKUP(H605,[4]Sheet2!K:N,4,0)</f>
        <v>8000</v>
      </c>
      <c r="W605" s="52">
        <f t="shared" si="529"/>
        <v>0</v>
      </c>
      <c r="X605" s="52">
        <f>VLOOKUP(H605,[4]Sheet2!K:N,4,0)</f>
        <v>8000</v>
      </c>
      <c r="Y605" s="53">
        <f t="shared" si="530"/>
        <v>0.8</v>
      </c>
      <c r="Z605" s="53">
        <f t="shared" si="531"/>
        <v>0</v>
      </c>
      <c r="AA605" s="53">
        <v>0.95</v>
      </c>
    </row>
    <row r="606" spans="1:27" ht="18.75" customHeight="1" outlineLevel="6" x14ac:dyDescent="0.3">
      <c r="B606" s="44"/>
      <c r="C606" s="18"/>
      <c r="D606" s="24"/>
      <c r="E606" s="29"/>
      <c r="F606" s="34"/>
      <c r="G606" s="39"/>
      <c r="H606" s="46" t="s">
        <v>660</v>
      </c>
      <c r="I606" s="46" t="s">
        <v>54</v>
      </c>
      <c r="J606" s="47" t="s">
        <v>30</v>
      </c>
      <c r="K606" s="48">
        <v>0.05</v>
      </c>
      <c r="L606" s="49">
        <f>VLOOKUP(H606,[4]Sheet2!K:P,6,0)</f>
        <v>2.0991499999999997E-4</v>
      </c>
      <c r="M606" s="50">
        <f>VLOOKUP(H606,[4]Sheet2!K:Q,7,0)</f>
        <v>10000</v>
      </c>
      <c r="N606" s="51"/>
      <c r="O606" s="51"/>
      <c r="P606" s="51"/>
      <c r="Q606" s="51"/>
      <c r="R606" s="51"/>
      <c r="S606" s="51"/>
      <c r="T606" s="51"/>
      <c r="U606" s="51"/>
      <c r="V606" s="52">
        <f>VLOOKUP(H606,[4]Sheet2!K:N,4,0)</f>
        <v>7770</v>
      </c>
      <c r="W606" s="52">
        <f t="shared" si="529"/>
        <v>0</v>
      </c>
      <c r="X606" s="52">
        <f>VLOOKUP(H606,[4]Sheet2!K:N,4,0)</f>
        <v>7770</v>
      </c>
      <c r="Y606" s="53">
        <f t="shared" si="530"/>
        <v>0.77700000000000002</v>
      </c>
      <c r="Z606" s="53">
        <f t="shared" si="531"/>
        <v>0</v>
      </c>
      <c r="AA606" s="53">
        <f t="shared" ref="AA606:AA607" si="532">IFERROR(X606/M606,1)</f>
        <v>0.77700000000000002</v>
      </c>
    </row>
    <row r="607" spans="1:27" ht="18.75" customHeight="1" outlineLevel="6" x14ac:dyDescent="0.3">
      <c r="B607" s="44"/>
      <c r="C607" s="18"/>
      <c r="D607" s="24"/>
      <c r="E607" s="29"/>
      <c r="F607" s="34"/>
      <c r="G607" s="39"/>
      <c r="H607" s="46" t="s">
        <v>661</v>
      </c>
      <c r="I607" s="46" t="s">
        <v>56</v>
      </c>
      <c r="J607" s="47" t="s">
        <v>30</v>
      </c>
      <c r="K607" s="48">
        <v>0.05</v>
      </c>
      <c r="L607" s="49">
        <f>VLOOKUP(H607,[4]Sheet2!K:P,6,0)</f>
        <v>2.0991499999999997E-4</v>
      </c>
      <c r="M607" s="50">
        <f>VLOOKUP(H607,[4]Sheet2!K:Q,7,0)</f>
        <v>10000</v>
      </c>
      <c r="N607" s="51"/>
      <c r="O607" s="51"/>
      <c r="P607" s="51"/>
      <c r="Q607" s="51"/>
      <c r="R607" s="51"/>
      <c r="S607" s="51"/>
      <c r="T607" s="51"/>
      <c r="U607" s="51"/>
      <c r="V607" s="52">
        <f>VLOOKUP(H607,[4]Sheet2!K:N,4,0)</f>
        <v>7730</v>
      </c>
      <c r="W607" s="52">
        <f t="shared" si="529"/>
        <v>0</v>
      </c>
      <c r="X607" s="52">
        <f>VLOOKUP(H607,[4]Sheet2!K:N,4,0)</f>
        <v>7730</v>
      </c>
      <c r="Y607" s="53">
        <f t="shared" si="530"/>
        <v>0.77300000000000002</v>
      </c>
      <c r="Z607" s="53">
        <f t="shared" si="531"/>
        <v>0</v>
      </c>
      <c r="AA607" s="53">
        <f t="shared" si="532"/>
        <v>0.77300000000000002</v>
      </c>
    </row>
    <row r="608" spans="1:27" ht="18.75" customHeight="1" outlineLevel="5" x14ac:dyDescent="0.3">
      <c r="B608" s="12"/>
      <c r="C608" s="18"/>
      <c r="D608" s="24"/>
      <c r="E608" s="29"/>
      <c r="F608" s="34"/>
      <c r="G608" s="39" t="s">
        <v>90</v>
      </c>
      <c r="H608" s="58"/>
      <c r="I608" s="58"/>
      <c r="J608" s="58"/>
      <c r="K608" s="58"/>
      <c r="L608" s="41">
        <f>SUM(L609:L614)</f>
        <v>3.6541E-3</v>
      </c>
      <c r="M608" s="42">
        <f>M609</f>
        <v>7000</v>
      </c>
      <c r="N608" s="40"/>
      <c r="O608" s="40"/>
      <c r="P608" s="40"/>
      <c r="Q608" s="40"/>
      <c r="R608" s="40"/>
      <c r="S608" s="40"/>
      <c r="T608" s="40"/>
      <c r="U608" s="40"/>
      <c r="V608" s="42">
        <f t="shared" ref="V608:X608" si="533">V609</f>
        <v>7000</v>
      </c>
      <c r="W608" s="42">
        <f t="shared" si="533"/>
        <v>0</v>
      </c>
      <c r="X608" s="42">
        <f t="shared" si="533"/>
        <v>7000</v>
      </c>
      <c r="Y608" s="43">
        <f>SUMPRODUCT(Y609:Y614,$K609:$K614)</f>
        <v>1.0000000000000002</v>
      </c>
      <c r="Z608" s="43">
        <f t="shared" ref="Z608:AA608" si="534">SUMPRODUCT(Z609:Z614,$K609:$K614)</f>
        <v>0</v>
      </c>
      <c r="AA608" s="43">
        <f t="shared" si="534"/>
        <v>1.0000000000000002</v>
      </c>
    </row>
    <row r="609" spans="1:27" ht="18.75" customHeight="1" outlineLevel="6" x14ac:dyDescent="0.3">
      <c r="B609" s="44"/>
      <c r="C609" s="18"/>
      <c r="D609" s="24"/>
      <c r="E609" s="29"/>
      <c r="F609" s="34"/>
      <c r="G609" s="39"/>
      <c r="H609" s="46" t="s">
        <v>662</v>
      </c>
      <c r="I609" s="46" t="s">
        <v>45</v>
      </c>
      <c r="J609" s="47" t="s">
        <v>30</v>
      </c>
      <c r="K609" s="48">
        <v>0.05</v>
      </c>
      <c r="L609" s="49">
        <f>VLOOKUP(H609,[4]Sheet2!K:P,6,0)</f>
        <v>1.8270499999999999E-4</v>
      </c>
      <c r="M609" s="50">
        <f>VLOOKUP(H609,[4]Sheet2!K:Q,7,0)</f>
        <v>7000</v>
      </c>
      <c r="N609" s="51"/>
      <c r="O609" s="51"/>
      <c r="P609" s="51"/>
      <c r="Q609" s="51"/>
      <c r="R609" s="51"/>
      <c r="S609" s="51"/>
      <c r="T609" s="51"/>
      <c r="U609" s="51"/>
      <c r="V609" s="52">
        <f>VLOOKUP(H609,[4]Sheet2!K:N,4,0)</f>
        <v>7000</v>
      </c>
      <c r="W609" s="52">
        <f t="shared" ref="W609:W614" si="535">X609-V609</f>
        <v>0</v>
      </c>
      <c r="X609" s="52">
        <f>VLOOKUP(H609,[4]Sheet2!K:N,4,0)</f>
        <v>7000</v>
      </c>
      <c r="Y609" s="53">
        <f t="shared" ref="Y609:Y614" si="536">IFERROR(V609/M609,1)</f>
        <v>1</v>
      </c>
      <c r="Z609" s="53">
        <f t="shared" ref="Z609:Z614" si="537">IFERROR(W609/M609,1)</f>
        <v>0</v>
      </c>
      <c r="AA609" s="53">
        <f t="shared" ref="AA609:AA614" si="538">IFERROR(X609/M609,1)</f>
        <v>1</v>
      </c>
    </row>
    <row r="610" spans="1:27" ht="18.75" customHeight="1" outlineLevel="6" x14ac:dyDescent="0.3">
      <c r="A610" s="60" t="s">
        <v>634</v>
      </c>
      <c r="B610" s="44"/>
      <c r="C610" s="18"/>
      <c r="D610" s="24"/>
      <c r="E610" s="29"/>
      <c r="F610" s="34"/>
      <c r="G610" s="39"/>
      <c r="H610" s="46" t="s">
        <v>663</v>
      </c>
      <c r="I610" s="46" t="s">
        <v>48</v>
      </c>
      <c r="J610" s="47" t="s">
        <v>30</v>
      </c>
      <c r="K610" s="48">
        <v>0.5</v>
      </c>
      <c r="L610" s="49">
        <f>VLOOKUP(H610,[4]Sheet2!K:P,6,0)</f>
        <v>1.82705E-3</v>
      </c>
      <c r="M610" s="50">
        <f>VLOOKUP(H610,[4]Sheet2!K:Q,7,0)</f>
        <v>7000</v>
      </c>
      <c r="N610" s="51"/>
      <c r="O610" s="51"/>
      <c r="P610" s="51"/>
      <c r="Q610" s="51"/>
      <c r="R610" s="51"/>
      <c r="S610" s="51"/>
      <c r="T610" s="51"/>
      <c r="U610" s="51"/>
      <c r="V610" s="52">
        <f>VLOOKUP(H610,[4]Sheet2!K:N,4,0)</f>
        <v>7000</v>
      </c>
      <c r="W610" s="52">
        <f t="shared" si="535"/>
        <v>0</v>
      </c>
      <c r="X610" s="52">
        <f>VLOOKUP(H610,[4]Sheet2!K:N,4,0)</f>
        <v>7000</v>
      </c>
      <c r="Y610" s="53">
        <f t="shared" si="536"/>
        <v>1</v>
      </c>
      <c r="Z610" s="53">
        <f t="shared" si="537"/>
        <v>0</v>
      </c>
      <c r="AA610" s="53">
        <f t="shared" si="538"/>
        <v>1</v>
      </c>
    </row>
    <row r="611" spans="1:27" ht="18.75" customHeight="1" outlineLevel="6" x14ac:dyDescent="0.3">
      <c r="B611" s="44"/>
      <c r="C611" s="18"/>
      <c r="D611" s="24"/>
      <c r="E611" s="29"/>
      <c r="F611" s="34"/>
      <c r="G611" s="39"/>
      <c r="H611" s="46" t="s">
        <v>664</v>
      </c>
      <c r="I611" s="46" t="s">
        <v>50</v>
      </c>
      <c r="J611" s="47" t="s">
        <v>30</v>
      </c>
      <c r="K611" s="48">
        <v>0.15</v>
      </c>
      <c r="L611" s="49">
        <f>VLOOKUP(H611,[4]Sheet2!K:P,6,0)</f>
        <v>5.4811499999999995E-4</v>
      </c>
      <c r="M611" s="50">
        <f>VLOOKUP(H611,[4]Sheet2!K:Q,7,0)</f>
        <v>7000</v>
      </c>
      <c r="N611" s="51"/>
      <c r="O611" s="51"/>
      <c r="P611" s="51"/>
      <c r="Q611" s="51"/>
      <c r="R611" s="51"/>
      <c r="S611" s="51"/>
      <c r="T611" s="51"/>
      <c r="U611" s="51"/>
      <c r="V611" s="52">
        <f>VLOOKUP(H611,[4]Sheet2!K:N,4,0)</f>
        <v>7000</v>
      </c>
      <c r="W611" s="52">
        <f t="shared" si="535"/>
        <v>0</v>
      </c>
      <c r="X611" s="52">
        <f>VLOOKUP(H611,[4]Sheet2!K:N,4,0)</f>
        <v>7000</v>
      </c>
      <c r="Y611" s="53">
        <f t="shared" si="536"/>
        <v>1</v>
      </c>
      <c r="Z611" s="53">
        <f t="shared" si="537"/>
        <v>0</v>
      </c>
      <c r="AA611" s="53">
        <f t="shared" si="538"/>
        <v>1</v>
      </c>
    </row>
    <row r="612" spans="1:27" ht="18.75" customHeight="1" outlineLevel="6" x14ac:dyDescent="0.3">
      <c r="B612" s="44"/>
      <c r="C612" s="18"/>
      <c r="D612" s="24"/>
      <c r="E612" s="29"/>
      <c r="F612" s="34"/>
      <c r="G612" s="39"/>
      <c r="H612" s="46" t="s">
        <v>665</v>
      </c>
      <c r="I612" s="46" t="s">
        <v>52</v>
      </c>
      <c r="J612" s="47" t="s">
        <v>30</v>
      </c>
      <c r="K612" s="48">
        <v>0.2</v>
      </c>
      <c r="L612" s="49">
        <f>VLOOKUP(H612,[4]Sheet2!K:P,6,0)</f>
        <v>7.3081999999999997E-4</v>
      </c>
      <c r="M612" s="50">
        <f>VLOOKUP(H612,[4]Sheet2!K:Q,7,0)</f>
        <v>7000</v>
      </c>
      <c r="N612" s="51"/>
      <c r="O612" s="51"/>
      <c r="P612" s="51"/>
      <c r="Q612" s="51"/>
      <c r="R612" s="51"/>
      <c r="S612" s="51"/>
      <c r="T612" s="51"/>
      <c r="U612" s="51"/>
      <c r="V612" s="52">
        <f>VLOOKUP(H612,[4]Sheet2!K:N,4,0)</f>
        <v>7000</v>
      </c>
      <c r="W612" s="52">
        <f t="shared" si="535"/>
        <v>0</v>
      </c>
      <c r="X612" s="52">
        <f>VLOOKUP(H612,[4]Sheet2!K:N,4,0)</f>
        <v>7000</v>
      </c>
      <c r="Y612" s="53">
        <f t="shared" si="536"/>
        <v>1</v>
      </c>
      <c r="Z612" s="53">
        <f t="shared" si="537"/>
        <v>0</v>
      </c>
      <c r="AA612" s="53">
        <f t="shared" si="538"/>
        <v>1</v>
      </c>
    </row>
    <row r="613" spans="1:27" ht="18.75" customHeight="1" outlineLevel="6" x14ac:dyDescent="0.3">
      <c r="B613" s="44"/>
      <c r="C613" s="18"/>
      <c r="D613" s="24"/>
      <c r="E613" s="29"/>
      <c r="F613" s="34"/>
      <c r="G613" s="39"/>
      <c r="H613" s="46" t="s">
        <v>666</v>
      </c>
      <c r="I613" s="46" t="s">
        <v>54</v>
      </c>
      <c r="J613" s="47" t="s">
        <v>30</v>
      </c>
      <c r="K613" s="48">
        <v>0.05</v>
      </c>
      <c r="L613" s="49">
        <f>VLOOKUP(H613,[4]Sheet2!K:P,6,0)</f>
        <v>1.8270499999999999E-4</v>
      </c>
      <c r="M613" s="50">
        <f>VLOOKUP(H613,[4]Sheet2!K:Q,7,0)</f>
        <v>7000</v>
      </c>
      <c r="N613" s="51"/>
      <c r="O613" s="51"/>
      <c r="P613" s="51"/>
      <c r="Q613" s="51"/>
      <c r="R613" s="51"/>
      <c r="S613" s="51"/>
      <c r="T613" s="51"/>
      <c r="U613" s="51"/>
      <c r="V613" s="52">
        <f>VLOOKUP(H613,[4]Sheet2!K:N,4,0)</f>
        <v>7000</v>
      </c>
      <c r="W613" s="52">
        <f t="shared" si="535"/>
        <v>0</v>
      </c>
      <c r="X613" s="52">
        <f>VLOOKUP(H613,[4]Sheet2!K:N,4,0)</f>
        <v>7000</v>
      </c>
      <c r="Y613" s="53">
        <f t="shared" si="536"/>
        <v>1</v>
      </c>
      <c r="Z613" s="53">
        <f t="shared" si="537"/>
        <v>0</v>
      </c>
      <c r="AA613" s="53">
        <f t="shared" si="538"/>
        <v>1</v>
      </c>
    </row>
    <row r="614" spans="1:27" ht="18.75" customHeight="1" outlineLevel="6" x14ac:dyDescent="0.3">
      <c r="B614" s="44"/>
      <c r="C614" s="18"/>
      <c r="D614" s="24"/>
      <c r="E614" s="29"/>
      <c r="F614" s="34"/>
      <c r="G614" s="39"/>
      <c r="H614" s="46" t="s">
        <v>667</v>
      </c>
      <c r="I614" s="46" t="s">
        <v>56</v>
      </c>
      <c r="J614" s="47" t="s">
        <v>30</v>
      </c>
      <c r="K614" s="48">
        <v>0.05</v>
      </c>
      <c r="L614" s="49">
        <f>VLOOKUP(H614,[4]Sheet2!K:P,6,0)</f>
        <v>1.8270499999999999E-4</v>
      </c>
      <c r="M614" s="50">
        <f>VLOOKUP(H614,[4]Sheet2!K:Q,7,0)</f>
        <v>7000</v>
      </c>
      <c r="N614" s="51"/>
      <c r="O614" s="51"/>
      <c r="P614" s="51"/>
      <c r="Q614" s="51"/>
      <c r="R614" s="51"/>
      <c r="S614" s="51"/>
      <c r="T614" s="51"/>
      <c r="U614" s="51"/>
      <c r="V614" s="52">
        <f>VLOOKUP(H614,[4]Sheet2!K:N,4,0)</f>
        <v>7000</v>
      </c>
      <c r="W614" s="52">
        <f t="shared" si="535"/>
        <v>0</v>
      </c>
      <c r="X614" s="52">
        <f>VLOOKUP(H614,[4]Sheet2!K:N,4,0)</f>
        <v>7000</v>
      </c>
      <c r="Y614" s="53">
        <f t="shared" si="536"/>
        <v>1</v>
      </c>
      <c r="Z614" s="53">
        <f t="shared" si="537"/>
        <v>0</v>
      </c>
      <c r="AA614" s="53">
        <f t="shared" si="538"/>
        <v>1</v>
      </c>
    </row>
    <row r="615" spans="1:27" ht="18.75" customHeight="1" outlineLevel="5" x14ac:dyDescent="0.3">
      <c r="B615" s="12"/>
      <c r="C615" s="18"/>
      <c r="D615" s="24"/>
      <c r="E615" s="29"/>
      <c r="F615" s="34"/>
      <c r="G615" s="39" t="s">
        <v>97</v>
      </c>
      <c r="H615" s="58"/>
      <c r="I615" s="58"/>
      <c r="J615" s="58"/>
      <c r="K615" s="58"/>
      <c r="L615" s="41">
        <f>SUM(L616:L621)</f>
        <v>1.0589999999999998E-3</v>
      </c>
      <c r="M615" s="42">
        <f>M616</f>
        <v>2000</v>
      </c>
      <c r="N615" s="40"/>
      <c r="O615" s="40"/>
      <c r="P615" s="40"/>
      <c r="Q615" s="40"/>
      <c r="R615" s="40"/>
      <c r="S615" s="40"/>
      <c r="T615" s="40"/>
      <c r="U615" s="40"/>
      <c r="V615" s="42">
        <f t="shared" ref="V615:X615" si="539">V616</f>
        <v>2000</v>
      </c>
      <c r="W615" s="42">
        <f t="shared" si="539"/>
        <v>0</v>
      </c>
      <c r="X615" s="42">
        <f t="shared" si="539"/>
        <v>2000</v>
      </c>
      <c r="Y615" s="43">
        <f>SUMPRODUCT(Y616:Y621,$K616:$K621)</f>
        <v>0.54749999999999999</v>
      </c>
      <c r="Z615" s="43">
        <f t="shared" ref="Z615:AA615" si="540">SUMPRODUCT(Z616:Z621,$K616:$K621)</f>
        <v>0</v>
      </c>
      <c r="AA615" s="43">
        <f t="shared" si="540"/>
        <v>0.54749999999999999</v>
      </c>
    </row>
    <row r="616" spans="1:27" ht="18.75" customHeight="1" outlineLevel="6" x14ac:dyDescent="0.3">
      <c r="B616" s="44"/>
      <c r="C616" s="18"/>
      <c r="D616" s="24"/>
      <c r="E616" s="29"/>
      <c r="F616" s="34"/>
      <c r="G616" s="39"/>
      <c r="H616" s="46" t="s">
        <v>668</v>
      </c>
      <c r="I616" s="46" t="s">
        <v>45</v>
      </c>
      <c r="J616" s="47" t="s">
        <v>30</v>
      </c>
      <c r="K616" s="48">
        <v>0.05</v>
      </c>
      <c r="L616" s="49">
        <f>VLOOKUP(H616,[4]Sheet2!K:P,6,0)</f>
        <v>5.295E-5</v>
      </c>
      <c r="M616" s="50">
        <f>VLOOKUP(H616,[4]Sheet2!K:Q,7,0)</f>
        <v>2000</v>
      </c>
      <c r="N616" s="51"/>
      <c r="O616" s="51"/>
      <c r="P616" s="51"/>
      <c r="Q616" s="51"/>
      <c r="R616" s="51"/>
      <c r="S616" s="51"/>
      <c r="T616" s="51"/>
      <c r="U616" s="51"/>
      <c r="V616" s="52">
        <f>VLOOKUP(H616,[4]Sheet2!K:N,4,0)</f>
        <v>2000</v>
      </c>
      <c r="W616" s="52">
        <f t="shared" ref="W616:W621" si="541">X616-V616</f>
        <v>0</v>
      </c>
      <c r="X616" s="52">
        <f>VLOOKUP(H616,[4]Sheet2!K:N,4,0)</f>
        <v>2000</v>
      </c>
      <c r="Y616" s="53">
        <f t="shared" ref="Y616:Y621" si="542">IFERROR(V616/M616,1)</f>
        <v>1</v>
      </c>
      <c r="Z616" s="53">
        <f t="shared" ref="Z616:Z621" si="543">IFERROR(W616/M616,1)</f>
        <v>0</v>
      </c>
      <c r="AA616" s="53">
        <f t="shared" ref="AA616:AA621" si="544">IFERROR(X616/M616,1)</f>
        <v>1</v>
      </c>
    </row>
    <row r="617" spans="1:27" ht="18.75" customHeight="1" outlineLevel="6" x14ac:dyDescent="0.3">
      <c r="A617" s="60" t="s">
        <v>634</v>
      </c>
      <c r="B617" s="44"/>
      <c r="C617" s="18"/>
      <c r="D617" s="24"/>
      <c r="E617" s="29"/>
      <c r="F617" s="34"/>
      <c r="G617" s="39"/>
      <c r="H617" s="46" t="s">
        <v>669</v>
      </c>
      <c r="I617" s="46" t="s">
        <v>48</v>
      </c>
      <c r="J617" s="47" t="s">
        <v>30</v>
      </c>
      <c r="K617" s="48">
        <v>0.5</v>
      </c>
      <c r="L617" s="49">
        <f>VLOOKUP(H617,[4]Sheet2!K:P,6,0)</f>
        <v>5.2950000000000002E-4</v>
      </c>
      <c r="M617" s="50">
        <f>VLOOKUP(H617,[4]Sheet2!K:Q,7,0)</f>
        <v>2000</v>
      </c>
      <c r="N617" s="51"/>
      <c r="O617" s="51"/>
      <c r="P617" s="51"/>
      <c r="Q617" s="51"/>
      <c r="R617" s="51"/>
      <c r="S617" s="51"/>
      <c r="T617" s="51"/>
      <c r="U617" s="51"/>
      <c r="V617" s="52">
        <f>VLOOKUP(H617,[4]Sheet2!K:N,4,0)</f>
        <v>1990</v>
      </c>
      <c r="W617" s="52">
        <f t="shared" si="541"/>
        <v>0</v>
      </c>
      <c r="X617" s="52">
        <f>VLOOKUP(H617,[4]Sheet2!K:N,4,0)</f>
        <v>1990</v>
      </c>
      <c r="Y617" s="53">
        <f t="shared" si="542"/>
        <v>0.995</v>
      </c>
      <c r="Z617" s="53">
        <f t="shared" si="543"/>
        <v>0</v>
      </c>
      <c r="AA617" s="53">
        <f t="shared" si="544"/>
        <v>0.995</v>
      </c>
    </row>
    <row r="618" spans="1:27" ht="18.75" customHeight="1" outlineLevel="6" x14ac:dyDescent="0.3">
      <c r="B618" s="44"/>
      <c r="C618" s="18"/>
      <c r="D618" s="24"/>
      <c r="E618" s="29"/>
      <c r="F618" s="34"/>
      <c r="G618" s="39"/>
      <c r="H618" s="46" t="s">
        <v>670</v>
      </c>
      <c r="I618" s="46" t="s">
        <v>50</v>
      </c>
      <c r="J618" s="47" t="s">
        <v>30</v>
      </c>
      <c r="K618" s="48">
        <v>0.15</v>
      </c>
      <c r="L618" s="49">
        <f>VLOOKUP(H618,[4]Sheet2!K:P,6,0)</f>
        <v>1.5885000000000001E-4</v>
      </c>
      <c r="M618" s="50">
        <f>VLOOKUP(H618,[4]Sheet2!K:Q,7,0)</f>
        <v>2000</v>
      </c>
      <c r="N618" s="51"/>
      <c r="O618" s="51"/>
      <c r="P618" s="51"/>
      <c r="Q618" s="51"/>
      <c r="R618" s="51"/>
      <c r="S618" s="51"/>
      <c r="T618" s="51"/>
      <c r="U618" s="51"/>
      <c r="V618" s="52">
        <f>VLOOKUP(H618,[4]Sheet2!K:N,4,0)</f>
        <v>0</v>
      </c>
      <c r="W618" s="52">
        <f t="shared" si="541"/>
        <v>0</v>
      </c>
      <c r="X618" s="52">
        <f>VLOOKUP(H618,[4]Sheet2!K:N,4,0)</f>
        <v>0</v>
      </c>
      <c r="Y618" s="53">
        <f t="shared" si="542"/>
        <v>0</v>
      </c>
      <c r="Z618" s="53">
        <f t="shared" si="543"/>
        <v>0</v>
      </c>
      <c r="AA618" s="53">
        <f t="shared" si="544"/>
        <v>0</v>
      </c>
    </row>
    <row r="619" spans="1:27" ht="18.75" customHeight="1" outlineLevel="6" x14ac:dyDescent="0.3">
      <c r="B619" s="44"/>
      <c r="C619" s="18"/>
      <c r="D619" s="24"/>
      <c r="E619" s="29"/>
      <c r="F619" s="34"/>
      <c r="G619" s="39"/>
      <c r="H619" s="46" t="s">
        <v>671</v>
      </c>
      <c r="I619" s="46" t="s">
        <v>52</v>
      </c>
      <c r="J619" s="47" t="s">
        <v>30</v>
      </c>
      <c r="K619" s="48">
        <v>0.2</v>
      </c>
      <c r="L619" s="49">
        <f>VLOOKUP(H619,[4]Sheet2!K:P,6,0)</f>
        <v>2.118E-4</v>
      </c>
      <c r="M619" s="50">
        <f>VLOOKUP(H619,[4]Sheet2!K:Q,7,0)</f>
        <v>2000</v>
      </c>
      <c r="N619" s="51"/>
      <c r="O619" s="51"/>
      <c r="P619" s="51"/>
      <c r="Q619" s="51"/>
      <c r="R619" s="51"/>
      <c r="S619" s="51"/>
      <c r="T619" s="51"/>
      <c r="U619" s="51"/>
      <c r="V619" s="52">
        <f>VLOOKUP(H619,[4]Sheet2!K:N,4,0)</f>
        <v>0</v>
      </c>
      <c r="W619" s="52">
        <f t="shared" si="541"/>
        <v>0</v>
      </c>
      <c r="X619" s="52">
        <f>VLOOKUP(H619,[4]Sheet2!K:N,4,0)</f>
        <v>0</v>
      </c>
      <c r="Y619" s="53">
        <f t="shared" si="542"/>
        <v>0</v>
      </c>
      <c r="Z619" s="53">
        <f t="shared" si="543"/>
        <v>0</v>
      </c>
      <c r="AA619" s="53">
        <f t="shared" si="544"/>
        <v>0</v>
      </c>
    </row>
    <row r="620" spans="1:27" ht="18.75" customHeight="1" outlineLevel="6" x14ac:dyDescent="0.3">
      <c r="B620" s="44"/>
      <c r="C620" s="18"/>
      <c r="D620" s="24"/>
      <c r="E620" s="29"/>
      <c r="F620" s="34"/>
      <c r="G620" s="39"/>
      <c r="H620" s="46" t="s">
        <v>672</v>
      </c>
      <c r="I620" s="46" t="s">
        <v>54</v>
      </c>
      <c r="J620" s="47" t="s">
        <v>30</v>
      </c>
      <c r="K620" s="48">
        <v>0.05</v>
      </c>
      <c r="L620" s="49">
        <f>VLOOKUP(H620,[4]Sheet2!K:P,6,0)</f>
        <v>5.295E-5</v>
      </c>
      <c r="M620" s="50">
        <f>VLOOKUP(H620,[4]Sheet2!K:Q,7,0)</f>
        <v>2000</v>
      </c>
      <c r="N620" s="51"/>
      <c r="O620" s="51"/>
      <c r="P620" s="51"/>
      <c r="Q620" s="51"/>
      <c r="R620" s="51"/>
      <c r="S620" s="51"/>
      <c r="T620" s="51"/>
      <c r="U620" s="51"/>
      <c r="V620" s="52">
        <f>VLOOKUP(H620,[4]Sheet2!K:N,4,0)</f>
        <v>0</v>
      </c>
      <c r="W620" s="52">
        <f t="shared" si="541"/>
        <v>0</v>
      </c>
      <c r="X620" s="52">
        <f>VLOOKUP(H620,[4]Sheet2!K:N,4,0)</f>
        <v>0</v>
      </c>
      <c r="Y620" s="53">
        <f t="shared" si="542"/>
        <v>0</v>
      </c>
      <c r="Z620" s="53">
        <f t="shared" si="543"/>
        <v>0</v>
      </c>
      <c r="AA620" s="53">
        <f t="shared" si="544"/>
        <v>0</v>
      </c>
    </row>
    <row r="621" spans="1:27" ht="18.75" customHeight="1" outlineLevel="6" x14ac:dyDescent="0.3">
      <c r="B621" s="44"/>
      <c r="C621" s="18"/>
      <c r="D621" s="24"/>
      <c r="E621" s="29"/>
      <c r="F621" s="34"/>
      <c r="G621" s="39"/>
      <c r="H621" s="46" t="s">
        <v>673</v>
      </c>
      <c r="I621" s="46" t="s">
        <v>56</v>
      </c>
      <c r="J621" s="47" t="s">
        <v>30</v>
      </c>
      <c r="K621" s="48">
        <v>0.05</v>
      </c>
      <c r="L621" s="49">
        <f>VLOOKUP(H621,[4]Sheet2!K:P,6,0)</f>
        <v>5.295E-5</v>
      </c>
      <c r="M621" s="50">
        <f>VLOOKUP(H621,[4]Sheet2!K:Q,7,0)</f>
        <v>2000</v>
      </c>
      <c r="N621" s="51"/>
      <c r="O621" s="51"/>
      <c r="P621" s="51"/>
      <c r="Q621" s="51"/>
      <c r="R621" s="51"/>
      <c r="S621" s="51"/>
      <c r="T621" s="51"/>
      <c r="U621" s="51"/>
      <c r="V621" s="52">
        <f>VLOOKUP(H621,[4]Sheet2!K:N,4,0)</f>
        <v>0</v>
      </c>
      <c r="W621" s="52">
        <f t="shared" si="541"/>
        <v>0</v>
      </c>
      <c r="X621" s="52">
        <f>VLOOKUP(H621,[4]Sheet2!K:N,4,0)</f>
        <v>0</v>
      </c>
      <c r="Y621" s="53">
        <f t="shared" si="542"/>
        <v>0</v>
      </c>
      <c r="Z621" s="53">
        <f t="shared" si="543"/>
        <v>0</v>
      </c>
      <c r="AA621" s="53">
        <f t="shared" si="544"/>
        <v>0</v>
      </c>
    </row>
    <row r="622" spans="1:27" ht="18.75" customHeight="1" outlineLevel="5" x14ac:dyDescent="0.3">
      <c r="B622" s="12"/>
      <c r="C622" s="18"/>
      <c r="D622" s="24"/>
      <c r="E622" s="29"/>
      <c r="F622" s="34"/>
      <c r="G622" s="39" t="s">
        <v>104</v>
      </c>
      <c r="H622" s="58"/>
      <c r="I622" s="58"/>
      <c r="J622" s="58"/>
      <c r="K622" s="58"/>
      <c r="L622" s="41">
        <f>SUM(L623:L628)</f>
        <v>2.1371000000000003E-3</v>
      </c>
      <c r="M622" s="42">
        <f>M623</f>
        <v>5000</v>
      </c>
      <c r="N622" s="40"/>
      <c r="O622" s="40"/>
      <c r="P622" s="40"/>
      <c r="Q622" s="40"/>
      <c r="R622" s="40"/>
      <c r="S622" s="40"/>
      <c r="T622" s="40"/>
      <c r="U622" s="40"/>
      <c r="V622" s="42">
        <f t="shared" ref="V622:X622" si="545">V623</f>
        <v>5000</v>
      </c>
      <c r="W622" s="42">
        <f t="shared" si="545"/>
        <v>0</v>
      </c>
      <c r="X622" s="42">
        <f t="shared" si="545"/>
        <v>5000</v>
      </c>
      <c r="Y622" s="43">
        <f>SUMPRODUCT(Y623:Y628,$K623:$K628)</f>
        <v>0.86060000000000003</v>
      </c>
      <c r="Z622" s="43">
        <f t="shared" ref="Z622:AA622" si="546">SUMPRODUCT(Z623:Z628,$K623:$K628)</f>
        <v>0</v>
      </c>
      <c r="AA622" s="43">
        <f t="shared" si="546"/>
        <v>0.86060000000000003</v>
      </c>
    </row>
    <row r="623" spans="1:27" ht="18.75" customHeight="1" outlineLevel="6" x14ac:dyDescent="0.3">
      <c r="B623" s="44"/>
      <c r="C623" s="18"/>
      <c r="D623" s="24"/>
      <c r="E623" s="29"/>
      <c r="F623" s="34"/>
      <c r="G623" s="39"/>
      <c r="H623" s="46" t="s">
        <v>674</v>
      </c>
      <c r="I623" s="46" t="s">
        <v>45</v>
      </c>
      <c r="J623" s="47" t="s">
        <v>30</v>
      </c>
      <c r="K623" s="48">
        <v>0.05</v>
      </c>
      <c r="L623" s="49">
        <f>VLOOKUP(H623,[4]Sheet2!K:P,6,0)</f>
        <v>1.0685500000000002E-4</v>
      </c>
      <c r="M623" s="50">
        <f>VLOOKUP(H623,[4]Sheet2!K:Q,7,0)</f>
        <v>5000</v>
      </c>
      <c r="N623" s="51"/>
      <c r="O623" s="51"/>
      <c r="P623" s="51"/>
      <c r="Q623" s="51"/>
      <c r="R623" s="51"/>
      <c r="S623" s="51"/>
      <c r="T623" s="51"/>
      <c r="U623" s="51"/>
      <c r="V623" s="52">
        <f>VLOOKUP(H623,[4]Sheet2!K:N,4,0)</f>
        <v>5000</v>
      </c>
      <c r="W623" s="52">
        <f t="shared" ref="W623:W628" si="547">X623-V623</f>
        <v>0</v>
      </c>
      <c r="X623" s="52">
        <f>VLOOKUP(H623,[4]Sheet2!K:N,4,0)</f>
        <v>5000</v>
      </c>
      <c r="Y623" s="53">
        <f t="shared" ref="Y623:Y628" si="548">IFERROR(V623/M623,1)</f>
        <v>1</v>
      </c>
      <c r="Z623" s="53">
        <f t="shared" ref="Z623:Z628" si="549">IFERROR(W623/M623,1)</f>
        <v>0</v>
      </c>
      <c r="AA623" s="53">
        <f t="shared" ref="AA623:AA628" si="550">IFERROR(X623/M623,1)</f>
        <v>1</v>
      </c>
    </row>
    <row r="624" spans="1:27" ht="18.75" customHeight="1" outlineLevel="6" x14ac:dyDescent="0.3">
      <c r="A624" s="60" t="s">
        <v>634</v>
      </c>
      <c r="B624" s="44"/>
      <c r="C624" s="18"/>
      <c r="D624" s="24"/>
      <c r="E624" s="29"/>
      <c r="F624" s="34"/>
      <c r="G624" s="39"/>
      <c r="H624" s="46" t="s">
        <v>675</v>
      </c>
      <c r="I624" s="46" t="s">
        <v>48</v>
      </c>
      <c r="J624" s="47" t="s">
        <v>30</v>
      </c>
      <c r="K624" s="48">
        <v>0.5</v>
      </c>
      <c r="L624" s="49">
        <f>VLOOKUP(H624,[4]Sheet2!K:P,6,0)</f>
        <v>1.0685500000000001E-3</v>
      </c>
      <c r="M624" s="50">
        <f>VLOOKUP(H624,[4]Sheet2!K:Q,7,0)</f>
        <v>5000</v>
      </c>
      <c r="N624" s="51"/>
      <c r="O624" s="51"/>
      <c r="P624" s="51"/>
      <c r="Q624" s="51"/>
      <c r="R624" s="51"/>
      <c r="S624" s="51"/>
      <c r="T624" s="51"/>
      <c r="U624" s="51"/>
      <c r="V624" s="52">
        <f>VLOOKUP(H624,[4]Sheet2!K:N,4,0)</f>
        <v>5000</v>
      </c>
      <c r="W624" s="52">
        <f t="shared" si="547"/>
        <v>0</v>
      </c>
      <c r="X624" s="52">
        <f>VLOOKUP(H624,[4]Sheet2!K:N,4,0)</f>
        <v>5000</v>
      </c>
      <c r="Y624" s="53">
        <f t="shared" si="548"/>
        <v>1</v>
      </c>
      <c r="Z624" s="53">
        <f t="shared" si="549"/>
        <v>0</v>
      </c>
      <c r="AA624" s="53">
        <f t="shared" si="550"/>
        <v>1</v>
      </c>
    </row>
    <row r="625" spans="1:27" ht="18.75" customHeight="1" outlineLevel="6" x14ac:dyDescent="0.3">
      <c r="B625" s="44"/>
      <c r="C625" s="18"/>
      <c r="D625" s="24"/>
      <c r="E625" s="29"/>
      <c r="F625" s="34"/>
      <c r="G625" s="39"/>
      <c r="H625" s="46" t="s">
        <v>676</v>
      </c>
      <c r="I625" s="46" t="s">
        <v>50</v>
      </c>
      <c r="J625" s="47" t="s">
        <v>30</v>
      </c>
      <c r="K625" s="48">
        <v>0.15</v>
      </c>
      <c r="L625" s="49">
        <f>VLOOKUP(H625,[4]Sheet2!K:P,6,0)</f>
        <v>3.2056500000000003E-4</v>
      </c>
      <c r="M625" s="50">
        <f>VLOOKUP(H625,[4]Sheet2!K:Q,7,0)</f>
        <v>5000</v>
      </c>
      <c r="N625" s="51"/>
      <c r="O625" s="51"/>
      <c r="P625" s="51"/>
      <c r="Q625" s="51"/>
      <c r="R625" s="51"/>
      <c r="S625" s="51"/>
      <c r="T625" s="51"/>
      <c r="U625" s="51"/>
      <c r="V625" s="52">
        <f>VLOOKUP(H625,[4]Sheet2!K:N,4,0)</f>
        <v>5000</v>
      </c>
      <c r="W625" s="52">
        <f t="shared" si="547"/>
        <v>0</v>
      </c>
      <c r="X625" s="52">
        <f>VLOOKUP(H625,[4]Sheet2!K:N,4,0)</f>
        <v>5000</v>
      </c>
      <c r="Y625" s="53">
        <f t="shared" si="548"/>
        <v>1</v>
      </c>
      <c r="Z625" s="53">
        <f t="shared" si="549"/>
        <v>0</v>
      </c>
      <c r="AA625" s="53">
        <f t="shared" si="550"/>
        <v>1</v>
      </c>
    </row>
    <row r="626" spans="1:27" ht="18.75" customHeight="1" outlineLevel="6" x14ac:dyDescent="0.3">
      <c r="B626" s="44"/>
      <c r="C626" s="18"/>
      <c r="D626" s="24"/>
      <c r="E626" s="29"/>
      <c r="F626" s="34"/>
      <c r="G626" s="39"/>
      <c r="H626" s="46" t="s">
        <v>677</v>
      </c>
      <c r="I626" s="46" t="s">
        <v>52</v>
      </c>
      <c r="J626" s="47" t="s">
        <v>30</v>
      </c>
      <c r="K626" s="48">
        <v>0.2</v>
      </c>
      <c r="L626" s="49">
        <f>VLOOKUP(H626,[4]Sheet2!K:P,6,0)</f>
        <v>4.2742000000000008E-4</v>
      </c>
      <c r="M626" s="50">
        <f>VLOOKUP(H626,[4]Sheet2!K:Q,7,0)</f>
        <v>5000</v>
      </c>
      <c r="N626" s="51"/>
      <c r="O626" s="51"/>
      <c r="P626" s="51"/>
      <c r="Q626" s="51"/>
      <c r="R626" s="51"/>
      <c r="S626" s="51"/>
      <c r="T626" s="51"/>
      <c r="U626" s="51"/>
      <c r="V626" s="52">
        <f>VLOOKUP(H626,[4]Sheet2!K:N,4,0)</f>
        <v>4015</v>
      </c>
      <c r="W626" s="52">
        <f t="shared" si="547"/>
        <v>0</v>
      </c>
      <c r="X626" s="52">
        <f>VLOOKUP(H626,[4]Sheet2!K:N,4,0)</f>
        <v>4015</v>
      </c>
      <c r="Y626" s="53">
        <f t="shared" si="548"/>
        <v>0.80300000000000005</v>
      </c>
      <c r="Z626" s="53">
        <f t="shared" si="549"/>
        <v>0</v>
      </c>
      <c r="AA626" s="53">
        <f t="shared" si="550"/>
        <v>0.80300000000000005</v>
      </c>
    </row>
    <row r="627" spans="1:27" ht="18.75" customHeight="1" outlineLevel="6" x14ac:dyDescent="0.3">
      <c r="B627" s="44"/>
      <c r="C627" s="18"/>
      <c r="D627" s="24"/>
      <c r="E627" s="29"/>
      <c r="F627" s="34"/>
      <c r="G627" s="39"/>
      <c r="H627" s="46" t="s">
        <v>678</v>
      </c>
      <c r="I627" s="46" t="s">
        <v>54</v>
      </c>
      <c r="J627" s="47" t="s">
        <v>30</v>
      </c>
      <c r="K627" s="48">
        <v>0.05</v>
      </c>
      <c r="L627" s="49">
        <f>VLOOKUP(H627,[4]Sheet2!K:P,6,0)</f>
        <v>1.0685500000000002E-4</v>
      </c>
      <c r="M627" s="50">
        <f>VLOOKUP(H627,[4]Sheet2!K:Q,7,0)</f>
        <v>5000</v>
      </c>
      <c r="N627" s="51"/>
      <c r="O627" s="51"/>
      <c r="P627" s="51"/>
      <c r="Q627" s="51"/>
      <c r="R627" s="51"/>
      <c r="S627" s="51"/>
      <c r="T627" s="51"/>
      <c r="U627" s="51"/>
      <c r="V627" s="52">
        <f>VLOOKUP(H627,[4]Sheet2!K:N,4,0)</f>
        <v>0</v>
      </c>
      <c r="W627" s="52">
        <f t="shared" si="547"/>
        <v>0</v>
      </c>
      <c r="X627" s="52">
        <f>VLOOKUP(H627,[4]Sheet2!K:N,4,0)</f>
        <v>0</v>
      </c>
      <c r="Y627" s="53">
        <f t="shared" si="548"/>
        <v>0</v>
      </c>
      <c r="Z627" s="53">
        <f t="shared" si="549"/>
        <v>0</v>
      </c>
      <c r="AA627" s="53">
        <f t="shared" si="550"/>
        <v>0</v>
      </c>
    </row>
    <row r="628" spans="1:27" ht="18.75" customHeight="1" outlineLevel="6" x14ac:dyDescent="0.3">
      <c r="B628" s="44"/>
      <c r="C628" s="18"/>
      <c r="D628" s="24"/>
      <c r="E628" s="29"/>
      <c r="F628" s="34"/>
      <c r="G628" s="39"/>
      <c r="H628" s="46" t="s">
        <v>679</v>
      </c>
      <c r="I628" s="46" t="s">
        <v>56</v>
      </c>
      <c r="J628" s="47" t="s">
        <v>30</v>
      </c>
      <c r="K628" s="48">
        <v>0.05</v>
      </c>
      <c r="L628" s="49">
        <f>VLOOKUP(H628,[4]Sheet2!K:P,6,0)</f>
        <v>1.0685500000000002E-4</v>
      </c>
      <c r="M628" s="50">
        <f>VLOOKUP(H628,[4]Sheet2!K:Q,7,0)</f>
        <v>5000</v>
      </c>
      <c r="N628" s="51"/>
      <c r="O628" s="51"/>
      <c r="P628" s="51"/>
      <c r="Q628" s="51"/>
      <c r="R628" s="51"/>
      <c r="S628" s="51"/>
      <c r="T628" s="51"/>
      <c r="U628" s="51"/>
      <c r="V628" s="52">
        <f>VLOOKUP(H628,[4]Sheet2!K:N,4,0)</f>
        <v>0</v>
      </c>
      <c r="W628" s="52">
        <f t="shared" si="547"/>
        <v>0</v>
      </c>
      <c r="X628" s="52">
        <f>VLOOKUP(H628,[4]Sheet2!K:N,4,0)</f>
        <v>0</v>
      </c>
      <c r="Y628" s="53">
        <f t="shared" si="548"/>
        <v>0</v>
      </c>
      <c r="Z628" s="53">
        <f t="shared" si="549"/>
        <v>0</v>
      </c>
      <c r="AA628" s="53">
        <f t="shared" si="550"/>
        <v>0</v>
      </c>
    </row>
    <row r="629" spans="1:27" ht="18.75" customHeight="1" outlineLevel="4" x14ac:dyDescent="0.3">
      <c r="B629" s="12"/>
      <c r="C629" s="18"/>
      <c r="D629" s="24"/>
      <c r="E629" s="29"/>
      <c r="F629" s="34" t="s">
        <v>111</v>
      </c>
      <c r="G629" s="34"/>
      <c r="H629" s="57"/>
      <c r="I629" s="57"/>
      <c r="J629" s="57"/>
      <c r="K629" s="57"/>
      <c r="L629" s="36">
        <f>L630+L637+L644+L651+L658+L665+L672+L679</f>
        <v>4.1244000000000003E-2</v>
      </c>
      <c r="M629" s="37">
        <f>M630+M637+M644+M651+M658+M665+M672+M679</f>
        <v>102421</v>
      </c>
      <c r="N629" s="35"/>
      <c r="O629" s="35"/>
      <c r="P629" s="35"/>
      <c r="Q629" s="35"/>
      <c r="R629" s="35"/>
      <c r="S629" s="35"/>
      <c r="T629" s="35"/>
      <c r="U629" s="35"/>
      <c r="V629" s="37">
        <f>V630+V637+V644+V651+V658+V665+V672+V679</f>
        <v>102421</v>
      </c>
      <c r="W629" s="37">
        <f>W630+W637+W644+W651+W658+W665+W672+W679</f>
        <v>0</v>
      </c>
      <c r="X629" s="37">
        <f>X630+X637+X644+X651+X658+X665+X672+X679</f>
        <v>102421</v>
      </c>
      <c r="Y629" s="38">
        <f>(Y630*$L630+Y637*$L637+Y644*$L644+Y651*$L651+Y658*$L658+Y665*$L665+Y672*$L672+Y679*$L679)/$L629</f>
        <v>0.97932019984920593</v>
      </c>
      <c r="Z629" s="38">
        <f>(Z630*$L630+Z637*$L637+Z644*$L644+Z651*$L651+Z658*$L658+Z665*$L665+Z672*$L672+Z679*$L679)/$L629</f>
        <v>0</v>
      </c>
      <c r="AA629" s="38">
        <f>(AA630*$L630+AA637*$L637+AA644*$L644+AA651*$L651+AA658*$L658+AA665*$L665+AA672*$L672+AA679*$L679)/$L629</f>
        <v>0.98209291048394942</v>
      </c>
    </row>
    <row r="630" spans="1:27" ht="18.75" customHeight="1" outlineLevel="5" x14ac:dyDescent="0.3">
      <c r="B630" s="12"/>
      <c r="C630" s="18"/>
      <c r="D630" s="24"/>
      <c r="E630" s="29"/>
      <c r="F630" s="34"/>
      <c r="G630" s="39" t="s">
        <v>112</v>
      </c>
      <c r="H630" s="58"/>
      <c r="I630" s="58"/>
      <c r="J630" s="58"/>
      <c r="K630" s="58"/>
      <c r="L630" s="41">
        <f>SUM(L631:L636)</f>
        <v>1.6168999999999999E-2</v>
      </c>
      <c r="M630" s="42">
        <f>M631</f>
        <v>36000</v>
      </c>
      <c r="N630" s="40"/>
      <c r="O630" s="40"/>
      <c r="P630" s="40"/>
      <c r="Q630" s="40"/>
      <c r="R630" s="40"/>
      <c r="S630" s="40"/>
      <c r="T630" s="40"/>
      <c r="U630" s="40"/>
      <c r="V630" s="42">
        <f t="shared" ref="V630:X630" si="551">V631</f>
        <v>36000</v>
      </c>
      <c r="W630" s="42">
        <f t="shared" si="551"/>
        <v>0</v>
      </c>
      <c r="X630" s="42">
        <f t="shared" si="551"/>
        <v>36000</v>
      </c>
      <c r="Y630" s="43">
        <f>SUMPRODUCT(Y631:Y636,$K631:$K636)</f>
        <v>1.0000000000000002</v>
      </c>
      <c r="Z630" s="43">
        <f>SUMPRODUCT(Z631:Z636,$K631:$K636)</f>
        <v>0</v>
      </c>
      <c r="AA630" s="43">
        <f>SUMPRODUCT(AA631:AA636,$K631:$K636)</f>
        <v>1.0000000000000002</v>
      </c>
    </row>
    <row r="631" spans="1:27" ht="18.75" customHeight="1" outlineLevel="6" x14ac:dyDescent="0.3">
      <c r="B631" s="44"/>
      <c r="C631" s="18"/>
      <c r="D631" s="24"/>
      <c r="E631" s="29"/>
      <c r="F631" s="34"/>
      <c r="G631" s="39"/>
      <c r="H631" s="46" t="s">
        <v>680</v>
      </c>
      <c r="I631" s="46" t="s">
        <v>45</v>
      </c>
      <c r="J631" s="47" t="s">
        <v>59</v>
      </c>
      <c r="K631" s="48">
        <v>0.05</v>
      </c>
      <c r="L631" s="49">
        <f>VLOOKUP(H631,[4]Sheet2!K:P,6,0)</f>
        <v>8.0844999999999995E-4</v>
      </c>
      <c r="M631" s="50">
        <f>VLOOKUP(H631,[4]Sheet2!K:Q,7,0)</f>
        <v>36000</v>
      </c>
      <c r="N631" s="51"/>
      <c r="O631" s="51"/>
      <c r="P631" s="51"/>
      <c r="Q631" s="51"/>
      <c r="R631" s="51"/>
      <c r="S631" s="51"/>
      <c r="T631" s="51"/>
      <c r="U631" s="51"/>
      <c r="V631" s="52">
        <f>VLOOKUP(H631,[4]Sheet2!K:N,4,0)</f>
        <v>36000</v>
      </c>
      <c r="W631" s="52">
        <f t="shared" ref="W631:W636" si="552">X631-V631</f>
        <v>0</v>
      </c>
      <c r="X631" s="52">
        <f>VLOOKUP(H631,[4]Sheet2!K:N,4,0)</f>
        <v>36000</v>
      </c>
      <c r="Y631" s="53">
        <f t="shared" ref="Y631:Y636" si="553">IFERROR(V631/M631,1)</f>
        <v>1</v>
      </c>
      <c r="Z631" s="53">
        <f t="shared" ref="Z631:Z636" si="554">IFERROR(W631/M631,1)</f>
        <v>0</v>
      </c>
      <c r="AA631" s="53">
        <f t="shared" ref="AA631:AA636" si="555">IFERROR(X631/M631,1)</f>
        <v>1</v>
      </c>
    </row>
    <row r="632" spans="1:27" ht="18.75" customHeight="1" outlineLevel="6" x14ac:dyDescent="0.3">
      <c r="A632" s="60" t="s">
        <v>634</v>
      </c>
      <c r="B632" s="44"/>
      <c r="C632" s="18"/>
      <c r="D632" s="24"/>
      <c r="E632" s="29"/>
      <c r="F632" s="34"/>
      <c r="G632" s="39"/>
      <c r="H632" s="46" t="s">
        <v>681</v>
      </c>
      <c r="I632" s="46" t="s">
        <v>48</v>
      </c>
      <c r="J632" s="47" t="s">
        <v>59</v>
      </c>
      <c r="K632" s="48">
        <v>0.5</v>
      </c>
      <c r="L632" s="49">
        <f>VLOOKUP(H632,[4]Sheet2!K:P,6,0)</f>
        <v>8.0844999999999997E-3</v>
      </c>
      <c r="M632" s="50">
        <f>VLOOKUP(H632,[4]Sheet2!K:Q,7,0)</f>
        <v>36000</v>
      </c>
      <c r="N632" s="51"/>
      <c r="O632" s="51"/>
      <c r="P632" s="51"/>
      <c r="Q632" s="51"/>
      <c r="R632" s="51"/>
      <c r="S632" s="51"/>
      <c r="T632" s="51"/>
      <c r="U632" s="51"/>
      <c r="V632" s="52">
        <f>VLOOKUP(H632,[4]Sheet2!K:N,4,0)</f>
        <v>36000</v>
      </c>
      <c r="W632" s="52">
        <f t="shared" si="552"/>
        <v>0</v>
      </c>
      <c r="X632" s="52">
        <f>VLOOKUP(H632,[4]Sheet2!K:N,4,0)</f>
        <v>36000</v>
      </c>
      <c r="Y632" s="53">
        <f t="shared" si="553"/>
        <v>1</v>
      </c>
      <c r="Z632" s="53">
        <f t="shared" si="554"/>
        <v>0</v>
      </c>
      <c r="AA632" s="53">
        <f t="shared" si="555"/>
        <v>1</v>
      </c>
    </row>
    <row r="633" spans="1:27" ht="18.75" customHeight="1" outlineLevel="6" x14ac:dyDescent="0.3">
      <c r="A633" s="60"/>
      <c r="B633" s="44"/>
      <c r="C633" s="18"/>
      <c r="D633" s="24"/>
      <c r="E633" s="29"/>
      <c r="F633" s="34"/>
      <c r="G633" s="39"/>
      <c r="H633" s="46" t="s">
        <v>682</v>
      </c>
      <c r="I633" s="46" t="s">
        <v>50</v>
      </c>
      <c r="J633" s="47" t="s">
        <v>59</v>
      </c>
      <c r="K633" s="48">
        <v>0.15</v>
      </c>
      <c r="L633" s="49">
        <f>VLOOKUP(H633,[4]Sheet2!K:P,6,0)</f>
        <v>2.4253499999999997E-3</v>
      </c>
      <c r="M633" s="50">
        <f>VLOOKUP(H633,[4]Sheet2!K:Q,7,0)</f>
        <v>36000</v>
      </c>
      <c r="N633" s="51"/>
      <c r="O633" s="51"/>
      <c r="P633" s="51"/>
      <c r="Q633" s="51"/>
      <c r="R633" s="51"/>
      <c r="S633" s="51"/>
      <c r="T633" s="51"/>
      <c r="U633" s="51"/>
      <c r="V633" s="52">
        <f>VLOOKUP(H633,[4]Sheet2!K:N,4,0)</f>
        <v>36000</v>
      </c>
      <c r="W633" s="52">
        <f t="shared" si="552"/>
        <v>0</v>
      </c>
      <c r="X633" s="52">
        <f>VLOOKUP(H633,[4]Sheet2!K:N,4,0)</f>
        <v>36000</v>
      </c>
      <c r="Y633" s="53">
        <f t="shared" si="553"/>
        <v>1</v>
      </c>
      <c r="Z633" s="53">
        <f t="shared" si="554"/>
        <v>0</v>
      </c>
      <c r="AA633" s="53">
        <f t="shared" si="555"/>
        <v>1</v>
      </c>
    </row>
    <row r="634" spans="1:27" ht="18.75" customHeight="1" outlineLevel="6" x14ac:dyDescent="0.3">
      <c r="B634" s="44"/>
      <c r="C634" s="18"/>
      <c r="D634" s="24"/>
      <c r="E634" s="29"/>
      <c r="F634" s="34"/>
      <c r="G634" s="39"/>
      <c r="H634" s="46" t="s">
        <v>683</v>
      </c>
      <c r="I634" s="46" t="s">
        <v>52</v>
      </c>
      <c r="J634" s="47" t="s">
        <v>59</v>
      </c>
      <c r="K634" s="48">
        <v>0.2</v>
      </c>
      <c r="L634" s="49">
        <f>VLOOKUP(H634,[4]Sheet2!K:P,6,0)</f>
        <v>3.2337999999999998E-3</v>
      </c>
      <c r="M634" s="50">
        <f>VLOOKUP(H634,[4]Sheet2!K:Q,7,0)</f>
        <v>36000</v>
      </c>
      <c r="N634" s="51"/>
      <c r="O634" s="51"/>
      <c r="P634" s="51"/>
      <c r="Q634" s="51"/>
      <c r="R634" s="51"/>
      <c r="S634" s="51"/>
      <c r="T634" s="51"/>
      <c r="U634" s="51"/>
      <c r="V634" s="52">
        <f>VLOOKUP(H634,[4]Sheet2!K:N,4,0)</f>
        <v>36000</v>
      </c>
      <c r="W634" s="52">
        <f t="shared" si="552"/>
        <v>0</v>
      </c>
      <c r="X634" s="52">
        <f>VLOOKUP(H634,[4]Sheet2!K:N,4,0)</f>
        <v>36000</v>
      </c>
      <c r="Y634" s="53">
        <f t="shared" si="553"/>
        <v>1</v>
      </c>
      <c r="Z634" s="53">
        <f t="shared" si="554"/>
        <v>0</v>
      </c>
      <c r="AA634" s="53">
        <f t="shared" si="555"/>
        <v>1</v>
      </c>
    </row>
    <row r="635" spans="1:27" ht="18.75" customHeight="1" outlineLevel="6" x14ac:dyDescent="0.3">
      <c r="B635" s="44"/>
      <c r="C635" s="18"/>
      <c r="D635" s="24"/>
      <c r="E635" s="29"/>
      <c r="F635" s="34"/>
      <c r="G635" s="39"/>
      <c r="H635" s="46" t="s">
        <v>684</v>
      </c>
      <c r="I635" s="46" t="s">
        <v>54</v>
      </c>
      <c r="J635" s="47" t="s">
        <v>59</v>
      </c>
      <c r="K635" s="48">
        <v>0.05</v>
      </c>
      <c r="L635" s="49">
        <f>VLOOKUP(H635,[4]Sheet2!K:P,6,0)</f>
        <v>8.0844999999999995E-4</v>
      </c>
      <c r="M635" s="50">
        <f>VLOOKUP(H635,[4]Sheet2!K:Q,7,0)</f>
        <v>36000</v>
      </c>
      <c r="N635" s="51"/>
      <c r="O635" s="51"/>
      <c r="P635" s="51"/>
      <c r="Q635" s="51"/>
      <c r="R635" s="51"/>
      <c r="S635" s="51"/>
      <c r="T635" s="51"/>
      <c r="U635" s="51"/>
      <c r="V635" s="52">
        <f>VLOOKUP(H635,[4]Sheet2!K:N,4,0)</f>
        <v>36000</v>
      </c>
      <c r="W635" s="52">
        <f t="shared" si="552"/>
        <v>0</v>
      </c>
      <c r="X635" s="52">
        <f>VLOOKUP(H635,[4]Sheet2!K:N,4,0)</f>
        <v>36000</v>
      </c>
      <c r="Y635" s="53">
        <f t="shared" si="553"/>
        <v>1</v>
      </c>
      <c r="Z635" s="53">
        <f t="shared" si="554"/>
        <v>0</v>
      </c>
      <c r="AA635" s="53">
        <f t="shared" si="555"/>
        <v>1</v>
      </c>
    </row>
    <row r="636" spans="1:27" ht="18.75" customHeight="1" outlineLevel="6" x14ac:dyDescent="0.3">
      <c r="B636" s="44"/>
      <c r="C636" s="18"/>
      <c r="D636" s="24"/>
      <c r="E636" s="29"/>
      <c r="F636" s="34"/>
      <c r="G636" s="39"/>
      <c r="H636" s="46" t="s">
        <v>685</v>
      </c>
      <c r="I636" s="46" t="s">
        <v>56</v>
      </c>
      <c r="J636" s="47" t="s">
        <v>59</v>
      </c>
      <c r="K636" s="48">
        <v>0.05</v>
      </c>
      <c r="L636" s="49">
        <f>VLOOKUP(H636,[4]Sheet2!K:P,6,0)</f>
        <v>8.0844999999999995E-4</v>
      </c>
      <c r="M636" s="50">
        <f>VLOOKUP(H636,[4]Sheet2!K:Q,7,0)</f>
        <v>36000</v>
      </c>
      <c r="N636" s="51"/>
      <c r="O636" s="51"/>
      <c r="P636" s="51"/>
      <c r="Q636" s="51"/>
      <c r="R636" s="51"/>
      <c r="S636" s="51"/>
      <c r="T636" s="51"/>
      <c r="U636" s="51"/>
      <c r="V636" s="52">
        <f>VLOOKUP(H636,[4]Sheet2!K:N,4,0)</f>
        <v>36000</v>
      </c>
      <c r="W636" s="52">
        <f t="shared" si="552"/>
        <v>0</v>
      </c>
      <c r="X636" s="52">
        <f>VLOOKUP(H636,[4]Sheet2!K:N,4,0)</f>
        <v>36000</v>
      </c>
      <c r="Y636" s="53">
        <f t="shared" si="553"/>
        <v>1</v>
      </c>
      <c r="Z636" s="53">
        <f t="shared" si="554"/>
        <v>0</v>
      </c>
      <c r="AA636" s="53">
        <f t="shared" si="555"/>
        <v>1</v>
      </c>
    </row>
    <row r="637" spans="1:27" ht="18.75" customHeight="1" outlineLevel="5" x14ac:dyDescent="0.3">
      <c r="B637" s="12"/>
      <c r="C637" s="18"/>
      <c r="D637" s="24"/>
      <c r="E637" s="29"/>
      <c r="F637" s="34"/>
      <c r="G637" s="39" t="s">
        <v>121</v>
      </c>
      <c r="H637" s="58"/>
      <c r="I637" s="58"/>
      <c r="J637" s="58"/>
      <c r="K637" s="58"/>
      <c r="L637" s="41">
        <f>SUM(L638:L643)</f>
        <v>3.921E-3</v>
      </c>
      <c r="M637" s="42">
        <f>M638</f>
        <v>8000</v>
      </c>
      <c r="N637" s="40"/>
      <c r="O637" s="40"/>
      <c r="P637" s="40"/>
      <c r="Q637" s="40"/>
      <c r="R637" s="40"/>
      <c r="S637" s="40"/>
      <c r="T637" s="40"/>
      <c r="U637" s="40"/>
      <c r="V637" s="42">
        <f t="shared" ref="V637:X637" si="556">V638</f>
        <v>8000</v>
      </c>
      <c r="W637" s="42">
        <f t="shared" si="556"/>
        <v>0</v>
      </c>
      <c r="X637" s="42">
        <f t="shared" si="556"/>
        <v>8000</v>
      </c>
      <c r="Y637" s="43">
        <f>SUMPRODUCT(Y638:Y643,$K638:$K643)</f>
        <v>1.0000000000000002</v>
      </c>
      <c r="Z637" s="43">
        <f t="shared" ref="Z637:AA637" si="557">SUMPRODUCT(Z638:Z643,$K638:$K643)</f>
        <v>0</v>
      </c>
      <c r="AA637" s="43">
        <f t="shared" si="557"/>
        <v>1.0000000000000002</v>
      </c>
    </row>
    <row r="638" spans="1:27" ht="18.75" customHeight="1" outlineLevel="6" x14ac:dyDescent="0.3">
      <c r="B638" s="44"/>
      <c r="C638" s="18"/>
      <c r="D638" s="24"/>
      <c r="E638" s="29"/>
      <c r="F638" s="34"/>
      <c r="G638" s="39"/>
      <c r="H638" s="46" t="s">
        <v>686</v>
      </c>
      <c r="I638" s="46" t="s">
        <v>45</v>
      </c>
      <c r="J638" s="47" t="s">
        <v>30</v>
      </c>
      <c r="K638" s="48">
        <v>0.05</v>
      </c>
      <c r="L638" s="49">
        <f>VLOOKUP(H638,[4]Sheet2!K:P,6,0)</f>
        <v>1.9604999999999999E-4</v>
      </c>
      <c r="M638" s="50">
        <f>VLOOKUP(H638,[4]Sheet2!K:Q,7,0)</f>
        <v>8000</v>
      </c>
      <c r="N638" s="51"/>
      <c r="O638" s="51"/>
      <c r="P638" s="51"/>
      <c r="Q638" s="51"/>
      <c r="R638" s="51"/>
      <c r="S638" s="51"/>
      <c r="T638" s="51"/>
      <c r="U638" s="51"/>
      <c r="V638" s="52">
        <f>VLOOKUP(H638,[4]Sheet2!K:N,4,0)</f>
        <v>8000</v>
      </c>
      <c r="W638" s="52">
        <f t="shared" ref="W638:W643" si="558">X638-V638</f>
        <v>0</v>
      </c>
      <c r="X638" s="52">
        <f>VLOOKUP(H638,[4]Sheet2!K:N,4,0)</f>
        <v>8000</v>
      </c>
      <c r="Y638" s="53">
        <f t="shared" ref="Y638:Y643" si="559">IFERROR(V638/M638,1)</f>
        <v>1</v>
      </c>
      <c r="Z638" s="53">
        <f t="shared" ref="Z638:Z643" si="560">IFERROR(W638/M638,1)</f>
        <v>0</v>
      </c>
      <c r="AA638" s="53">
        <f t="shared" ref="AA638:AA643" si="561">IFERROR(X638/M638,1)</f>
        <v>1</v>
      </c>
    </row>
    <row r="639" spans="1:27" ht="18.75" customHeight="1" outlineLevel="6" x14ac:dyDescent="0.3">
      <c r="A639" s="60" t="s">
        <v>634</v>
      </c>
      <c r="B639" s="44"/>
      <c r="C639" s="18"/>
      <c r="D639" s="24"/>
      <c r="E639" s="29"/>
      <c r="F639" s="34"/>
      <c r="G639" s="39"/>
      <c r="H639" s="46" t="s">
        <v>687</v>
      </c>
      <c r="I639" s="46" t="s">
        <v>48</v>
      </c>
      <c r="J639" s="47" t="s">
        <v>30</v>
      </c>
      <c r="K639" s="48">
        <v>0.5</v>
      </c>
      <c r="L639" s="49">
        <f>VLOOKUP(H639,[4]Sheet2!K:P,6,0)</f>
        <v>1.9605E-3</v>
      </c>
      <c r="M639" s="50">
        <f>VLOOKUP(H639,[4]Sheet2!K:Q,7,0)</f>
        <v>8000</v>
      </c>
      <c r="N639" s="51"/>
      <c r="O639" s="51"/>
      <c r="P639" s="51"/>
      <c r="Q639" s="51"/>
      <c r="R639" s="51"/>
      <c r="S639" s="51"/>
      <c r="T639" s="51"/>
      <c r="U639" s="51"/>
      <c r="V639" s="52">
        <f>VLOOKUP(H639,[4]Sheet2!K:N,4,0)</f>
        <v>8000</v>
      </c>
      <c r="W639" s="52">
        <f t="shared" si="558"/>
        <v>0</v>
      </c>
      <c r="X639" s="52">
        <f>VLOOKUP(H639,[4]Sheet2!K:N,4,0)</f>
        <v>8000</v>
      </c>
      <c r="Y639" s="53">
        <f t="shared" si="559"/>
        <v>1</v>
      </c>
      <c r="Z639" s="53">
        <f t="shared" si="560"/>
        <v>0</v>
      </c>
      <c r="AA639" s="53">
        <f t="shared" si="561"/>
        <v>1</v>
      </c>
    </row>
    <row r="640" spans="1:27" ht="18.75" customHeight="1" outlineLevel="6" x14ac:dyDescent="0.3">
      <c r="B640" s="44"/>
      <c r="C640" s="18"/>
      <c r="D640" s="24"/>
      <c r="E640" s="29"/>
      <c r="F640" s="34"/>
      <c r="G640" s="39"/>
      <c r="H640" s="46" t="s">
        <v>688</v>
      </c>
      <c r="I640" s="46" t="s">
        <v>50</v>
      </c>
      <c r="J640" s="47" t="s">
        <v>30</v>
      </c>
      <c r="K640" s="48">
        <v>0.15</v>
      </c>
      <c r="L640" s="49">
        <f>VLOOKUP(H640,[4]Sheet2!K:P,6,0)</f>
        <v>5.8814999999999996E-4</v>
      </c>
      <c r="M640" s="50">
        <f>VLOOKUP(H640,[4]Sheet2!K:Q,7,0)</f>
        <v>8000</v>
      </c>
      <c r="N640" s="51"/>
      <c r="O640" s="51"/>
      <c r="P640" s="51"/>
      <c r="Q640" s="51"/>
      <c r="R640" s="51"/>
      <c r="S640" s="51"/>
      <c r="T640" s="51"/>
      <c r="U640" s="51"/>
      <c r="V640" s="52">
        <f>VLOOKUP(H640,[4]Sheet2!K:N,4,0)</f>
        <v>8000</v>
      </c>
      <c r="W640" s="52">
        <f t="shared" si="558"/>
        <v>0</v>
      </c>
      <c r="X640" s="52">
        <f>VLOOKUP(H640,[4]Sheet2!K:N,4,0)</f>
        <v>8000</v>
      </c>
      <c r="Y640" s="53">
        <f t="shared" si="559"/>
        <v>1</v>
      </c>
      <c r="Z640" s="53">
        <f t="shared" si="560"/>
        <v>0</v>
      </c>
      <c r="AA640" s="53">
        <f t="shared" si="561"/>
        <v>1</v>
      </c>
    </row>
    <row r="641" spans="1:27" ht="18.75" customHeight="1" outlineLevel="6" x14ac:dyDescent="0.3">
      <c r="B641" s="44"/>
      <c r="C641" s="18"/>
      <c r="D641" s="24"/>
      <c r="E641" s="29"/>
      <c r="F641" s="34"/>
      <c r="G641" s="39"/>
      <c r="H641" s="46" t="s">
        <v>689</v>
      </c>
      <c r="I641" s="46" t="s">
        <v>52</v>
      </c>
      <c r="J641" s="47" t="s">
        <v>30</v>
      </c>
      <c r="K641" s="48">
        <v>0.2</v>
      </c>
      <c r="L641" s="49">
        <f>VLOOKUP(H641,[4]Sheet2!K:P,6,0)</f>
        <v>7.8419999999999998E-4</v>
      </c>
      <c r="M641" s="50">
        <f>VLOOKUP(H641,[4]Sheet2!K:Q,7,0)</f>
        <v>8000</v>
      </c>
      <c r="N641" s="51"/>
      <c r="O641" s="51"/>
      <c r="P641" s="51"/>
      <c r="Q641" s="51"/>
      <c r="R641" s="51"/>
      <c r="S641" s="51"/>
      <c r="T641" s="51"/>
      <c r="U641" s="51"/>
      <c r="V641" s="52">
        <f>VLOOKUP(H641,[4]Sheet2!K:N,4,0)</f>
        <v>8000</v>
      </c>
      <c r="W641" s="52">
        <f t="shared" si="558"/>
        <v>0</v>
      </c>
      <c r="X641" s="52">
        <f>VLOOKUP(H641,[4]Sheet2!K:N,4,0)</f>
        <v>8000</v>
      </c>
      <c r="Y641" s="53">
        <f t="shared" si="559"/>
        <v>1</v>
      </c>
      <c r="Z641" s="53">
        <f t="shared" si="560"/>
        <v>0</v>
      </c>
      <c r="AA641" s="53">
        <f t="shared" si="561"/>
        <v>1</v>
      </c>
    </row>
    <row r="642" spans="1:27" ht="18.75" customHeight="1" outlineLevel="6" x14ac:dyDescent="0.3">
      <c r="B642" s="44"/>
      <c r="C642" s="18"/>
      <c r="D642" s="24"/>
      <c r="E642" s="29"/>
      <c r="F642" s="34"/>
      <c r="G642" s="39"/>
      <c r="H642" s="46" t="s">
        <v>690</v>
      </c>
      <c r="I642" s="46" t="s">
        <v>54</v>
      </c>
      <c r="J642" s="47" t="s">
        <v>30</v>
      </c>
      <c r="K642" s="48">
        <v>0.05</v>
      </c>
      <c r="L642" s="49">
        <f>VLOOKUP(H642,[4]Sheet2!K:P,6,0)</f>
        <v>1.9604999999999999E-4</v>
      </c>
      <c r="M642" s="50">
        <f>VLOOKUP(H642,[4]Sheet2!K:Q,7,0)</f>
        <v>8000</v>
      </c>
      <c r="N642" s="51"/>
      <c r="O642" s="51"/>
      <c r="P642" s="51"/>
      <c r="Q642" s="51"/>
      <c r="R642" s="51"/>
      <c r="S642" s="51"/>
      <c r="T642" s="51"/>
      <c r="U642" s="51"/>
      <c r="V642" s="52">
        <f>VLOOKUP(H642,[4]Sheet2!K:N,4,0)</f>
        <v>8000</v>
      </c>
      <c r="W642" s="52">
        <f t="shared" si="558"/>
        <v>0</v>
      </c>
      <c r="X642" s="52">
        <f>VLOOKUP(H642,[4]Sheet2!K:N,4,0)</f>
        <v>8000</v>
      </c>
      <c r="Y642" s="53">
        <f t="shared" si="559"/>
        <v>1</v>
      </c>
      <c r="Z642" s="53">
        <f t="shared" si="560"/>
        <v>0</v>
      </c>
      <c r="AA642" s="53">
        <f t="shared" si="561"/>
        <v>1</v>
      </c>
    </row>
    <row r="643" spans="1:27" ht="18.75" customHeight="1" outlineLevel="6" x14ac:dyDescent="0.3">
      <c r="B643" s="44"/>
      <c r="C643" s="18"/>
      <c r="D643" s="24"/>
      <c r="E643" s="29"/>
      <c r="F643" s="34"/>
      <c r="G643" s="39"/>
      <c r="H643" s="46" t="s">
        <v>691</v>
      </c>
      <c r="I643" s="46" t="s">
        <v>56</v>
      </c>
      <c r="J643" s="47" t="s">
        <v>30</v>
      </c>
      <c r="K643" s="48">
        <v>0.05</v>
      </c>
      <c r="L643" s="49">
        <f>VLOOKUP(H643,[4]Sheet2!K:P,6,0)</f>
        <v>1.9604999999999999E-4</v>
      </c>
      <c r="M643" s="50">
        <f>VLOOKUP(H643,[4]Sheet2!K:Q,7,0)</f>
        <v>8000</v>
      </c>
      <c r="N643" s="51"/>
      <c r="O643" s="51"/>
      <c r="P643" s="51"/>
      <c r="Q643" s="51"/>
      <c r="R643" s="51"/>
      <c r="S643" s="51"/>
      <c r="T643" s="51"/>
      <c r="U643" s="51"/>
      <c r="V643" s="52">
        <f>VLOOKUP(H643,[4]Sheet2!K:N,4,0)</f>
        <v>8000</v>
      </c>
      <c r="W643" s="52">
        <f t="shared" si="558"/>
        <v>0</v>
      </c>
      <c r="X643" s="52">
        <f>VLOOKUP(H643,[4]Sheet2!K:N,4,0)</f>
        <v>8000</v>
      </c>
      <c r="Y643" s="53">
        <f t="shared" si="559"/>
        <v>1</v>
      </c>
      <c r="Z643" s="53">
        <f t="shared" si="560"/>
        <v>0</v>
      </c>
      <c r="AA643" s="53">
        <f t="shared" si="561"/>
        <v>1</v>
      </c>
    </row>
    <row r="644" spans="1:27" ht="18.75" customHeight="1" outlineLevel="5" x14ac:dyDescent="0.3">
      <c r="B644" s="12"/>
      <c r="C644" s="18"/>
      <c r="D644" s="24"/>
      <c r="E644" s="29"/>
      <c r="F644" s="34"/>
      <c r="G644" s="39" t="s">
        <v>128</v>
      </c>
      <c r="H644" s="58"/>
      <c r="I644" s="58"/>
      <c r="J644" s="58"/>
      <c r="K644" s="58"/>
      <c r="L644" s="41">
        <f>SUM(L645:L650)</f>
        <v>3.921E-3</v>
      </c>
      <c r="M644" s="42">
        <f>M645</f>
        <v>8000</v>
      </c>
      <c r="N644" s="40"/>
      <c r="O644" s="40"/>
      <c r="P644" s="40"/>
      <c r="Q644" s="40"/>
      <c r="R644" s="40"/>
      <c r="S644" s="40"/>
      <c r="T644" s="40"/>
      <c r="U644" s="40"/>
      <c r="V644" s="42">
        <f t="shared" ref="V644:X644" si="562">V645</f>
        <v>8000</v>
      </c>
      <c r="W644" s="42">
        <f t="shared" si="562"/>
        <v>0</v>
      </c>
      <c r="X644" s="42">
        <f t="shared" si="562"/>
        <v>8000</v>
      </c>
      <c r="Y644" s="43">
        <f>SUMPRODUCT(Y645:Y650,$K645:$K650)</f>
        <v>1.0000000000000002</v>
      </c>
      <c r="Z644" s="43">
        <f t="shared" ref="Z644:AA644" si="563">SUMPRODUCT(Z645:Z650,$K645:$K650)</f>
        <v>0</v>
      </c>
      <c r="AA644" s="43">
        <f t="shared" si="563"/>
        <v>1.0000000000000002</v>
      </c>
    </row>
    <row r="645" spans="1:27" ht="18.75" customHeight="1" outlineLevel="6" x14ac:dyDescent="0.3">
      <c r="B645" s="44"/>
      <c r="C645" s="18"/>
      <c r="D645" s="24"/>
      <c r="E645" s="29"/>
      <c r="F645" s="34"/>
      <c r="G645" s="39"/>
      <c r="H645" s="46" t="s">
        <v>692</v>
      </c>
      <c r="I645" s="46" t="s">
        <v>45</v>
      </c>
      <c r="J645" s="47" t="s">
        <v>30</v>
      </c>
      <c r="K645" s="48">
        <v>0.05</v>
      </c>
      <c r="L645" s="49">
        <f>VLOOKUP(H645,[4]Sheet2!K:P,6,0)</f>
        <v>1.9604999999999999E-4</v>
      </c>
      <c r="M645" s="50">
        <f>VLOOKUP(H645,[4]Sheet2!K:Q,7,0)</f>
        <v>8000</v>
      </c>
      <c r="N645" s="51"/>
      <c r="O645" s="51"/>
      <c r="P645" s="51"/>
      <c r="Q645" s="51"/>
      <c r="R645" s="51"/>
      <c r="S645" s="51"/>
      <c r="T645" s="51"/>
      <c r="U645" s="51"/>
      <c r="V645" s="52">
        <f>VLOOKUP(H645,[4]Sheet2!K:N,4,0)</f>
        <v>8000</v>
      </c>
      <c r="W645" s="52">
        <f t="shared" ref="W645:W650" si="564">X645-V645</f>
        <v>0</v>
      </c>
      <c r="X645" s="52">
        <f>VLOOKUP(H645,[4]Sheet2!K:N,4,0)</f>
        <v>8000</v>
      </c>
      <c r="Y645" s="53">
        <f t="shared" ref="Y645:Y650" si="565">IFERROR(V645/M645,1)</f>
        <v>1</v>
      </c>
      <c r="Z645" s="53">
        <f t="shared" ref="Z645:Z650" si="566">IFERROR(W645/M645,1)</f>
        <v>0</v>
      </c>
      <c r="AA645" s="53">
        <f t="shared" ref="AA645:AA650" si="567">IFERROR(X645/M645,1)</f>
        <v>1</v>
      </c>
    </row>
    <row r="646" spans="1:27" ht="18.75" customHeight="1" outlineLevel="6" x14ac:dyDescent="0.3">
      <c r="A646" s="60" t="s">
        <v>634</v>
      </c>
      <c r="B646" s="44"/>
      <c r="C646" s="18"/>
      <c r="D646" s="24"/>
      <c r="E646" s="29"/>
      <c r="F646" s="34"/>
      <c r="G646" s="39"/>
      <c r="H646" s="46" t="s">
        <v>693</v>
      </c>
      <c r="I646" s="46" t="s">
        <v>48</v>
      </c>
      <c r="J646" s="47" t="s">
        <v>30</v>
      </c>
      <c r="K646" s="48">
        <v>0.5</v>
      </c>
      <c r="L646" s="49">
        <f>VLOOKUP(H646,[4]Sheet2!K:P,6,0)</f>
        <v>1.9605E-3</v>
      </c>
      <c r="M646" s="50">
        <f>VLOOKUP(H646,[4]Sheet2!K:Q,7,0)</f>
        <v>8000</v>
      </c>
      <c r="N646" s="51"/>
      <c r="O646" s="51"/>
      <c r="P646" s="51"/>
      <c r="Q646" s="51"/>
      <c r="R646" s="51"/>
      <c r="S646" s="51"/>
      <c r="T646" s="51"/>
      <c r="U646" s="51"/>
      <c r="V646" s="52">
        <f>VLOOKUP(H646,[4]Sheet2!K:N,4,0)</f>
        <v>8000</v>
      </c>
      <c r="W646" s="52">
        <f t="shared" si="564"/>
        <v>0</v>
      </c>
      <c r="X646" s="52">
        <f>VLOOKUP(H646,[4]Sheet2!K:N,4,0)</f>
        <v>8000</v>
      </c>
      <c r="Y646" s="53">
        <f t="shared" si="565"/>
        <v>1</v>
      </c>
      <c r="Z646" s="53">
        <f t="shared" si="566"/>
        <v>0</v>
      </c>
      <c r="AA646" s="53">
        <f t="shared" si="567"/>
        <v>1</v>
      </c>
    </row>
    <row r="647" spans="1:27" ht="18.75" customHeight="1" outlineLevel="6" x14ac:dyDescent="0.3">
      <c r="B647" s="44"/>
      <c r="C647" s="18"/>
      <c r="D647" s="24"/>
      <c r="E647" s="29"/>
      <c r="F647" s="34"/>
      <c r="G647" s="39"/>
      <c r="H647" s="46" t="s">
        <v>694</v>
      </c>
      <c r="I647" s="46" t="s">
        <v>50</v>
      </c>
      <c r="J647" s="47" t="s">
        <v>30</v>
      </c>
      <c r="K647" s="48">
        <v>0.15</v>
      </c>
      <c r="L647" s="49">
        <f>VLOOKUP(H647,[4]Sheet2!K:P,6,0)</f>
        <v>5.8814999999999996E-4</v>
      </c>
      <c r="M647" s="50">
        <f>VLOOKUP(H647,[4]Sheet2!K:Q,7,0)</f>
        <v>8000</v>
      </c>
      <c r="N647" s="51"/>
      <c r="O647" s="51"/>
      <c r="P647" s="51"/>
      <c r="Q647" s="51"/>
      <c r="R647" s="51"/>
      <c r="S647" s="51"/>
      <c r="T647" s="51"/>
      <c r="U647" s="51"/>
      <c r="V647" s="52">
        <f>VLOOKUP(H647,[4]Sheet2!K:N,4,0)</f>
        <v>8000</v>
      </c>
      <c r="W647" s="52">
        <f t="shared" si="564"/>
        <v>0</v>
      </c>
      <c r="X647" s="52">
        <f>VLOOKUP(H647,[4]Sheet2!K:N,4,0)</f>
        <v>8000</v>
      </c>
      <c r="Y647" s="53">
        <f t="shared" si="565"/>
        <v>1</v>
      </c>
      <c r="Z647" s="53">
        <f t="shared" si="566"/>
        <v>0</v>
      </c>
      <c r="AA647" s="53">
        <f t="shared" si="567"/>
        <v>1</v>
      </c>
    </row>
    <row r="648" spans="1:27" ht="18.75" customHeight="1" outlineLevel="6" x14ac:dyDescent="0.3">
      <c r="B648" s="44"/>
      <c r="C648" s="18"/>
      <c r="D648" s="24"/>
      <c r="E648" s="29"/>
      <c r="F648" s="34"/>
      <c r="G648" s="39"/>
      <c r="H648" s="46" t="s">
        <v>695</v>
      </c>
      <c r="I648" s="46" t="s">
        <v>52</v>
      </c>
      <c r="J648" s="47" t="s">
        <v>30</v>
      </c>
      <c r="K648" s="48">
        <v>0.2</v>
      </c>
      <c r="L648" s="49">
        <f>VLOOKUP(H648,[4]Sheet2!K:P,6,0)</f>
        <v>7.8419999999999998E-4</v>
      </c>
      <c r="M648" s="50">
        <f>VLOOKUP(H648,[4]Sheet2!K:Q,7,0)</f>
        <v>8000</v>
      </c>
      <c r="N648" s="51"/>
      <c r="O648" s="51"/>
      <c r="P648" s="51"/>
      <c r="Q648" s="51"/>
      <c r="R648" s="51"/>
      <c r="S648" s="51"/>
      <c r="T648" s="51"/>
      <c r="U648" s="51"/>
      <c r="V648" s="52">
        <f>VLOOKUP(H648,[4]Sheet2!K:N,4,0)</f>
        <v>8000</v>
      </c>
      <c r="W648" s="52">
        <f t="shared" si="564"/>
        <v>0</v>
      </c>
      <c r="X648" s="52">
        <f>VLOOKUP(H648,[4]Sheet2!K:N,4,0)</f>
        <v>8000</v>
      </c>
      <c r="Y648" s="53">
        <f t="shared" si="565"/>
        <v>1</v>
      </c>
      <c r="Z648" s="53">
        <f t="shared" si="566"/>
        <v>0</v>
      </c>
      <c r="AA648" s="53">
        <f t="shared" si="567"/>
        <v>1</v>
      </c>
    </row>
    <row r="649" spans="1:27" ht="18.75" customHeight="1" outlineLevel="6" x14ac:dyDescent="0.3">
      <c r="B649" s="44"/>
      <c r="C649" s="18"/>
      <c r="D649" s="24"/>
      <c r="E649" s="29"/>
      <c r="F649" s="34"/>
      <c r="G649" s="39"/>
      <c r="H649" s="46" t="s">
        <v>696</v>
      </c>
      <c r="I649" s="46" t="s">
        <v>54</v>
      </c>
      <c r="J649" s="47" t="s">
        <v>30</v>
      </c>
      <c r="K649" s="48">
        <v>0.05</v>
      </c>
      <c r="L649" s="49">
        <f>VLOOKUP(H649,[4]Sheet2!K:P,6,0)</f>
        <v>1.9604999999999999E-4</v>
      </c>
      <c r="M649" s="50">
        <f>VLOOKUP(H649,[4]Sheet2!K:Q,7,0)</f>
        <v>8000</v>
      </c>
      <c r="N649" s="51"/>
      <c r="O649" s="51"/>
      <c r="P649" s="51"/>
      <c r="Q649" s="51"/>
      <c r="R649" s="51"/>
      <c r="S649" s="51"/>
      <c r="T649" s="51"/>
      <c r="U649" s="51"/>
      <c r="V649" s="52">
        <f>VLOOKUP(H649,[4]Sheet2!K:N,4,0)</f>
        <v>8000</v>
      </c>
      <c r="W649" s="52">
        <f t="shared" si="564"/>
        <v>0</v>
      </c>
      <c r="X649" s="52">
        <f>VLOOKUP(H649,[4]Sheet2!K:N,4,0)</f>
        <v>8000</v>
      </c>
      <c r="Y649" s="53">
        <f t="shared" si="565"/>
        <v>1</v>
      </c>
      <c r="Z649" s="53">
        <f t="shared" si="566"/>
        <v>0</v>
      </c>
      <c r="AA649" s="53">
        <f t="shared" si="567"/>
        <v>1</v>
      </c>
    </row>
    <row r="650" spans="1:27" ht="18.75" customHeight="1" outlineLevel="6" x14ac:dyDescent="0.3">
      <c r="B650" s="44"/>
      <c r="C650" s="18"/>
      <c r="D650" s="24"/>
      <c r="E650" s="29"/>
      <c r="F650" s="34"/>
      <c r="G650" s="39"/>
      <c r="H650" s="46" t="s">
        <v>697</v>
      </c>
      <c r="I650" s="46" t="s">
        <v>56</v>
      </c>
      <c r="J650" s="47" t="s">
        <v>30</v>
      </c>
      <c r="K650" s="48">
        <v>0.05</v>
      </c>
      <c r="L650" s="49">
        <f>VLOOKUP(H650,[4]Sheet2!K:P,6,0)</f>
        <v>1.9604999999999999E-4</v>
      </c>
      <c r="M650" s="50">
        <f>VLOOKUP(H650,[4]Sheet2!K:Q,7,0)</f>
        <v>8000</v>
      </c>
      <c r="N650" s="51"/>
      <c r="O650" s="51"/>
      <c r="P650" s="51"/>
      <c r="Q650" s="51"/>
      <c r="R650" s="51"/>
      <c r="S650" s="51"/>
      <c r="T650" s="51"/>
      <c r="U650" s="51"/>
      <c r="V650" s="52">
        <f>VLOOKUP(H650,[4]Sheet2!K:N,4,0)</f>
        <v>8000</v>
      </c>
      <c r="W650" s="52">
        <f t="shared" si="564"/>
        <v>0</v>
      </c>
      <c r="X650" s="52">
        <f>VLOOKUP(H650,[4]Sheet2!K:N,4,0)</f>
        <v>8000</v>
      </c>
      <c r="Y650" s="53">
        <f t="shared" si="565"/>
        <v>1</v>
      </c>
      <c r="Z650" s="53">
        <f t="shared" si="566"/>
        <v>0</v>
      </c>
      <c r="AA650" s="53">
        <f t="shared" si="567"/>
        <v>1</v>
      </c>
    </row>
    <row r="651" spans="1:27" ht="18.75" customHeight="1" outlineLevel="5" x14ac:dyDescent="0.3">
      <c r="B651" s="12"/>
      <c r="C651" s="18"/>
      <c r="D651" s="24"/>
      <c r="E651" s="29"/>
      <c r="F651" s="34"/>
      <c r="G651" s="39" t="s">
        <v>135</v>
      </c>
      <c r="H651" s="58"/>
      <c r="I651" s="58"/>
      <c r="J651" s="58"/>
      <c r="K651" s="58"/>
      <c r="L651" s="41">
        <f>SUM(L652:L657)</f>
        <v>3.921E-3</v>
      </c>
      <c r="M651" s="42">
        <f>M652</f>
        <v>8000</v>
      </c>
      <c r="N651" s="40"/>
      <c r="O651" s="40"/>
      <c r="P651" s="40"/>
      <c r="Q651" s="40"/>
      <c r="R651" s="40"/>
      <c r="S651" s="40"/>
      <c r="T651" s="40"/>
      <c r="U651" s="40"/>
      <c r="V651" s="42">
        <f t="shared" ref="V651:X651" si="568">V652</f>
        <v>8000</v>
      </c>
      <c r="W651" s="42">
        <f t="shared" si="568"/>
        <v>0</v>
      </c>
      <c r="X651" s="42">
        <f t="shared" si="568"/>
        <v>8000</v>
      </c>
      <c r="Y651" s="43">
        <f>SUMPRODUCT(Y652:Y657,$K652:$K657)</f>
        <v>1.0000000000000002</v>
      </c>
      <c r="Z651" s="43">
        <f t="shared" ref="Z651:AA651" si="569">SUMPRODUCT(Z652:Z657,$K652:$K657)</f>
        <v>0</v>
      </c>
      <c r="AA651" s="43">
        <f t="shared" si="569"/>
        <v>1.0000000000000002</v>
      </c>
    </row>
    <row r="652" spans="1:27" ht="18.75" customHeight="1" outlineLevel="6" x14ac:dyDescent="0.3">
      <c r="B652" s="44"/>
      <c r="C652" s="18"/>
      <c r="D652" s="24"/>
      <c r="E652" s="29"/>
      <c r="F652" s="34"/>
      <c r="G652" s="39"/>
      <c r="H652" s="46" t="s">
        <v>698</v>
      </c>
      <c r="I652" s="46" t="s">
        <v>45</v>
      </c>
      <c r="J652" s="47" t="s">
        <v>30</v>
      </c>
      <c r="K652" s="48">
        <v>0.05</v>
      </c>
      <c r="L652" s="49">
        <f>VLOOKUP(H652,[4]Sheet2!K:P,6,0)</f>
        <v>1.9604999999999999E-4</v>
      </c>
      <c r="M652" s="50">
        <f>VLOOKUP(H652,[4]Sheet2!K:Q,7,0)</f>
        <v>8000</v>
      </c>
      <c r="N652" s="51"/>
      <c r="O652" s="51"/>
      <c r="P652" s="51"/>
      <c r="Q652" s="51"/>
      <c r="R652" s="51"/>
      <c r="S652" s="51"/>
      <c r="T652" s="51"/>
      <c r="U652" s="51"/>
      <c r="V652" s="52">
        <f>VLOOKUP(H652,[4]Sheet2!K:N,4,0)</f>
        <v>8000</v>
      </c>
      <c r="W652" s="52">
        <f t="shared" ref="W652:W657" si="570">X652-V652</f>
        <v>0</v>
      </c>
      <c r="X652" s="52">
        <f>VLOOKUP(H652,[4]Sheet2!K:N,4,0)</f>
        <v>8000</v>
      </c>
      <c r="Y652" s="53">
        <f t="shared" ref="Y652:Y657" si="571">IFERROR(V652/M652,1)</f>
        <v>1</v>
      </c>
      <c r="Z652" s="53">
        <f t="shared" ref="Z652:Z657" si="572">IFERROR(W652/M652,1)</f>
        <v>0</v>
      </c>
      <c r="AA652" s="53">
        <f t="shared" ref="AA652:AA657" si="573">IFERROR(X652/M652,1)</f>
        <v>1</v>
      </c>
    </row>
    <row r="653" spans="1:27" ht="18.75" customHeight="1" outlineLevel="6" x14ac:dyDescent="0.3">
      <c r="A653" s="60" t="s">
        <v>634</v>
      </c>
      <c r="B653" s="44"/>
      <c r="C653" s="18"/>
      <c r="D653" s="24"/>
      <c r="E653" s="29"/>
      <c r="F653" s="34"/>
      <c r="G653" s="39"/>
      <c r="H653" s="46" t="s">
        <v>699</v>
      </c>
      <c r="I653" s="46" t="s">
        <v>48</v>
      </c>
      <c r="J653" s="47" t="s">
        <v>30</v>
      </c>
      <c r="K653" s="48">
        <v>0.5</v>
      </c>
      <c r="L653" s="49">
        <f>VLOOKUP(H653,[4]Sheet2!K:P,6,0)</f>
        <v>1.9605E-3</v>
      </c>
      <c r="M653" s="50">
        <f>VLOOKUP(H653,[4]Sheet2!K:Q,7,0)</f>
        <v>8000</v>
      </c>
      <c r="N653" s="51"/>
      <c r="O653" s="51"/>
      <c r="P653" s="51"/>
      <c r="Q653" s="51"/>
      <c r="R653" s="51"/>
      <c r="S653" s="51"/>
      <c r="T653" s="51"/>
      <c r="U653" s="51"/>
      <c r="V653" s="52">
        <f>VLOOKUP(H653,[4]Sheet2!K:N,4,0)</f>
        <v>8000</v>
      </c>
      <c r="W653" s="52">
        <f t="shared" si="570"/>
        <v>0</v>
      </c>
      <c r="X653" s="52">
        <f>VLOOKUP(H653,[4]Sheet2!K:N,4,0)</f>
        <v>8000</v>
      </c>
      <c r="Y653" s="53">
        <f t="shared" si="571"/>
        <v>1</v>
      </c>
      <c r="Z653" s="53">
        <f t="shared" si="572"/>
        <v>0</v>
      </c>
      <c r="AA653" s="53">
        <f t="shared" si="573"/>
        <v>1</v>
      </c>
    </row>
    <row r="654" spans="1:27" ht="18.75" customHeight="1" outlineLevel="6" x14ac:dyDescent="0.3">
      <c r="B654" s="44"/>
      <c r="C654" s="18"/>
      <c r="D654" s="24"/>
      <c r="E654" s="29"/>
      <c r="F654" s="34"/>
      <c r="G654" s="39"/>
      <c r="H654" s="46" t="s">
        <v>700</v>
      </c>
      <c r="I654" s="46" t="s">
        <v>50</v>
      </c>
      <c r="J654" s="47" t="s">
        <v>30</v>
      </c>
      <c r="K654" s="48">
        <v>0.15</v>
      </c>
      <c r="L654" s="49">
        <f>VLOOKUP(H654,[4]Sheet2!K:P,6,0)</f>
        <v>5.8814999999999996E-4</v>
      </c>
      <c r="M654" s="50">
        <f>VLOOKUP(H654,[4]Sheet2!K:Q,7,0)</f>
        <v>8000</v>
      </c>
      <c r="N654" s="51"/>
      <c r="O654" s="51"/>
      <c r="P654" s="51"/>
      <c r="Q654" s="51"/>
      <c r="R654" s="51"/>
      <c r="S654" s="51"/>
      <c r="T654" s="51"/>
      <c r="U654" s="51"/>
      <c r="V654" s="52">
        <f>VLOOKUP(H654,[4]Sheet2!K:N,4,0)</f>
        <v>8000</v>
      </c>
      <c r="W654" s="52">
        <f t="shared" si="570"/>
        <v>0</v>
      </c>
      <c r="X654" s="52">
        <f>VLOOKUP(H654,[4]Sheet2!K:N,4,0)</f>
        <v>8000</v>
      </c>
      <c r="Y654" s="53">
        <f t="shared" si="571"/>
        <v>1</v>
      </c>
      <c r="Z654" s="53">
        <f t="shared" si="572"/>
        <v>0</v>
      </c>
      <c r="AA654" s="53">
        <f t="shared" si="573"/>
        <v>1</v>
      </c>
    </row>
    <row r="655" spans="1:27" ht="18.75" customHeight="1" outlineLevel="6" x14ac:dyDescent="0.3">
      <c r="B655" s="44"/>
      <c r="C655" s="18"/>
      <c r="D655" s="24"/>
      <c r="E655" s="29"/>
      <c r="F655" s="34"/>
      <c r="G655" s="39"/>
      <c r="H655" s="46" t="s">
        <v>701</v>
      </c>
      <c r="I655" s="46" t="s">
        <v>52</v>
      </c>
      <c r="J655" s="47" t="s">
        <v>30</v>
      </c>
      <c r="K655" s="48">
        <v>0.2</v>
      </c>
      <c r="L655" s="49">
        <f>VLOOKUP(H655,[4]Sheet2!K:P,6,0)</f>
        <v>7.8419999999999998E-4</v>
      </c>
      <c r="M655" s="50">
        <f>VLOOKUP(H655,[4]Sheet2!K:Q,7,0)</f>
        <v>8000</v>
      </c>
      <c r="N655" s="51"/>
      <c r="O655" s="51"/>
      <c r="P655" s="51"/>
      <c r="Q655" s="51"/>
      <c r="R655" s="51"/>
      <c r="S655" s="51"/>
      <c r="T655" s="51"/>
      <c r="U655" s="51"/>
      <c r="V655" s="52">
        <f>VLOOKUP(H655,[4]Sheet2!K:N,4,0)</f>
        <v>8000</v>
      </c>
      <c r="W655" s="52">
        <f t="shared" si="570"/>
        <v>0</v>
      </c>
      <c r="X655" s="52">
        <f>VLOOKUP(H655,[4]Sheet2!K:N,4,0)</f>
        <v>8000</v>
      </c>
      <c r="Y655" s="53">
        <f t="shared" si="571"/>
        <v>1</v>
      </c>
      <c r="Z655" s="53">
        <f t="shared" si="572"/>
        <v>0</v>
      </c>
      <c r="AA655" s="53">
        <f t="shared" si="573"/>
        <v>1</v>
      </c>
    </row>
    <row r="656" spans="1:27" ht="18.75" customHeight="1" outlineLevel="6" x14ac:dyDescent="0.3">
      <c r="B656" s="44"/>
      <c r="C656" s="18"/>
      <c r="D656" s="24"/>
      <c r="E656" s="29"/>
      <c r="F656" s="34"/>
      <c r="G656" s="39"/>
      <c r="H656" s="46" t="s">
        <v>702</v>
      </c>
      <c r="I656" s="46" t="s">
        <v>54</v>
      </c>
      <c r="J656" s="47" t="s">
        <v>30</v>
      </c>
      <c r="K656" s="48">
        <v>0.05</v>
      </c>
      <c r="L656" s="49">
        <f>VLOOKUP(H656,[4]Sheet2!K:P,6,0)</f>
        <v>1.9604999999999999E-4</v>
      </c>
      <c r="M656" s="50">
        <f>VLOOKUP(H656,[4]Sheet2!K:Q,7,0)</f>
        <v>8000</v>
      </c>
      <c r="N656" s="51"/>
      <c r="O656" s="51"/>
      <c r="P656" s="51"/>
      <c r="Q656" s="51"/>
      <c r="R656" s="51"/>
      <c r="S656" s="51"/>
      <c r="T656" s="51"/>
      <c r="U656" s="51"/>
      <c r="V656" s="52">
        <f>VLOOKUP(H656,[4]Sheet2!K:N,4,0)</f>
        <v>8000</v>
      </c>
      <c r="W656" s="52">
        <f t="shared" si="570"/>
        <v>0</v>
      </c>
      <c r="X656" s="52">
        <f>VLOOKUP(H656,[4]Sheet2!K:N,4,0)</f>
        <v>8000</v>
      </c>
      <c r="Y656" s="53">
        <f t="shared" si="571"/>
        <v>1</v>
      </c>
      <c r="Z656" s="53">
        <f t="shared" si="572"/>
        <v>0</v>
      </c>
      <c r="AA656" s="53">
        <f t="shared" si="573"/>
        <v>1</v>
      </c>
    </row>
    <row r="657" spans="1:27" ht="18.75" customHeight="1" outlineLevel="6" x14ac:dyDescent="0.3">
      <c r="B657" s="44"/>
      <c r="C657" s="18"/>
      <c r="D657" s="24"/>
      <c r="E657" s="29"/>
      <c r="F657" s="34"/>
      <c r="G657" s="39"/>
      <c r="H657" s="46" t="s">
        <v>703</v>
      </c>
      <c r="I657" s="46" t="s">
        <v>56</v>
      </c>
      <c r="J657" s="47" t="s">
        <v>30</v>
      </c>
      <c r="K657" s="48">
        <v>0.05</v>
      </c>
      <c r="L657" s="49">
        <f>VLOOKUP(H657,[4]Sheet2!K:P,6,0)</f>
        <v>1.9604999999999999E-4</v>
      </c>
      <c r="M657" s="50">
        <f>VLOOKUP(H657,[4]Sheet2!K:Q,7,0)</f>
        <v>8000</v>
      </c>
      <c r="N657" s="51"/>
      <c r="O657" s="51"/>
      <c r="P657" s="51"/>
      <c r="Q657" s="51"/>
      <c r="R657" s="51"/>
      <c r="S657" s="51"/>
      <c r="T657" s="51"/>
      <c r="U657" s="51"/>
      <c r="V657" s="52">
        <f>VLOOKUP(H657,[4]Sheet2!K:N,4,0)</f>
        <v>8000</v>
      </c>
      <c r="W657" s="52">
        <f t="shared" si="570"/>
        <v>0</v>
      </c>
      <c r="X657" s="52">
        <f>VLOOKUP(H657,[4]Sheet2!K:N,4,0)</f>
        <v>8000</v>
      </c>
      <c r="Y657" s="53">
        <f t="shared" si="571"/>
        <v>1</v>
      </c>
      <c r="Z657" s="53">
        <f t="shared" si="572"/>
        <v>0</v>
      </c>
      <c r="AA657" s="53">
        <f t="shared" si="573"/>
        <v>1</v>
      </c>
    </row>
    <row r="658" spans="1:27" ht="18.75" customHeight="1" outlineLevel="5" x14ac:dyDescent="0.3">
      <c r="B658" s="12"/>
      <c r="C658" s="18"/>
      <c r="D658" s="24"/>
      <c r="E658" s="29"/>
      <c r="F658" s="34"/>
      <c r="G658" s="39" t="s">
        <v>142</v>
      </c>
      <c r="H658" s="58"/>
      <c r="I658" s="58"/>
      <c r="J658" s="58"/>
      <c r="K658" s="58"/>
      <c r="L658" s="41">
        <f>SUM(L659:L664)</f>
        <v>3.921E-3</v>
      </c>
      <c r="M658" s="42">
        <f>M659</f>
        <v>8000</v>
      </c>
      <c r="N658" s="40"/>
      <c r="O658" s="40"/>
      <c r="P658" s="40"/>
      <c r="Q658" s="40"/>
      <c r="R658" s="40"/>
      <c r="S658" s="40"/>
      <c r="T658" s="40"/>
      <c r="U658" s="40"/>
      <c r="V658" s="42">
        <f t="shared" ref="V658:X658" si="574">V659</f>
        <v>8000</v>
      </c>
      <c r="W658" s="42">
        <f t="shared" si="574"/>
        <v>0</v>
      </c>
      <c r="X658" s="42">
        <f t="shared" si="574"/>
        <v>8000</v>
      </c>
      <c r="Y658" s="43">
        <f>SUMPRODUCT(Y659:Y664,$K659:$K664)</f>
        <v>1.0000000000000002</v>
      </c>
      <c r="Z658" s="43">
        <f t="shared" ref="Z658:AA658" si="575">SUMPRODUCT(Z659:Z664,$K659:$K664)</f>
        <v>0</v>
      </c>
      <c r="AA658" s="43">
        <f t="shared" si="575"/>
        <v>1.0000000000000002</v>
      </c>
    </row>
    <row r="659" spans="1:27" ht="18.75" customHeight="1" outlineLevel="6" x14ac:dyDescent="0.3">
      <c r="B659" s="44"/>
      <c r="C659" s="18"/>
      <c r="D659" s="24"/>
      <c r="E659" s="29"/>
      <c r="F659" s="34"/>
      <c r="G659" s="39"/>
      <c r="H659" s="46" t="s">
        <v>704</v>
      </c>
      <c r="I659" s="46" t="s">
        <v>45</v>
      </c>
      <c r="J659" s="47" t="s">
        <v>30</v>
      </c>
      <c r="K659" s="48">
        <v>0.05</v>
      </c>
      <c r="L659" s="49">
        <f>VLOOKUP(H659,[4]Sheet2!K:P,6,0)</f>
        <v>1.9604999999999999E-4</v>
      </c>
      <c r="M659" s="50">
        <f>VLOOKUP(H659,[4]Sheet2!K:Q,7,0)</f>
        <v>8000</v>
      </c>
      <c r="N659" s="51"/>
      <c r="O659" s="51"/>
      <c r="P659" s="51"/>
      <c r="Q659" s="51"/>
      <c r="R659" s="51"/>
      <c r="S659" s="51"/>
      <c r="T659" s="51"/>
      <c r="U659" s="51"/>
      <c r="V659" s="52">
        <f>VLOOKUP(H659,[4]Sheet2!K:N,4,0)</f>
        <v>8000</v>
      </c>
      <c r="W659" s="52">
        <f t="shared" ref="W659:W664" si="576">X659-V659</f>
        <v>0</v>
      </c>
      <c r="X659" s="52">
        <f>VLOOKUP(H659,[4]Sheet2!K:N,4,0)</f>
        <v>8000</v>
      </c>
      <c r="Y659" s="53">
        <f t="shared" ref="Y659:Y664" si="577">IFERROR(V659/M659,1)</f>
        <v>1</v>
      </c>
      <c r="Z659" s="53">
        <f t="shared" ref="Z659:Z664" si="578">IFERROR(W659/M659,1)</f>
        <v>0</v>
      </c>
      <c r="AA659" s="53">
        <f t="shared" ref="AA659:AA664" si="579">IFERROR(X659/M659,1)</f>
        <v>1</v>
      </c>
    </row>
    <row r="660" spans="1:27" ht="18.75" customHeight="1" outlineLevel="6" x14ac:dyDescent="0.3">
      <c r="A660" s="60" t="s">
        <v>634</v>
      </c>
      <c r="B660" s="44"/>
      <c r="C660" s="18"/>
      <c r="D660" s="24"/>
      <c r="E660" s="29"/>
      <c r="F660" s="34"/>
      <c r="G660" s="39"/>
      <c r="H660" s="46" t="s">
        <v>705</v>
      </c>
      <c r="I660" s="46" t="s">
        <v>48</v>
      </c>
      <c r="J660" s="47" t="s">
        <v>30</v>
      </c>
      <c r="K660" s="48">
        <v>0.5</v>
      </c>
      <c r="L660" s="49">
        <f>VLOOKUP(H660,[4]Sheet2!K:P,6,0)</f>
        <v>1.9605E-3</v>
      </c>
      <c r="M660" s="50">
        <f>VLOOKUP(H660,[4]Sheet2!K:Q,7,0)</f>
        <v>8000</v>
      </c>
      <c r="N660" s="51"/>
      <c r="O660" s="51"/>
      <c r="P660" s="51"/>
      <c r="Q660" s="51"/>
      <c r="R660" s="51"/>
      <c r="S660" s="51"/>
      <c r="T660" s="51"/>
      <c r="U660" s="51"/>
      <c r="V660" s="52">
        <f>VLOOKUP(H660,[4]Sheet2!K:N,4,0)</f>
        <v>8000</v>
      </c>
      <c r="W660" s="52">
        <f t="shared" si="576"/>
        <v>0</v>
      </c>
      <c r="X660" s="52">
        <f>VLOOKUP(H660,[4]Sheet2!K:N,4,0)</f>
        <v>8000</v>
      </c>
      <c r="Y660" s="53">
        <f t="shared" si="577"/>
        <v>1</v>
      </c>
      <c r="Z660" s="53">
        <f t="shared" si="578"/>
        <v>0</v>
      </c>
      <c r="AA660" s="53">
        <f t="shared" si="579"/>
        <v>1</v>
      </c>
    </row>
    <row r="661" spans="1:27" ht="18.75" customHeight="1" outlineLevel="6" x14ac:dyDescent="0.3">
      <c r="B661" s="44"/>
      <c r="C661" s="18"/>
      <c r="D661" s="24"/>
      <c r="E661" s="29"/>
      <c r="F661" s="34"/>
      <c r="G661" s="39"/>
      <c r="H661" s="46" t="s">
        <v>706</v>
      </c>
      <c r="I661" s="46" t="s">
        <v>50</v>
      </c>
      <c r="J661" s="47" t="s">
        <v>30</v>
      </c>
      <c r="K661" s="48">
        <v>0.15</v>
      </c>
      <c r="L661" s="49">
        <f>VLOOKUP(H661,[4]Sheet2!K:P,6,0)</f>
        <v>5.8814999999999996E-4</v>
      </c>
      <c r="M661" s="50">
        <f>VLOOKUP(H661,[4]Sheet2!K:Q,7,0)</f>
        <v>8000</v>
      </c>
      <c r="N661" s="51"/>
      <c r="O661" s="51"/>
      <c r="P661" s="51"/>
      <c r="Q661" s="51"/>
      <c r="R661" s="51"/>
      <c r="S661" s="51"/>
      <c r="T661" s="51"/>
      <c r="U661" s="51"/>
      <c r="V661" s="52">
        <f>VLOOKUP(H661,[4]Sheet2!K:N,4,0)</f>
        <v>8000</v>
      </c>
      <c r="W661" s="52">
        <f t="shared" si="576"/>
        <v>0</v>
      </c>
      <c r="X661" s="52">
        <f>VLOOKUP(H661,[4]Sheet2!K:N,4,0)</f>
        <v>8000</v>
      </c>
      <c r="Y661" s="53">
        <f t="shared" si="577"/>
        <v>1</v>
      </c>
      <c r="Z661" s="53">
        <f t="shared" si="578"/>
        <v>0</v>
      </c>
      <c r="AA661" s="53">
        <f t="shared" si="579"/>
        <v>1</v>
      </c>
    </row>
    <row r="662" spans="1:27" ht="18.75" customHeight="1" outlineLevel="6" x14ac:dyDescent="0.3">
      <c r="B662" s="44"/>
      <c r="C662" s="18"/>
      <c r="D662" s="24"/>
      <c r="E662" s="29"/>
      <c r="F662" s="34"/>
      <c r="G662" s="39"/>
      <c r="H662" s="46" t="s">
        <v>707</v>
      </c>
      <c r="I662" s="46" t="s">
        <v>52</v>
      </c>
      <c r="J662" s="47" t="s">
        <v>30</v>
      </c>
      <c r="K662" s="48">
        <v>0.2</v>
      </c>
      <c r="L662" s="49">
        <f>VLOOKUP(H662,[4]Sheet2!K:P,6,0)</f>
        <v>7.8419999999999998E-4</v>
      </c>
      <c r="M662" s="50">
        <f>VLOOKUP(H662,[4]Sheet2!K:Q,7,0)</f>
        <v>8000</v>
      </c>
      <c r="N662" s="51"/>
      <c r="O662" s="51"/>
      <c r="P662" s="51"/>
      <c r="Q662" s="51"/>
      <c r="R662" s="51"/>
      <c r="S662" s="51"/>
      <c r="T662" s="51"/>
      <c r="U662" s="51"/>
      <c r="V662" s="52">
        <f>VLOOKUP(H662,[4]Sheet2!K:N,4,0)</f>
        <v>8000</v>
      </c>
      <c r="W662" s="52">
        <f t="shared" si="576"/>
        <v>0</v>
      </c>
      <c r="X662" s="52">
        <f>VLOOKUP(H662,[4]Sheet2!K:N,4,0)</f>
        <v>8000</v>
      </c>
      <c r="Y662" s="53">
        <f t="shared" si="577"/>
        <v>1</v>
      </c>
      <c r="Z662" s="53">
        <f t="shared" si="578"/>
        <v>0</v>
      </c>
      <c r="AA662" s="53">
        <f t="shared" si="579"/>
        <v>1</v>
      </c>
    </row>
    <row r="663" spans="1:27" ht="18.75" customHeight="1" outlineLevel="6" x14ac:dyDescent="0.3">
      <c r="B663" s="44"/>
      <c r="C663" s="18"/>
      <c r="D663" s="24"/>
      <c r="E663" s="29"/>
      <c r="F663" s="34"/>
      <c r="G663" s="39"/>
      <c r="H663" s="46" t="s">
        <v>708</v>
      </c>
      <c r="I663" s="46" t="s">
        <v>54</v>
      </c>
      <c r="J663" s="47" t="s">
        <v>30</v>
      </c>
      <c r="K663" s="48">
        <v>0.05</v>
      </c>
      <c r="L663" s="49">
        <f>VLOOKUP(H663,[4]Sheet2!K:P,6,0)</f>
        <v>1.9604999999999999E-4</v>
      </c>
      <c r="M663" s="50">
        <f>VLOOKUP(H663,[4]Sheet2!K:Q,7,0)</f>
        <v>8000</v>
      </c>
      <c r="N663" s="51"/>
      <c r="O663" s="51"/>
      <c r="P663" s="51"/>
      <c r="Q663" s="51"/>
      <c r="R663" s="51"/>
      <c r="S663" s="51"/>
      <c r="T663" s="51"/>
      <c r="U663" s="51"/>
      <c r="V663" s="52">
        <f>VLOOKUP(H663,[4]Sheet2!K:N,4,0)</f>
        <v>8000</v>
      </c>
      <c r="W663" s="52">
        <f t="shared" si="576"/>
        <v>0</v>
      </c>
      <c r="X663" s="52">
        <f>VLOOKUP(H663,[4]Sheet2!K:N,4,0)</f>
        <v>8000</v>
      </c>
      <c r="Y663" s="53">
        <f t="shared" si="577"/>
        <v>1</v>
      </c>
      <c r="Z663" s="53">
        <f t="shared" si="578"/>
        <v>0</v>
      </c>
      <c r="AA663" s="53">
        <f t="shared" si="579"/>
        <v>1</v>
      </c>
    </row>
    <row r="664" spans="1:27" ht="18.75" customHeight="1" outlineLevel="6" x14ac:dyDescent="0.3">
      <c r="B664" s="44"/>
      <c r="C664" s="18"/>
      <c r="D664" s="24"/>
      <c r="E664" s="29"/>
      <c r="F664" s="34"/>
      <c r="G664" s="39"/>
      <c r="H664" s="46" t="s">
        <v>709</v>
      </c>
      <c r="I664" s="46" t="s">
        <v>56</v>
      </c>
      <c r="J664" s="47" t="s">
        <v>30</v>
      </c>
      <c r="K664" s="48">
        <v>0.05</v>
      </c>
      <c r="L664" s="49">
        <f>VLOOKUP(H664,[4]Sheet2!K:P,6,0)</f>
        <v>1.9604999999999999E-4</v>
      </c>
      <c r="M664" s="50">
        <f>VLOOKUP(H664,[4]Sheet2!K:Q,7,0)</f>
        <v>8000</v>
      </c>
      <c r="N664" s="51"/>
      <c r="O664" s="51"/>
      <c r="P664" s="51"/>
      <c r="Q664" s="51"/>
      <c r="R664" s="51"/>
      <c r="S664" s="51"/>
      <c r="T664" s="51"/>
      <c r="U664" s="51"/>
      <c r="V664" s="52">
        <f>VLOOKUP(H664,[4]Sheet2!K:N,4,0)</f>
        <v>8000</v>
      </c>
      <c r="W664" s="52">
        <f t="shared" si="576"/>
        <v>0</v>
      </c>
      <c r="X664" s="52">
        <f>VLOOKUP(H664,[4]Sheet2!K:N,4,0)</f>
        <v>8000</v>
      </c>
      <c r="Y664" s="53">
        <f t="shared" si="577"/>
        <v>1</v>
      </c>
      <c r="Z664" s="53">
        <f t="shared" si="578"/>
        <v>0</v>
      </c>
      <c r="AA664" s="53">
        <f t="shared" si="579"/>
        <v>1</v>
      </c>
    </row>
    <row r="665" spans="1:27" ht="18.75" customHeight="1" outlineLevel="5" x14ac:dyDescent="0.3">
      <c r="B665" s="12"/>
      <c r="C665" s="18"/>
      <c r="D665" s="24"/>
      <c r="E665" s="29"/>
      <c r="F665" s="34"/>
      <c r="G665" s="39" t="s">
        <v>149</v>
      </c>
      <c r="H665" s="58"/>
      <c r="I665" s="58"/>
      <c r="J665" s="58"/>
      <c r="K665" s="58"/>
      <c r="L665" s="41">
        <f>SUM(L666:L671)</f>
        <v>4.6160000000000003E-3</v>
      </c>
      <c r="M665" s="42">
        <f>M666</f>
        <v>7750</v>
      </c>
      <c r="N665" s="40"/>
      <c r="O665" s="40"/>
      <c r="P665" s="40"/>
      <c r="Q665" s="40"/>
      <c r="R665" s="40"/>
      <c r="S665" s="40"/>
      <c r="T665" s="40"/>
      <c r="U665" s="40"/>
      <c r="V665" s="42">
        <f t="shared" ref="V665:X665" si="580">V666</f>
        <v>7750</v>
      </c>
      <c r="W665" s="42">
        <f t="shared" si="580"/>
        <v>0</v>
      </c>
      <c r="X665" s="42">
        <f t="shared" si="580"/>
        <v>7750</v>
      </c>
      <c r="Y665" s="43">
        <f>SUMPRODUCT(Y666:Y671,$K666:$K671)</f>
        <v>0.81522580645161302</v>
      </c>
      <c r="Z665" s="43">
        <f t="shared" ref="Z665" si="581">SUMPRODUCT(Z666:Z671,$K666:$K671)</f>
        <v>0</v>
      </c>
      <c r="AA665" s="43">
        <f>SUMPRODUCT(AA666:AA671,$K666:$K671)</f>
        <v>0.84000000000000008</v>
      </c>
    </row>
    <row r="666" spans="1:27" ht="18.75" customHeight="1" outlineLevel="6" x14ac:dyDescent="0.3">
      <c r="B666" s="44"/>
      <c r="C666" s="18"/>
      <c r="D666" s="24"/>
      <c r="E666" s="29"/>
      <c r="F666" s="34"/>
      <c r="G666" s="39"/>
      <c r="H666" s="46" t="s">
        <v>710</v>
      </c>
      <c r="I666" s="46" t="s">
        <v>45</v>
      </c>
      <c r="J666" s="47" t="s">
        <v>30</v>
      </c>
      <c r="K666" s="48">
        <v>0.05</v>
      </c>
      <c r="L666" s="49">
        <f>VLOOKUP(H666,[4]Sheet2!K:P,6,0)</f>
        <v>2.3080000000000003E-4</v>
      </c>
      <c r="M666" s="50">
        <f>VLOOKUP(H666,[4]Sheet2!K:Q,7,0)</f>
        <v>7750</v>
      </c>
      <c r="N666" s="51"/>
      <c r="O666" s="51"/>
      <c r="P666" s="51"/>
      <c r="Q666" s="51"/>
      <c r="R666" s="51"/>
      <c r="S666" s="51"/>
      <c r="T666" s="51"/>
      <c r="U666" s="51"/>
      <c r="V666" s="52">
        <f>VLOOKUP(H666,[4]Sheet2!K:N,4,0)</f>
        <v>7750</v>
      </c>
      <c r="W666" s="52">
        <f t="shared" ref="W666:W671" si="582">X666-V666</f>
        <v>0</v>
      </c>
      <c r="X666" s="52">
        <f>VLOOKUP(H666,[4]Sheet2!K:N,4,0)</f>
        <v>7750</v>
      </c>
      <c r="Y666" s="53">
        <f t="shared" ref="Y666:Y671" si="583">IFERROR(V666/M666,1)</f>
        <v>1</v>
      </c>
      <c r="Z666" s="53">
        <f t="shared" ref="Z666:Z671" si="584">IFERROR(W666/M666,1)</f>
        <v>0</v>
      </c>
      <c r="AA666" s="53">
        <f t="shared" ref="AA666:AA671" si="585">IFERROR(X666/M666,1)</f>
        <v>1</v>
      </c>
    </row>
    <row r="667" spans="1:27" ht="18.75" customHeight="1" outlineLevel="6" x14ac:dyDescent="0.3">
      <c r="A667" s="60" t="s">
        <v>711</v>
      </c>
      <c r="B667" s="44"/>
      <c r="C667" s="18"/>
      <c r="D667" s="24"/>
      <c r="E667" s="29"/>
      <c r="F667" s="34"/>
      <c r="G667" s="39"/>
      <c r="H667" s="46" t="s">
        <v>712</v>
      </c>
      <c r="I667" s="46" t="s">
        <v>48</v>
      </c>
      <c r="J667" s="47" t="s">
        <v>30</v>
      </c>
      <c r="K667" s="48">
        <v>0.5</v>
      </c>
      <c r="L667" s="49">
        <f>VLOOKUP(H667,[4]Sheet2!K:P,6,0)</f>
        <v>2.3080000000000002E-3</v>
      </c>
      <c r="M667" s="50">
        <f>VLOOKUP(H667,[4]Sheet2!K:Q,7,0)</f>
        <v>7750</v>
      </c>
      <c r="N667" s="51"/>
      <c r="O667" s="51"/>
      <c r="P667" s="51"/>
      <c r="Q667" s="51"/>
      <c r="R667" s="51"/>
      <c r="S667" s="51"/>
      <c r="T667" s="51"/>
      <c r="U667" s="51"/>
      <c r="V667" s="52">
        <f>VLOOKUP(H667,[4]Sheet2!K:N,4,0)</f>
        <v>7750</v>
      </c>
      <c r="W667" s="52">
        <f t="shared" si="582"/>
        <v>0</v>
      </c>
      <c r="X667" s="52">
        <f>VLOOKUP(H667,[4]Sheet2!K:N,4,0)</f>
        <v>7750</v>
      </c>
      <c r="Y667" s="53">
        <f t="shared" si="583"/>
        <v>1</v>
      </c>
      <c r="Z667" s="53">
        <f t="shared" si="584"/>
        <v>0</v>
      </c>
      <c r="AA667" s="53">
        <f t="shared" si="585"/>
        <v>1</v>
      </c>
    </row>
    <row r="668" spans="1:27" ht="18.75" customHeight="1" outlineLevel="6" x14ac:dyDescent="0.3">
      <c r="B668" s="44"/>
      <c r="C668" s="18"/>
      <c r="D668" s="24"/>
      <c r="E668" s="29"/>
      <c r="F668" s="34"/>
      <c r="G668" s="39"/>
      <c r="H668" s="46" t="s">
        <v>713</v>
      </c>
      <c r="I668" s="46" t="s">
        <v>50</v>
      </c>
      <c r="J668" s="47" t="s">
        <v>30</v>
      </c>
      <c r="K668" s="48">
        <v>0.15</v>
      </c>
      <c r="L668" s="49">
        <f>VLOOKUP(H668,[4]Sheet2!K:P,6,0)</f>
        <v>6.9240000000000002E-4</v>
      </c>
      <c r="M668" s="50">
        <f>VLOOKUP(H668,[4]Sheet2!K:Q,7,0)</f>
        <v>7750</v>
      </c>
      <c r="N668" s="51"/>
      <c r="O668" s="51"/>
      <c r="P668" s="51"/>
      <c r="Q668" s="51"/>
      <c r="R668" s="51"/>
      <c r="S668" s="51"/>
      <c r="T668" s="51"/>
      <c r="U668" s="51"/>
      <c r="V668" s="52">
        <f>VLOOKUP(H668,[4]Sheet2!K:N,4,0)</f>
        <v>7750</v>
      </c>
      <c r="W668" s="52">
        <f t="shared" si="582"/>
        <v>0</v>
      </c>
      <c r="X668" s="52">
        <f>VLOOKUP(H668,[4]Sheet2!K:N,4,0)</f>
        <v>7750</v>
      </c>
      <c r="Y668" s="53">
        <f t="shared" si="583"/>
        <v>1</v>
      </c>
      <c r="Z668" s="53">
        <f t="shared" si="584"/>
        <v>0</v>
      </c>
      <c r="AA668" s="53">
        <f t="shared" si="585"/>
        <v>1</v>
      </c>
    </row>
    <row r="669" spans="1:27" ht="18.75" customHeight="1" outlineLevel="6" x14ac:dyDescent="0.3">
      <c r="B669" s="44"/>
      <c r="C669" s="18"/>
      <c r="D669" s="24"/>
      <c r="E669" s="29"/>
      <c r="F669" s="34"/>
      <c r="G669" s="39"/>
      <c r="H669" s="46" t="s">
        <v>714</v>
      </c>
      <c r="I669" s="46" t="s">
        <v>52</v>
      </c>
      <c r="J669" s="47" t="s">
        <v>30</v>
      </c>
      <c r="K669" s="48">
        <v>0.2</v>
      </c>
      <c r="L669" s="49">
        <f>VLOOKUP(H669,[4]Sheet2!K:P,6,0)</f>
        <v>9.2320000000000011E-4</v>
      </c>
      <c r="M669" s="50">
        <f>VLOOKUP(H669,[4]Sheet2!K:Q,7,0)</f>
        <v>7750</v>
      </c>
      <c r="N669" s="51"/>
      <c r="O669" s="51"/>
      <c r="P669" s="51"/>
      <c r="Q669" s="51"/>
      <c r="R669" s="51"/>
      <c r="S669" s="51"/>
      <c r="T669" s="51"/>
      <c r="U669" s="51"/>
      <c r="V669" s="52">
        <f>VLOOKUP(H669,[4]Sheet2!K:N,4,0)</f>
        <v>4465</v>
      </c>
      <c r="W669" s="52">
        <f t="shared" si="582"/>
        <v>0</v>
      </c>
      <c r="X669" s="52">
        <f>VLOOKUP(H669,[4]Sheet2!K:N,4,0)</f>
        <v>4465</v>
      </c>
      <c r="Y669" s="53">
        <f t="shared" si="583"/>
        <v>0.57612903225806456</v>
      </c>
      <c r="Z669" s="53">
        <f t="shared" si="584"/>
        <v>0</v>
      </c>
      <c r="AA669" s="53">
        <v>0.7</v>
      </c>
    </row>
    <row r="670" spans="1:27" ht="18.75" customHeight="1" outlineLevel="6" x14ac:dyDescent="0.3">
      <c r="B670" s="44"/>
      <c r="C670" s="18"/>
      <c r="D670" s="24"/>
      <c r="E670" s="29"/>
      <c r="F670" s="34"/>
      <c r="G670" s="39"/>
      <c r="H670" s="46" t="s">
        <v>715</v>
      </c>
      <c r="I670" s="46" t="s">
        <v>54</v>
      </c>
      <c r="J670" s="47" t="s">
        <v>30</v>
      </c>
      <c r="K670" s="48">
        <v>0.05</v>
      </c>
      <c r="L670" s="49">
        <f>VLOOKUP(H670,[4]Sheet2!K:P,6,0)</f>
        <v>2.3080000000000003E-4</v>
      </c>
      <c r="M670" s="50">
        <f>VLOOKUP(H670,[4]Sheet2!K:Q,7,0)</f>
        <v>7750</v>
      </c>
      <c r="N670" s="51"/>
      <c r="O670" s="51"/>
      <c r="P670" s="51"/>
      <c r="Q670" s="51"/>
      <c r="R670" s="51"/>
      <c r="S670" s="51"/>
      <c r="T670" s="51"/>
      <c r="U670" s="51"/>
      <c r="V670" s="52">
        <f>VLOOKUP(H670,[4]Sheet2!K:N,4,0)</f>
        <v>0</v>
      </c>
      <c r="W670" s="52">
        <f t="shared" si="582"/>
        <v>0</v>
      </c>
      <c r="X670" s="52">
        <f>VLOOKUP(H670,[4]Sheet2!K:N,4,0)</f>
        <v>0</v>
      </c>
      <c r="Y670" s="53">
        <f t="shared" si="583"/>
        <v>0</v>
      </c>
      <c r="Z670" s="53">
        <f t="shared" si="584"/>
        <v>0</v>
      </c>
      <c r="AA670" s="53">
        <f t="shared" si="585"/>
        <v>0</v>
      </c>
    </row>
    <row r="671" spans="1:27" ht="18.75" customHeight="1" outlineLevel="6" x14ac:dyDescent="0.3">
      <c r="B671" s="44"/>
      <c r="C671" s="18"/>
      <c r="D671" s="24"/>
      <c r="E671" s="29"/>
      <c r="F671" s="34"/>
      <c r="G671" s="39"/>
      <c r="H671" s="46" t="s">
        <v>716</v>
      </c>
      <c r="I671" s="46" t="s">
        <v>56</v>
      </c>
      <c r="J671" s="47" t="s">
        <v>30</v>
      </c>
      <c r="K671" s="48">
        <v>0.05</v>
      </c>
      <c r="L671" s="49">
        <f>VLOOKUP(H671,[4]Sheet2!K:P,6,0)</f>
        <v>2.3080000000000003E-4</v>
      </c>
      <c r="M671" s="50">
        <f>VLOOKUP(H671,[4]Sheet2!K:Q,7,0)</f>
        <v>7750</v>
      </c>
      <c r="N671" s="51"/>
      <c r="O671" s="51"/>
      <c r="P671" s="51"/>
      <c r="Q671" s="51"/>
      <c r="R671" s="51"/>
      <c r="S671" s="51"/>
      <c r="T671" s="51"/>
      <c r="U671" s="51"/>
      <c r="V671" s="52">
        <f>VLOOKUP(H671,[4]Sheet2!K:N,4,0)</f>
        <v>0</v>
      </c>
      <c r="W671" s="52">
        <f t="shared" si="582"/>
        <v>0</v>
      </c>
      <c r="X671" s="52">
        <f>VLOOKUP(H671,[4]Sheet2!K:N,4,0)</f>
        <v>0</v>
      </c>
      <c r="Y671" s="53">
        <f t="shared" si="583"/>
        <v>0</v>
      </c>
      <c r="Z671" s="53">
        <f t="shared" si="584"/>
        <v>0</v>
      </c>
      <c r="AA671" s="53">
        <f t="shared" si="585"/>
        <v>0</v>
      </c>
    </row>
    <row r="672" spans="1:27" ht="18.75" customHeight="1" outlineLevel="5" x14ac:dyDescent="0.3">
      <c r="B672" s="12"/>
      <c r="C672" s="18"/>
      <c r="D672" s="24"/>
      <c r="E672" s="29"/>
      <c r="F672" s="34"/>
      <c r="G672" s="39" t="s">
        <v>157</v>
      </c>
      <c r="H672" s="58"/>
      <c r="I672" s="58"/>
      <c r="J672" s="58"/>
      <c r="K672" s="58"/>
      <c r="L672" s="41">
        <f>SUM(L673:L678)</f>
        <v>6.0499999999999996E-4</v>
      </c>
      <c r="M672" s="42">
        <f>M673</f>
        <v>2504</v>
      </c>
      <c r="N672" s="40"/>
      <c r="O672" s="40"/>
      <c r="P672" s="40"/>
      <c r="Q672" s="40"/>
      <c r="R672" s="40"/>
      <c r="S672" s="40"/>
      <c r="T672" s="40"/>
      <c r="U672" s="40"/>
      <c r="V672" s="42">
        <f t="shared" ref="V672:X672" si="586">V673</f>
        <v>2504</v>
      </c>
      <c r="W672" s="42">
        <f t="shared" si="586"/>
        <v>0</v>
      </c>
      <c r="X672" s="42">
        <f t="shared" si="586"/>
        <v>2504</v>
      </c>
      <c r="Y672" s="43">
        <f>SUMPRODUCT(Y673:Y678,$K673:$K678)</f>
        <v>1.0000000000000002</v>
      </c>
      <c r="Z672" s="43">
        <f t="shared" ref="Z672" si="587">SUMPRODUCT(Z673:Z678,$K673:$K678)</f>
        <v>0</v>
      </c>
      <c r="AA672" s="43">
        <f>SUMPRODUCT(AA673:AA678,$K673:$K678)</f>
        <v>1.0000000000000002</v>
      </c>
    </row>
    <row r="673" spans="1:27" ht="18.75" customHeight="1" outlineLevel="6" x14ac:dyDescent="0.3">
      <c r="B673" s="44"/>
      <c r="C673" s="18"/>
      <c r="D673" s="24"/>
      <c r="E673" s="29"/>
      <c r="F673" s="34"/>
      <c r="G673" s="39"/>
      <c r="H673" s="46" t="s">
        <v>717</v>
      </c>
      <c r="I673" s="46" t="s">
        <v>45</v>
      </c>
      <c r="J673" s="47" t="s">
        <v>30</v>
      </c>
      <c r="K673" s="48">
        <v>0.05</v>
      </c>
      <c r="L673" s="49">
        <f>VLOOKUP(H673,[4]Sheet2!K:P,6,0)</f>
        <v>3.0249999999999997E-5</v>
      </c>
      <c r="M673" s="50">
        <f>VLOOKUP(H673,[4]Sheet2!K:Q,7,0)</f>
        <v>2504</v>
      </c>
      <c r="N673" s="51"/>
      <c r="O673" s="51"/>
      <c r="P673" s="51"/>
      <c r="Q673" s="51"/>
      <c r="R673" s="51"/>
      <c r="S673" s="51"/>
      <c r="T673" s="51"/>
      <c r="U673" s="51"/>
      <c r="V673" s="52">
        <f>VLOOKUP(H673,[4]Sheet2!K:N,4,0)</f>
        <v>2504</v>
      </c>
      <c r="W673" s="52">
        <f t="shared" ref="W673:W678" si="588">X673-V673</f>
        <v>0</v>
      </c>
      <c r="X673" s="52">
        <f>VLOOKUP(H673,[4]Sheet2!K:N,4,0)</f>
        <v>2504</v>
      </c>
      <c r="Y673" s="53">
        <f t="shared" ref="Y673:Y678" si="589">IFERROR(V673/M673,1)</f>
        <v>1</v>
      </c>
      <c r="Z673" s="53">
        <f t="shared" ref="Z673:Z678" si="590">IFERROR(W673/M673,1)</f>
        <v>0</v>
      </c>
      <c r="AA673" s="53">
        <f t="shared" ref="AA673:AA678" si="591">IFERROR(X673/M673,1)</f>
        <v>1</v>
      </c>
    </row>
    <row r="674" spans="1:27" ht="18.75" customHeight="1" outlineLevel="6" x14ac:dyDescent="0.3">
      <c r="A674" s="60" t="s">
        <v>711</v>
      </c>
      <c r="B674" s="44"/>
      <c r="C674" s="18"/>
      <c r="D674" s="24"/>
      <c r="E674" s="29"/>
      <c r="F674" s="34"/>
      <c r="G674" s="39"/>
      <c r="H674" s="46" t="s">
        <v>718</v>
      </c>
      <c r="I674" s="46" t="s">
        <v>48</v>
      </c>
      <c r="J674" s="47" t="s">
        <v>30</v>
      </c>
      <c r="K674" s="48">
        <v>0.5</v>
      </c>
      <c r="L674" s="49">
        <f>VLOOKUP(H674,[4]Sheet2!K:P,6,0)</f>
        <v>3.0249999999999998E-4</v>
      </c>
      <c r="M674" s="50">
        <f>VLOOKUP(H674,[4]Sheet2!K:Q,7,0)</f>
        <v>2504</v>
      </c>
      <c r="N674" s="51"/>
      <c r="O674" s="51"/>
      <c r="P674" s="51"/>
      <c r="Q674" s="51"/>
      <c r="R674" s="51"/>
      <c r="S674" s="51"/>
      <c r="T674" s="51"/>
      <c r="U674" s="51"/>
      <c r="V674" s="52">
        <f>VLOOKUP(H674,[4]Sheet2!K:N,4,0)</f>
        <v>2504</v>
      </c>
      <c r="W674" s="52">
        <f t="shared" si="588"/>
        <v>0</v>
      </c>
      <c r="X674" s="52">
        <f>VLOOKUP(H674,[4]Sheet2!K:N,4,0)</f>
        <v>2504</v>
      </c>
      <c r="Y674" s="53">
        <f t="shared" si="589"/>
        <v>1</v>
      </c>
      <c r="Z674" s="53">
        <f t="shared" si="590"/>
        <v>0</v>
      </c>
      <c r="AA674" s="53">
        <f t="shared" si="591"/>
        <v>1</v>
      </c>
    </row>
    <row r="675" spans="1:27" ht="18.75" customHeight="1" outlineLevel="6" x14ac:dyDescent="0.3">
      <c r="B675" s="44"/>
      <c r="C675" s="18"/>
      <c r="D675" s="24"/>
      <c r="E675" s="29"/>
      <c r="F675" s="34"/>
      <c r="G675" s="39"/>
      <c r="H675" s="46" t="s">
        <v>719</v>
      </c>
      <c r="I675" s="46" t="s">
        <v>50</v>
      </c>
      <c r="J675" s="47" t="s">
        <v>30</v>
      </c>
      <c r="K675" s="48">
        <v>0.15</v>
      </c>
      <c r="L675" s="49">
        <f>VLOOKUP(H675,[4]Sheet2!K:P,6,0)</f>
        <v>9.0749999999999997E-5</v>
      </c>
      <c r="M675" s="50">
        <f>VLOOKUP(H675,[4]Sheet2!K:Q,7,0)</f>
        <v>2504</v>
      </c>
      <c r="N675" s="51"/>
      <c r="O675" s="51"/>
      <c r="P675" s="51"/>
      <c r="Q675" s="51"/>
      <c r="R675" s="51"/>
      <c r="S675" s="51"/>
      <c r="T675" s="51"/>
      <c r="U675" s="51"/>
      <c r="V675" s="52">
        <f>VLOOKUP(H675,[4]Sheet2!K:N,4,0)</f>
        <v>2504</v>
      </c>
      <c r="W675" s="52">
        <f t="shared" si="588"/>
        <v>0</v>
      </c>
      <c r="X675" s="52">
        <f>VLOOKUP(H675,[4]Sheet2!K:N,4,0)</f>
        <v>2504</v>
      </c>
      <c r="Y675" s="53">
        <f t="shared" si="589"/>
        <v>1</v>
      </c>
      <c r="Z675" s="53">
        <f t="shared" si="590"/>
        <v>0</v>
      </c>
      <c r="AA675" s="53">
        <f t="shared" si="591"/>
        <v>1</v>
      </c>
    </row>
    <row r="676" spans="1:27" ht="18.75" customHeight="1" outlineLevel="6" x14ac:dyDescent="0.3">
      <c r="B676" s="44"/>
      <c r="C676" s="18"/>
      <c r="D676" s="24"/>
      <c r="E676" s="29"/>
      <c r="F676" s="34"/>
      <c r="G676" s="39"/>
      <c r="H676" s="46" t="s">
        <v>720</v>
      </c>
      <c r="I676" s="46" t="s">
        <v>52</v>
      </c>
      <c r="J676" s="47" t="s">
        <v>30</v>
      </c>
      <c r="K676" s="48">
        <v>0.2</v>
      </c>
      <c r="L676" s="49">
        <f>VLOOKUP(H676,[4]Sheet2!K:P,6,0)</f>
        <v>1.2099999999999999E-4</v>
      </c>
      <c r="M676" s="50">
        <f>VLOOKUP(H676,[4]Sheet2!K:Q,7,0)</f>
        <v>2504</v>
      </c>
      <c r="N676" s="51"/>
      <c r="O676" s="51"/>
      <c r="P676" s="51"/>
      <c r="Q676" s="51"/>
      <c r="R676" s="51"/>
      <c r="S676" s="51"/>
      <c r="T676" s="51"/>
      <c r="U676" s="51"/>
      <c r="V676" s="52">
        <f>VLOOKUP(H676,[4]Sheet2!K:N,4,0)</f>
        <v>2504</v>
      </c>
      <c r="W676" s="52">
        <f t="shared" si="588"/>
        <v>0</v>
      </c>
      <c r="X676" s="52">
        <f>VLOOKUP(H676,[4]Sheet2!K:N,4,0)</f>
        <v>2504</v>
      </c>
      <c r="Y676" s="53">
        <f t="shared" si="589"/>
        <v>1</v>
      </c>
      <c r="Z676" s="53">
        <f t="shared" si="590"/>
        <v>0</v>
      </c>
      <c r="AA676" s="53">
        <f t="shared" si="591"/>
        <v>1</v>
      </c>
    </row>
    <row r="677" spans="1:27" ht="18.75" customHeight="1" outlineLevel="6" x14ac:dyDescent="0.3">
      <c r="B677" s="44"/>
      <c r="C677" s="18"/>
      <c r="D677" s="24"/>
      <c r="E677" s="29"/>
      <c r="F677" s="34"/>
      <c r="G677" s="39"/>
      <c r="H677" s="46" t="s">
        <v>721</v>
      </c>
      <c r="I677" s="46" t="s">
        <v>54</v>
      </c>
      <c r="J677" s="47" t="s">
        <v>30</v>
      </c>
      <c r="K677" s="48">
        <v>0.05</v>
      </c>
      <c r="L677" s="49">
        <f>VLOOKUP(H677,[4]Sheet2!K:P,6,0)</f>
        <v>3.0249999999999997E-5</v>
      </c>
      <c r="M677" s="50">
        <f>VLOOKUP(H677,[4]Sheet2!K:Q,7,0)</f>
        <v>2504</v>
      </c>
      <c r="N677" s="51"/>
      <c r="O677" s="51"/>
      <c r="P677" s="51"/>
      <c r="Q677" s="51"/>
      <c r="R677" s="51"/>
      <c r="S677" s="51"/>
      <c r="T677" s="51"/>
      <c r="U677" s="51"/>
      <c r="V677" s="52">
        <f>VLOOKUP(H677,[4]Sheet2!K:N,4,0)</f>
        <v>2504</v>
      </c>
      <c r="W677" s="52">
        <f t="shared" si="588"/>
        <v>0</v>
      </c>
      <c r="X677" s="52">
        <f>VLOOKUP(H677,[4]Sheet2!K:N,4,0)</f>
        <v>2504</v>
      </c>
      <c r="Y677" s="53">
        <f t="shared" si="589"/>
        <v>1</v>
      </c>
      <c r="Z677" s="53">
        <f t="shared" si="590"/>
        <v>0</v>
      </c>
      <c r="AA677" s="53">
        <f t="shared" si="591"/>
        <v>1</v>
      </c>
    </row>
    <row r="678" spans="1:27" ht="18.75" customHeight="1" outlineLevel="6" x14ac:dyDescent="0.3">
      <c r="B678" s="44"/>
      <c r="C678" s="18"/>
      <c r="D678" s="24"/>
      <c r="E678" s="29"/>
      <c r="F678" s="34"/>
      <c r="G678" s="39"/>
      <c r="H678" s="46" t="s">
        <v>722</v>
      </c>
      <c r="I678" s="46" t="s">
        <v>56</v>
      </c>
      <c r="J678" s="47" t="s">
        <v>30</v>
      </c>
      <c r="K678" s="48">
        <v>0.05</v>
      </c>
      <c r="L678" s="49">
        <f>VLOOKUP(H678,[4]Sheet2!K:P,6,0)</f>
        <v>3.0249999999999997E-5</v>
      </c>
      <c r="M678" s="50">
        <f>VLOOKUP(H678,[4]Sheet2!K:Q,7,0)</f>
        <v>2504</v>
      </c>
      <c r="N678" s="51"/>
      <c r="O678" s="51"/>
      <c r="P678" s="51"/>
      <c r="Q678" s="51"/>
      <c r="R678" s="51"/>
      <c r="S678" s="51"/>
      <c r="T678" s="51"/>
      <c r="U678" s="51"/>
      <c r="V678" s="52">
        <f>VLOOKUP(H678,[4]Sheet2!K:N,4,0)</f>
        <v>2504</v>
      </c>
      <c r="W678" s="52">
        <f t="shared" si="588"/>
        <v>0</v>
      </c>
      <c r="X678" s="52">
        <f>VLOOKUP(H678,[4]Sheet2!K:N,4,0)</f>
        <v>2504</v>
      </c>
      <c r="Y678" s="53">
        <f t="shared" si="589"/>
        <v>1</v>
      </c>
      <c r="Z678" s="53">
        <f t="shared" si="590"/>
        <v>0</v>
      </c>
      <c r="AA678" s="53">
        <f t="shared" si="591"/>
        <v>1</v>
      </c>
    </row>
    <row r="679" spans="1:27" ht="18.75" customHeight="1" outlineLevel="5" x14ac:dyDescent="0.3">
      <c r="B679" s="12"/>
      <c r="C679" s="18"/>
      <c r="D679" s="24"/>
      <c r="E679" s="29"/>
      <c r="F679" s="34"/>
      <c r="G679" s="39" t="s">
        <v>164</v>
      </c>
      <c r="H679" s="58"/>
      <c r="I679" s="58"/>
      <c r="J679" s="58"/>
      <c r="K679" s="58"/>
      <c r="L679" s="41">
        <f>SUM(L680:L684)</f>
        <v>4.170000000000001E-3</v>
      </c>
      <c r="M679" s="42">
        <f>M680</f>
        <v>24167</v>
      </c>
      <c r="N679" s="40"/>
      <c r="O679" s="40"/>
      <c r="P679" s="40"/>
      <c r="Q679" s="40"/>
      <c r="R679" s="40"/>
      <c r="S679" s="40"/>
      <c r="T679" s="40"/>
      <c r="U679" s="40"/>
      <c r="V679" s="42">
        <f t="shared" ref="V679:X679" si="592">V680</f>
        <v>24167</v>
      </c>
      <c r="W679" s="42">
        <f t="shared" si="592"/>
        <v>0</v>
      </c>
      <c r="X679" s="42">
        <f t="shared" si="592"/>
        <v>24167</v>
      </c>
      <c r="Y679" s="43">
        <f>SUMPRODUCT(Y680:Y685,$K680:$K685)</f>
        <v>1.0000000000000002</v>
      </c>
      <c r="Z679" s="43">
        <f t="shared" ref="Z679" si="593">SUMPRODUCT(Z680:Z685,$K680:$K685)</f>
        <v>0</v>
      </c>
      <c r="AA679" s="43">
        <f>SUMPRODUCT(AA680:AA685,$K680:$K685)</f>
        <v>1.0000000000000002</v>
      </c>
    </row>
    <row r="680" spans="1:27" ht="18.75" customHeight="1" outlineLevel="6" x14ac:dyDescent="0.3">
      <c r="B680" s="44"/>
      <c r="C680" s="18"/>
      <c r="D680" s="24"/>
      <c r="E680" s="29"/>
      <c r="F680" s="34"/>
      <c r="G680" s="39"/>
      <c r="H680" s="46" t="s">
        <v>723</v>
      </c>
      <c r="I680" s="46" t="s">
        <v>45</v>
      </c>
      <c r="J680" s="47" t="s">
        <v>59</v>
      </c>
      <c r="K680" s="48">
        <v>0.05</v>
      </c>
      <c r="L680" s="49">
        <f>VLOOKUP(H680,[4]Sheet2!K:P,6,0)</f>
        <v>2.085E-4</v>
      </c>
      <c r="M680" s="50">
        <f>VLOOKUP(H680,[4]Sheet2!K:Q,7,0)</f>
        <v>24167</v>
      </c>
      <c r="N680" s="51"/>
      <c r="O680" s="51"/>
      <c r="P680" s="51"/>
      <c r="Q680" s="51"/>
      <c r="R680" s="51"/>
      <c r="S680" s="51"/>
      <c r="T680" s="51"/>
      <c r="U680" s="51"/>
      <c r="V680" s="52">
        <f>VLOOKUP(H680,[4]Sheet2!K:N,4,0)</f>
        <v>24167</v>
      </c>
      <c r="W680" s="52">
        <f t="shared" ref="W680:W684" si="594">X680-V680</f>
        <v>0</v>
      </c>
      <c r="X680" s="52">
        <f>VLOOKUP(H680,[4]Sheet2!K:N,4,0)</f>
        <v>24167</v>
      </c>
      <c r="Y680" s="53">
        <f t="shared" ref="Y680:Y684" si="595">IFERROR(V680/M680,1)</f>
        <v>1</v>
      </c>
      <c r="Z680" s="53">
        <f t="shared" ref="Z680:Z684" si="596">IFERROR(W680/M680,1)</f>
        <v>0</v>
      </c>
      <c r="AA680" s="53">
        <f t="shared" ref="AA680:AA684" si="597">IFERROR(X680/M680,1)</f>
        <v>1</v>
      </c>
    </row>
    <row r="681" spans="1:27" ht="18.75" customHeight="1" outlineLevel="6" x14ac:dyDescent="0.3">
      <c r="A681" s="60" t="s">
        <v>724</v>
      </c>
      <c r="B681" s="44"/>
      <c r="C681" s="18"/>
      <c r="D681" s="24"/>
      <c r="E681" s="29"/>
      <c r="F681" s="34"/>
      <c r="G681" s="39"/>
      <c r="H681" s="46" t="s">
        <v>725</v>
      </c>
      <c r="I681" s="46" t="s">
        <v>168</v>
      </c>
      <c r="J681" s="47" t="s">
        <v>59</v>
      </c>
      <c r="K681" s="48">
        <v>0.65</v>
      </c>
      <c r="L681" s="49">
        <f>VLOOKUP(H681,[4]Sheet2!K:P,6,0)</f>
        <v>2.7105000000000002E-3</v>
      </c>
      <c r="M681" s="50">
        <f>VLOOKUP(H681,[4]Sheet2!K:Q,7,0)</f>
        <v>24167</v>
      </c>
      <c r="N681" s="51"/>
      <c r="O681" s="51"/>
      <c r="P681" s="51"/>
      <c r="Q681" s="51"/>
      <c r="R681" s="51"/>
      <c r="S681" s="51"/>
      <c r="T681" s="51"/>
      <c r="U681" s="51"/>
      <c r="V681" s="52">
        <f>VLOOKUP(H681,[4]Sheet2!K:N,4,0)</f>
        <v>24167</v>
      </c>
      <c r="W681" s="52">
        <f t="shared" si="594"/>
        <v>0</v>
      </c>
      <c r="X681" s="52">
        <f>VLOOKUP(H681,[4]Sheet2!K:N,4,0)</f>
        <v>24167</v>
      </c>
      <c r="Y681" s="53">
        <f t="shared" si="595"/>
        <v>1</v>
      </c>
      <c r="Z681" s="53">
        <f t="shared" si="596"/>
        <v>0</v>
      </c>
      <c r="AA681" s="53">
        <f t="shared" si="597"/>
        <v>1</v>
      </c>
    </row>
    <row r="682" spans="1:27" ht="18.75" customHeight="1" outlineLevel="6" x14ac:dyDescent="0.3">
      <c r="B682" s="44"/>
      <c r="C682" s="18"/>
      <c r="D682" s="24"/>
      <c r="E682" s="29"/>
      <c r="F682" s="34"/>
      <c r="G682" s="39"/>
      <c r="H682" s="46" t="s">
        <v>726</v>
      </c>
      <c r="I682" s="46" t="s">
        <v>170</v>
      </c>
      <c r="J682" s="47" t="s">
        <v>59</v>
      </c>
      <c r="K682" s="48">
        <v>0.2</v>
      </c>
      <c r="L682" s="49">
        <f>VLOOKUP(H682,[4]Sheet2!K:P,6,0)</f>
        <v>8.34E-4</v>
      </c>
      <c r="M682" s="50">
        <f>VLOOKUP(H682,[4]Sheet2!K:Q,7,0)</f>
        <v>24167</v>
      </c>
      <c r="N682" s="51"/>
      <c r="O682" s="51"/>
      <c r="P682" s="51"/>
      <c r="Q682" s="51"/>
      <c r="R682" s="51"/>
      <c r="S682" s="51"/>
      <c r="T682" s="51"/>
      <c r="U682" s="51"/>
      <c r="V682" s="52">
        <f>VLOOKUP(H682,[4]Sheet2!K:N,4,0)</f>
        <v>24167</v>
      </c>
      <c r="W682" s="52">
        <f t="shared" si="594"/>
        <v>0</v>
      </c>
      <c r="X682" s="52">
        <f>VLOOKUP(H682,[4]Sheet2!K:N,4,0)</f>
        <v>24167</v>
      </c>
      <c r="Y682" s="53">
        <f t="shared" si="595"/>
        <v>1</v>
      </c>
      <c r="Z682" s="53">
        <f t="shared" si="596"/>
        <v>0</v>
      </c>
      <c r="AA682" s="53">
        <f t="shared" si="597"/>
        <v>1</v>
      </c>
    </row>
    <row r="683" spans="1:27" ht="18.75" customHeight="1" outlineLevel="6" x14ac:dyDescent="0.3">
      <c r="B683" s="44"/>
      <c r="C683" s="18"/>
      <c r="D683" s="24"/>
      <c r="E683" s="29"/>
      <c r="F683" s="34"/>
      <c r="G683" s="39"/>
      <c r="H683" s="46" t="s">
        <v>727</v>
      </c>
      <c r="I683" s="46" t="s">
        <v>172</v>
      </c>
      <c r="J683" s="47" t="s">
        <v>59</v>
      </c>
      <c r="K683" s="48">
        <v>0.05</v>
      </c>
      <c r="L683" s="49">
        <f>VLOOKUP(H683,[4]Sheet2!K:P,6,0)</f>
        <v>2.085E-4</v>
      </c>
      <c r="M683" s="50">
        <f>VLOOKUP(H683,[4]Sheet2!K:Q,7,0)</f>
        <v>24167</v>
      </c>
      <c r="N683" s="51"/>
      <c r="O683" s="51"/>
      <c r="P683" s="51"/>
      <c r="Q683" s="51"/>
      <c r="R683" s="51"/>
      <c r="S683" s="51"/>
      <c r="T683" s="51"/>
      <c r="U683" s="51"/>
      <c r="V683" s="52">
        <f>VLOOKUP(H683,[4]Sheet2!K:N,4,0)</f>
        <v>24167</v>
      </c>
      <c r="W683" s="52">
        <f t="shared" si="594"/>
        <v>0</v>
      </c>
      <c r="X683" s="52">
        <f>VLOOKUP(H683,[4]Sheet2!K:N,4,0)</f>
        <v>24167</v>
      </c>
      <c r="Y683" s="53">
        <f t="shared" si="595"/>
        <v>1</v>
      </c>
      <c r="Z683" s="53">
        <f t="shared" si="596"/>
        <v>0</v>
      </c>
      <c r="AA683" s="53">
        <f t="shared" si="597"/>
        <v>1</v>
      </c>
    </row>
    <row r="684" spans="1:27" ht="18.75" customHeight="1" outlineLevel="6" x14ac:dyDescent="0.3">
      <c r="B684" s="44"/>
      <c r="C684" s="18"/>
      <c r="D684" s="24"/>
      <c r="E684" s="29"/>
      <c r="F684" s="34"/>
      <c r="G684" s="39"/>
      <c r="H684" s="46" t="s">
        <v>728</v>
      </c>
      <c r="I684" s="46" t="s">
        <v>56</v>
      </c>
      <c r="J684" s="47" t="s">
        <v>59</v>
      </c>
      <c r="K684" s="48">
        <v>0.05</v>
      </c>
      <c r="L684" s="49">
        <f>VLOOKUP(H684,[4]Sheet2!K:P,6,0)</f>
        <v>2.085E-4</v>
      </c>
      <c r="M684" s="50">
        <f>VLOOKUP(H684,[4]Sheet2!K:Q,7,0)</f>
        <v>24167</v>
      </c>
      <c r="N684" s="51"/>
      <c r="O684" s="51"/>
      <c r="P684" s="51"/>
      <c r="Q684" s="51"/>
      <c r="R684" s="51"/>
      <c r="S684" s="51"/>
      <c r="T684" s="51"/>
      <c r="U684" s="51"/>
      <c r="V684" s="52">
        <f>VLOOKUP(H684,[4]Sheet2!K:N,4,0)</f>
        <v>24167</v>
      </c>
      <c r="W684" s="52">
        <f t="shared" si="594"/>
        <v>0</v>
      </c>
      <c r="X684" s="52">
        <f>VLOOKUP(H684,[4]Sheet2!K:N,4,0)</f>
        <v>24167</v>
      </c>
      <c r="Y684" s="53">
        <f t="shared" si="595"/>
        <v>1</v>
      </c>
      <c r="Z684" s="53">
        <f t="shared" si="596"/>
        <v>0</v>
      </c>
      <c r="AA684" s="53">
        <f t="shared" si="597"/>
        <v>1</v>
      </c>
    </row>
    <row r="685" spans="1:27" ht="18.75" customHeight="1" outlineLevel="4" x14ac:dyDescent="0.3">
      <c r="B685" s="12"/>
      <c r="C685" s="18"/>
      <c r="D685" s="24"/>
      <c r="E685" s="29"/>
      <c r="F685" s="34" t="s">
        <v>174</v>
      </c>
      <c r="G685" s="34"/>
      <c r="H685" s="57"/>
      <c r="I685" s="57"/>
      <c r="J685" s="57"/>
      <c r="K685" s="57"/>
      <c r="L685" s="36">
        <f>L686+L693+L700+L707+L714</f>
        <v>2.5221299999999999E-2</v>
      </c>
      <c r="M685" s="37">
        <f>M686+M693+M700+M707+M714</f>
        <v>57000</v>
      </c>
      <c r="N685" s="35"/>
      <c r="O685" s="35"/>
      <c r="P685" s="35"/>
      <c r="Q685" s="35"/>
      <c r="R685" s="35"/>
      <c r="S685" s="35"/>
      <c r="T685" s="35"/>
      <c r="U685" s="35"/>
      <c r="V685" s="37">
        <f t="shared" ref="V685:X685" si="598">V686+V693+V700+V707+V714</f>
        <v>44000</v>
      </c>
      <c r="W685" s="37">
        <f t="shared" si="598"/>
        <v>0</v>
      </c>
      <c r="X685" s="37">
        <f t="shared" si="598"/>
        <v>44000</v>
      </c>
      <c r="Y685" s="38">
        <f>(Y686*$L686+Y693*$L693+Y700*$L700+Y707*$L707+Y714*$L714)/$L685</f>
        <v>0.77540412270580839</v>
      </c>
      <c r="Z685" s="38">
        <f t="shared" ref="Z685:AA685" si="599">(Z686*$L686+Z693*$L693+Z700*$L700+Z707*$L707+Z714*$L714)/$L685</f>
        <v>0</v>
      </c>
      <c r="AA685" s="38">
        <f t="shared" si="599"/>
        <v>0.77540412270580839</v>
      </c>
    </row>
    <row r="686" spans="1:27" ht="18.75" customHeight="1" outlineLevel="5" x14ac:dyDescent="0.3">
      <c r="B686" s="12"/>
      <c r="C686" s="18"/>
      <c r="D686" s="24"/>
      <c r="E686" s="29"/>
      <c r="F686" s="34"/>
      <c r="G686" s="39" t="s">
        <v>175</v>
      </c>
      <c r="H686" s="58"/>
      <c r="I686" s="58"/>
      <c r="J686" s="58"/>
      <c r="K686" s="58"/>
      <c r="L686" s="41">
        <f>SUM(L687:L692)</f>
        <v>1.8115000000000002E-3</v>
      </c>
      <c r="M686" s="42">
        <f>M687</f>
        <v>4000</v>
      </c>
      <c r="N686" s="40"/>
      <c r="O686" s="40"/>
      <c r="P686" s="40"/>
      <c r="Q686" s="40"/>
      <c r="R686" s="40"/>
      <c r="S686" s="40"/>
      <c r="T686" s="40"/>
      <c r="U686" s="40"/>
      <c r="V686" s="42">
        <f t="shared" ref="V686:X686" si="600">V687</f>
        <v>4000</v>
      </c>
      <c r="W686" s="42">
        <f t="shared" si="600"/>
        <v>0</v>
      </c>
      <c r="X686" s="42">
        <f t="shared" si="600"/>
        <v>4000</v>
      </c>
      <c r="Y686" s="43">
        <f>SUMPRODUCT(Y687:Y692,$K687:$K692)</f>
        <v>1.0000000000000002</v>
      </c>
      <c r="Z686" s="43">
        <f t="shared" ref="Z686:AA686" si="601">SUMPRODUCT(Z687:Z692,$K687:$K692)</f>
        <v>0</v>
      </c>
      <c r="AA686" s="43">
        <f t="shared" si="601"/>
        <v>1.0000000000000002</v>
      </c>
    </row>
    <row r="687" spans="1:27" ht="18.75" customHeight="1" outlineLevel="6" x14ac:dyDescent="0.3">
      <c r="B687" s="44"/>
      <c r="C687" s="18"/>
      <c r="D687" s="24"/>
      <c r="E687" s="29"/>
      <c r="F687" s="34"/>
      <c r="G687" s="39"/>
      <c r="H687" s="46" t="s">
        <v>729</v>
      </c>
      <c r="I687" s="46" t="s">
        <v>45</v>
      </c>
      <c r="J687" s="47" t="s">
        <v>30</v>
      </c>
      <c r="K687" s="48">
        <v>0.05</v>
      </c>
      <c r="L687" s="49">
        <f>VLOOKUP(H687,[4]Sheet2!K:P,6,0)</f>
        <v>9.0574999999999993E-5</v>
      </c>
      <c r="M687" s="50">
        <f>VLOOKUP(H687,[4]Sheet2!K:Q,7,0)</f>
        <v>4000</v>
      </c>
      <c r="N687" s="51"/>
      <c r="O687" s="51"/>
      <c r="P687" s="51"/>
      <c r="Q687" s="51"/>
      <c r="R687" s="51"/>
      <c r="S687" s="51"/>
      <c r="T687" s="51"/>
      <c r="U687" s="51"/>
      <c r="V687" s="52">
        <f>VLOOKUP(H687,[4]Sheet2!K:N,4,0)</f>
        <v>4000</v>
      </c>
      <c r="W687" s="52">
        <f t="shared" ref="W687:W692" si="602">X687-V687</f>
        <v>0</v>
      </c>
      <c r="X687" s="52">
        <f>VLOOKUP(H687,[4]Sheet2!K:N,4,0)</f>
        <v>4000</v>
      </c>
      <c r="Y687" s="53">
        <f t="shared" ref="Y687:Y692" si="603">IFERROR(V687/M687,1)</f>
        <v>1</v>
      </c>
      <c r="Z687" s="53">
        <f t="shared" ref="Z687:Z692" si="604">IFERROR(W687/M687,1)</f>
        <v>0</v>
      </c>
      <c r="AA687" s="53">
        <f t="shared" ref="AA687:AA692" si="605">IFERROR(X687/M687,1)</f>
        <v>1</v>
      </c>
    </row>
    <row r="688" spans="1:27" ht="18.75" customHeight="1" outlineLevel="6" x14ac:dyDescent="0.3">
      <c r="A688" s="60" t="s">
        <v>634</v>
      </c>
      <c r="B688" s="44"/>
      <c r="C688" s="18"/>
      <c r="D688" s="24"/>
      <c r="E688" s="29"/>
      <c r="F688" s="34"/>
      <c r="G688" s="39"/>
      <c r="H688" s="46" t="s">
        <v>730</v>
      </c>
      <c r="I688" s="46" t="s">
        <v>48</v>
      </c>
      <c r="J688" s="47" t="s">
        <v>30</v>
      </c>
      <c r="K688" s="48">
        <v>0.5</v>
      </c>
      <c r="L688" s="49">
        <f>VLOOKUP(H688,[4]Sheet2!K:P,6,0)</f>
        <v>9.0574999999999998E-4</v>
      </c>
      <c r="M688" s="50">
        <f>VLOOKUP(H688,[4]Sheet2!K:Q,7,0)</f>
        <v>4000</v>
      </c>
      <c r="N688" s="51"/>
      <c r="O688" s="51"/>
      <c r="P688" s="51"/>
      <c r="Q688" s="51"/>
      <c r="R688" s="51"/>
      <c r="S688" s="51"/>
      <c r="T688" s="51"/>
      <c r="U688" s="51"/>
      <c r="V688" s="52">
        <f>VLOOKUP(H688,[4]Sheet2!K:N,4,0)</f>
        <v>4000</v>
      </c>
      <c r="W688" s="52">
        <f t="shared" si="602"/>
        <v>0</v>
      </c>
      <c r="X688" s="52">
        <f>VLOOKUP(H688,[4]Sheet2!K:N,4,0)</f>
        <v>4000</v>
      </c>
      <c r="Y688" s="53">
        <f t="shared" si="603"/>
        <v>1</v>
      </c>
      <c r="Z688" s="53">
        <f t="shared" si="604"/>
        <v>0</v>
      </c>
      <c r="AA688" s="53">
        <f t="shared" si="605"/>
        <v>1</v>
      </c>
    </row>
    <row r="689" spans="1:27" ht="18.75" customHeight="1" outlineLevel="6" x14ac:dyDescent="0.3">
      <c r="B689" s="44"/>
      <c r="C689" s="18"/>
      <c r="D689" s="24"/>
      <c r="E689" s="29"/>
      <c r="F689" s="34"/>
      <c r="G689" s="39"/>
      <c r="H689" s="46" t="s">
        <v>731</v>
      </c>
      <c r="I689" s="46" t="s">
        <v>50</v>
      </c>
      <c r="J689" s="47" t="s">
        <v>30</v>
      </c>
      <c r="K689" s="48">
        <v>0.15</v>
      </c>
      <c r="L689" s="49">
        <f>VLOOKUP(H689,[4]Sheet2!K:P,6,0)</f>
        <v>2.71725E-4</v>
      </c>
      <c r="M689" s="50">
        <f>VLOOKUP(H689,[4]Sheet2!K:Q,7,0)</f>
        <v>4000</v>
      </c>
      <c r="N689" s="51"/>
      <c r="O689" s="51"/>
      <c r="P689" s="51"/>
      <c r="Q689" s="51"/>
      <c r="R689" s="51"/>
      <c r="S689" s="51"/>
      <c r="T689" s="51"/>
      <c r="U689" s="51"/>
      <c r="V689" s="52">
        <f>VLOOKUP(H689,[4]Sheet2!K:N,4,0)</f>
        <v>4000</v>
      </c>
      <c r="W689" s="52">
        <f t="shared" si="602"/>
        <v>0</v>
      </c>
      <c r="X689" s="52">
        <f>VLOOKUP(H689,[4]Sheet2!K:N,4,0)</f>
        <v>4000</v>
      </c>
      <c r="Y689" s="53">
        <f t="shared" si="603"/>
        <v>1</v>
      </c>
      <c r="Z689" s="53">
        <f t="shared" si="604"/>
        <v>0</v>
      </c>
      <c r="AA689" s="53">
        <f t="shared" si="605"/>
        <v>1</v>
      </c>
    </row>
    <row r="690" spans="1:27" ht="18.75" customHeight="1" outlineLevel="6" x14ac:dyDescent="0.3">
      <c r="B690" s="44"/>
      <c r="C690" s="18"/>
      <c r="D690" s="24"/>
      <c r="E690" s="29"/>
      <c r="F690" s="34"/>
      <c r="G690" s="39"/>
      <c r="H690" s="46" t="s">
        <v>732</v>
      </c>
      <c r="I690" s="46" t="s">
        <v>52</v>
      </c>
      <c r="J690" s="47" t="s">
        <v>30</v>
      </c>
      <c r="K690" s="48">
        <v>0.2</v>
      </c>
      <c r="L690" s="49">
        <f>VLOOKUP(H690,[4]Sheet2!K:P,6,0)</f>
        <v>3.6229999999999997E-4</v>
      </c>
      <c r="M690" s="50">
        <f>VLOOKUP(H690,[4]Sheet2!K:Q,7,0)</f>
        <v>4000</v>
      </c>
      <c r="N690" s="51"/>
      <c r="O690" s="51"/>
      <c r="P690" s="51"/>
      <c r="Q690" s="51"/>
      <c r="R690" s="51"/>
      <c r="S690" s="51"/>
      <c r="T690" s="51"/>
      <c r="U690" s="51"/>
      <c r="V690" s="52">
        <f>VLOOKUP(H690,[4]Sheet2!K:N,4,0)</f>
        <v>4000</v>
      </c>
      <c r="W690" s="52">
        <f t="shared" si="602"/>
        <v>0</v>
      </c>
      <c r="X690" s="52">
        <f>VLOOKUP(H690,[4]Sheet2!K:N,4,0)</f>
        <v>4000</v>
      </c>
      <c r="Y690" s="53">
        <f t="shared" si="603"/>
        <v>1</v>
      </c>
      <c r="Z690" s="53">
        <f t="shared" si="604"/>
        <v>0</v>
      </c>
      <c r="AA690" s="53">
        <f t="shared" si="605"/>
        <v>1</v>
      </c>
    </row>
    <row r="691" spans="1:27" ht="18.75" customHeight="1" outlineLevel="6" x14ac:dyDescent="0.3">
      <c r="B691" s="44"/>
      <c r="C691" s="18"/>
      <c r="D691" s="24"/>
      <c r="E691" s="29"/>
      <c r="F691" s="34"/>
      <c r="G691" s="39"/>
      <c r="H691" s="46" t="s">
        <v>733</v>
      </c>
      <c r="I691" s="46" t="s">
        <v>54</v>
      </c>
      <c r="J691" s="47" t="s">
        <v>30</v>
      </c>
      <c r="K691" s="48">
        <v>0.05</v>
      </c>
      <c r="L691" s="49">
        <f>VLOOKUP(H691,[4]Sheet2!K:P,6,0)</f>
        <v>9.0574999999999993E-5</v>
      </c>
      <c r="M691" s="50">
        <f>VLOOKUP(H691,[4]Sheet2!K:Q,7,0)</f>
        <v>4000</v>
      </c>
      <c r="N691" s="51"/>
      <c r="O691" s="51"/>
      <c r="P691" s="51"/>
      <c r="Q691" s="51"/>
      <c r="R691" s="51"/>
      <c r="S691" s="51"/>
      <c r="T691" s="51"/>
      <c r="U691" s="51"/>
      <c r="V691" s="52">
        <f>VLOOKUP(H691,[4]Sheet2!K:N,4,0)</f>
        <v>4000</v>
      </c>
      <c r="W691" s="52">
        <f t="shared" si="602"/>
        <v>0</v>
      </c>
      <c r="X691" s="52">
        <f>VLOOKUP(H691,[4]Sheet2!K:N,4,0)</f>
        <v>4000</v>
      </c>
      <c r="Y691" s="53">
        <f t="shared" si="603"/>
        <v>1</v>
      </c>
      <c r="Z691" s="53">
        <f t="shared" si="604"/>
        <v>0</v>
      </c>
      <c r="AA691" s="53">
        <f t="shared" si="605"/>
        <v>1</v>
      </c>
    </row>
    <row r="692" spans="1:27" ht="18.75" customHeight="1" outlineLevel="6" x14ac:dyDescent="0.3">
      <c r="B692" s="44"/>
      <c r="C692" s="18"/>
      <c r="D692" s="24"/>
      <c r="E692" s="29"/>
      <c r="F692" s="34"/>
      <c r="G692" s="39"/>
      <c r="H692" s="46" t="s">
        <v>734</v>
      </c>
      <c r="I692" s="46" t="s">
        <v>56</v>
      </c>
      <c r="J692" s="47" t="s">
        <v>30</v>
      </c>
      <c r="K692" s="48">
        <v>0.05</v>
      </c>
      <c r="L692" s="49">
        <f>VLOOKUP(H692,[4]Sheet2!K:P,6,0)</f>
        <v>9.0574999999999993E-5</v>
      </c>
      <c r="M692" s="50">
        <f>VLOOKUP(H692,[4]Sheet2!K:Q,7,0)</f>
        <v>4000</v>
      </c>
      <c r="N692" s="51"/>
      <c r="O692" s="51"/>
      <c r="P692" s="51"/>
      <c r="Q692" s="51"/>
      <c r="R692" s="51"/>
      <c r="S692" s="51"/>
      <c r="T692" s="51"/>
      <c r="U692" s="51"/>
      <c r="V692" s="52">
        <f>VLOOKUP(H692,[4]Sheet2!K:N,4,0)</f>
        <v>4000</v>
      </c>
      <c r="W692" s="52">
        <f t="shared" si="602"/>
        <v>0</v>
      </c>
      <c r="X692" s="52">
        <f>VLOOKUP(H692,[4]Sheet2!K:N,4,0)</f>
        <v>4000</v>
      </c>
      <c r="Y692" s="53">
        <f t="shared" si="603"/>
        <v>1</v>
      </c>
      <c r="Z692" s="53">
        <f t="shared" si="604"/>
        <v>0</v>
      </c>
      <c r="AA692" s="53">
        <f t="shared" si="605"/>
        <v>1</v>
      </c>
    </row>
    <row r="693" spans="1:27" ht="18.75" customHeight="1" outlineLevel="5" x14ac:dyDescent="0.3">
      <c r="B693" s="12"/>
      <c r="C693" s="18"/>
      <c r="D693" s="24"/>
      <c r="E693" s="29"/>
      <c r="F693" s="34"/>
      <c r="G693" s="39" t="s">
        <v>182</v>
      </c>
      <c r="H693" s="58"/>
      <c r="I693" s="58"/>
      <c r="J693" s="58"/>
      <c r="K693" s="58"/>
      <c r="L693" s="41">
        <f>SUM(L694:L699)</f>
        <v>1.0394700000000002E-2</v>
      </c>
      <c r="M693" s="42">
        <f>M694</f>
        <v>24000</v>
      </c>
      <c r="N693" s="40"/>
      <c r="O693" s="40"/>
      <c r="P693" s="40"/>
      <c r="Q693" s="40"/>
      <c r="R693" s="40"/>
      <c r="S693" s="40"/>
      <c r="T693" s="40"/>
      <c r="U693" s="40"/>
      <c r="V693" s="42">
        <f t="shared" ref="V693:X693" si="606">V694</f>
        <v>24000</v>
      </c>
      <c r="W693" s="42">
        <f t="shared" si="606"/>
        <v>0</v>
      </c>
      <c r="X693" s="42">
        <f t="shared" si="606"/>
        <v>24000</v>
      </c>
      <c r="Y693" s="43">
        <f>SUMPRODUCT(Y694:Y699,$K694:$K699)</f>
        <v>1.0000000000000002</v>
      </c>
      <c r="Z693" s="43">
        <f t="shared" ref="Z693:AA693" si="607">SUMPRODUCT(Z694:Z699,$K694:$K699)</f>
        <v>0</v>
      </c>
      <c r="AA693" s="43">
        <f t="shared" si="607"/>
        <v>1.0000000000000002</v>
      </c>
    </row>
    <row r="694" spans="1:27" ht="18.75" customHeight="1" outlineLevel="6" x14ac:dyDescent="0.3">
      <c r="B694" s="44"/>
      <c r="C694" s="18"/>
      <c r="D694" s="24"/>
      <c r="E694" s="29"/>
      <c r="F694" s="34"/>
      <c r="G694" s="39"/>
      <c r="H694" s="46" t="s">
        <v>735</v>
      </c>
      <c r="I694" s="46" t="s">
        <v>45</v>
      </c>
      <c r="J694" s="47" t="s">
        <v>30</v>
      </c>
      <c r="K694" s="48">
        <v>0.05</v>
      </c>
      <c r="L694" s="49">
        <f>VLOOKUP(H694,[4]Sheet2!K:P,6,0)</f>
        <v>5.1973500000000001E-4</v>
      </c>
      <c r="M694" s="50">
        <f>VLOOKUP(H694,[4]Sheet2!K:Q,7,0)</f>
        <v>24000</v>
      </c>
      <c r="N694" s="51"/>
      <c r="O694" s="51"/>
      <c r="P694" s="51"/>
      <c r="Q694" s="51"/>
      <c r="R694" s="51"/>
      <c r="S694" s="51"/>
      <c r="T694" s="51"/>
      <c r="U694" s="51"/>
      <c r="V694" s="52">
        <f>VLOOKUP(H694,[4]Sheet2!K:N,4,0)</f>
        <v>24000</v>
      </c>
      <c r="W694" s="52">
        <f t="shared" ref="W694:W699" si="608">X694-V694</f>
        <v>0</v>
      </c>
      <c r="X694" s="52">
        <f>VLOOKUP(H694,[4]Sheet2!K:N,4,0)</f>
        <v>24000</v>
      </c>
      <c r="Y694" s="53">
        <f t="shared" ref="Y694:Y699" si="609">IFERROR(V694/M694,1)</f>
        <v>1</v>
      </c>
      <c r="Z694" s="53">
        <f t="shared" ref="Z694:Z699" si="610">IFERROR(W694/M694,1)</f>
        <v>0</v>
      </c>
      <c r="AA694" s="53">
        <f t="shared" ref="AA694:AA699" si="611">IFERROR(X694/M694,1)</f>
        <v>1</v>
      </c>
    </row>
    <row r="695" spans="1:27" ht="18.75" customHeight="1" outlineLevel="6" x14ac:dyDescent="0.3">
      <c r="A695" s="60" t="s">
        <v>634</v>
      </c>
      <c r="B695" s="44"/>
      <c r="C695" s="18"/>
      <c r="D695" s="24"/>
      <c r="E695" s="29"/>
      <c r="F695" s="34"/>
      <c r="G695" s="39"/>
      <c r="H695" s="46" t="s">
        <v>736</v>
      </c>
      <c r="I695" s="46" t="s">
        <v>48</v>
      </c>
      <c r="J695" s="47" t="s">
        <v>30</v>
      </c>
      <c r="K695" s="48">
        <v>0.5</v>
      </c>
      <c r="L695" s="49">
        <f>VLOOKUP(H695,[4]Sheet2!K:P,6,0)</f>
        <v>5.1973499999999999E-3</v>
      </c>
      <c r="M695" s="50">
        <f>VLOOKUP(H695,[4]Sheet2!K:Q,7,0)</f>
        <v>24000</v>
      </c>
      <c r="N695" s="51"/>
      <c r="O695" s="51"/>
      <c r="P695" s="51"/>
      <c r="Q695" s="51"/>
      <c r="R695" s="51"/>
      <c r="S695" s="51"/>
      <c r="T695" s="51"/>
      <c r="U695" s="51"/>
      <c r="V695" s="52">
        <f>VLOOKUP(H695,[4]Sheet2!K:N,4,0)</f>
        <v>24000</v>
      </c>
      <c r="W695" s="52">
        <f t="shared" si="608"/>
        <v>0</v>
      </c>
      <c r="X695" s="52">
        <f>VLOOKUP(H695,[4]Sheet2!K:N,4,0)</f>
        <v>24000</v>
      </c>
      <c r="Y695" s="53">
        <f t="shared" si="609"/>
        <v>1</v>
      </c>
      <c r="Z695" s="53">
        <f t="shared" si="610"/>
        <v>0</v>
      </c>
      <c r="AA695" s="53">
        <f t="shared" si="611"/>
        <v>1</v>
      </c>
    </row>
    <row r="696" spans="1:27" ht="18.75" customHeight="1" outlineLevel="6" x14ac:dyDescent="0.3">
      <c r="B696" s="44"/>
      <c r="C696" s="18"/>
      <c r="D696" s="24"/>
      <c r="E696" s="29"/>
      <c r="F696" s="34"/>
      <c r="G696" s="39"/>
      <c r="H696" s="46" t="s">
        <v>737</v>
      </c>
      <c r="I696" s="46" t="s">
        <v>50</v>
      </c>
      <c r="J696" s="47" t="s">
        <v>30</v>
      </c>
      <c r="K696" s="48">
        <v>0.15</v>
      </c>
      <c r="L696" s="49">
        <f>VLOOKUP(H696,[4]Sheet2!K:P,6,0)</f>
        <v>1.5592049999999999E-3</v>
      </c>
      <c r="M696" s="50">
        <f>VLOOKUP(H696,[4]Sheet2!K:Q,7,0)</f>
        <v>24000</v>
      </c>
      <c r="N696" s="51"/>
      <c r="O696" s="51"/>
      <c r="P696" s="51"/>
      <c r="Q696" s="51"/>
      <c r="R696" s="51"/>
      <c r="S696" s="51"/>
      <c r="T696" s="51"/>
      <c r="U696" s="51"/>
      <c r="V696" s="52">
        <f>VLOOKUP(H696,[4]Sheet2!K:N,4,0)</f>
        <v>24000</v>
      </c>
      <c r="W696" s="52">
        <f t="shared" si="608"/>
        <v>0</v>
      </c>
      <c r="X696" s="52">
        <f>VLOOKUP(H696,[4]Sheet2!K:N,4,0)</f>
        <v>24000</v>
      </c>
      <c r="Y696" s="53">
        <f t="shared" si="609"/>
        <v>1</v>
      </c>
      <c r="Z696" s="53">
        <f t="shared" si="610"/>
        <v>0</v>
      </c>
      <c r="AA696" s="53">
        <f t="shared" si="611"/>
        <v>1</v>
      </c>
    </row>
    <row r="697" spans="1:27" ht="18.75" customHeight="1" outlineLevel="6" x14ac:dyDescent="0.3">
      <c r="B697" s="44"/>
      <c r="C697" s="18"/>
      <c r="D697" s="24"/>
      <c r="E697" s="29"/>
      <c r="F697" s="34"/>
      <c r="G697" s="39"/>
      <c r="H697" s="46" t="s">
        <v>738</v>
      </c>
      <c r="I697" s="46" t="s">
        <v>52</v>
      </c>
      <c r="J697" s="47" t="s">
        <v>30</v>
      </c>
      <c r="K697" s="48">
        <v>0.2</v>
      </c>
      <c r="L697" s="49">
        <f>VLOOKUP(H697,[4]Sheet2!K:P,6,0)</f>
        <v>2.07894E-3</v>
      </c>
      <c r="M697" s="50">
        <f>VLOOKUP(H697,[4]Sheet2!K:Q,7,0)</f>
        <v>24000</v>
      </c>
      <c r="N697" s="51"/>
      <c r="O697" s="51"/>
      <c r="P697" s="51"/>
      <c r="Q697" s="51"/>
      <c r="R697" s="51"/>
      <c r="S697" s="51"/>
      <c r="T697" s="51"/>
      <c r="U697" s="51"/>
      <c r="V697" s="52">
        <f>VLOOKUP(H697,[4]Sheet2!K:N,4,0)</f>
        <v>24000</v>
      </c>
      <c r="W697" s="52">
        <f t="shared" si="608"/>
        <v>0</v>
      </c>
      <c r="X697" s="52">
        <f>VLOOKUP(H697,[4]Sheet2!K:N,4,0)</f>
        <v>24000</v>
      </c>
      <c r="Y697" s="53">
        <f t="shared" si="609"/>
        <v>1</v>
      </c>
      <c r="Z697" s="53">
        <f t="shared" si="610"/>
        <v>0</v>
      </c>
      <c r="AA697" s="53">
        <f t="shared" si="611"/>
        <v>1</v>
      </c>
    </row>
    <row r="698" spans="1:27" ht="18.75" customHeight="1" outlineLevel="6" x14ac:dyDescent="0.3">
      <c r="B698" s="44"/>
      <c r="C698" s="18"/>
      <c r="D698" s="24"/>
      <c r="E698" s="29"/>
      <c r="F698" s="34"/>
      <c r="G698" s="39"/>
      <c r="H698" s="46" t="s">
        <v>739</v>
      </c>
      <c r="I698" s="46" t="s">
        <v>54</v>
      </c>
      <c r="J698" s="47" t="s">
        <v>30</v>
      </c>
      <c r="K698" s="48">
        <v>0.05</v>
      </c>
      <c r="L698" s="49">
        <f>VLOOKUP(H698,[4]Sheet2!K:P,6,0)</f>
        <v>5.1973500000000001E-4</v>
      </c>
      <c r="M698" s="50">
        <f>VLOOKUP(H698,[4]Sheet2!K:Q,7,0)</f>
        <v>24000</v>
      </c>
      <c r="N698" s="51"/>
      <c r="O698" s="51"/>
      <c r="P698" s="51"/>
      <c r="Q698" s="51"/>
      <c r="R698" s="51"/>
      <c r="S698" s="51"/>
      <c r="T698" s="51"/>
      <c r="U698" s="51"/>
      <c r="V698" s="52">
        <f>VLOOKUP(H698,[4]Sheet2!K:N,4,0)</f>
        <v>24000</v>
      </c>
      <c r="W698" s="52">
        <f t="shared" si="608"/>
        <v>0</v>
      </c>
      <c r="X698" s="52">
        <f>VLOOKUP(H698,[4]Sheet2!K:N,4,0)</f>
        <v>24000</v>
      </c>
      <c r="Y698" s="53">
        <f t="shared" si="609"/>
        <v>1</v>
      </c>
      <c r="Z698" s="53">
        <f t="shared" si="610"/>
        <v>0</v>
      </c>
      <c r="AA698" s="53">
        <f t="shared" si="611"/>
        <v>1</v>
      </c>
    </row>
    <row r="699" spans="1:27" ht="18.75" customHeight="1" outlineLevel="6" x14ac:dyDescent="0.3">
      <c r="B699" s="44"/>
      <c r="C699" s="18"/>
      <c r="D699" s="24"/>
      <c r="E699" s="29"/>
      <c r="F699" s="34"/>
      <c r="G699" s="39"/>
      <c r="H699" s="46" t="s">
        <v>740</v>
      </c>
      <c r="I699" s="46" t="s">
        <v>56</v>
      </c>
      <c r="J699" s="47" t="s">
        <v>30</v>
      </c>
      <c r="K699" s="48">
        <v>0.05</v>
      </c>
      <c r="L699" s="49">
        <f>VLOOKUP(H699,[4]Sheet2!K:P,6,0)</f>
        <v>5.1973500000000001E-4</v>
      </c>
      <c r="M699" s="50">
        <f>VLOOKUP(H699,[4]Sheet2!K:Q,7,0)</f>
        <v>24000</v>
      </c>
      <c r="N699" s="51"/>
      <c r="O699" s="51"/>
      <c r="P699" s="51"/>
      <c r="Q699" s="51"/>
      <c r="R699" s="51"/>
      <c r="S699" s="51"/>
      <c r="T699" s="51"/>
      <c r="U699" s="51"/>
      <c r="V699" s="52">
        <f>VLOOKUP(H699,[4]Sheet2!K:N,4,0)</f>
        <v>24000</v>
      </c>
      <c r="W699" s="52">
        <f t="shared" si="608"/>
        <v>0</v>
      </c>
      <c r="X699" s="52">
        <f>VLOOKUP(H699,[4]Sheet2!K:N,4,0)</f>
        <v>24000</v>
      </c>
      <c r="Y699" s="53">
        <f t="shared" si="609"/>
        <v>1</v>
      </c>
      <c r="Z699" s="53">
        <f t="shared" si="610"/>
        <v>0</v>
      </c>
      <c r="AA699" s="53">
        <f t="shared" si="611"/>
        <v>1</v>
      </c>
    </row>
    <row r="700" spans="1:27" ht="18.75" customHeight="1" outlineLevel="5" x14ac:dyDescent="0.3">
      <c r="B700" s="12"/>
      <c r="C700" s="18"/>
      <c r="D700" s="24"/>
      <c r="E700" s="29"/>
      <c r="F700" s="34"/>
      <c r="G700" s="39" t="s">
        <v>189</v>
      </c>
      <c r="H700" s="58"/>
      <c r="I700" s="58"/>
      <c r="J700" s="58"/>
      <c r="K700" s="58"/>
      <c r="L700" s="41">
        <f>SUM(L701:L706)</f>
        <v>7.3504999999999977E-3</v>
      </c>
      <c r="M700" s="42">
        <f>M701</f>
        <v>16000</v>
      </c>
      <c r="N700" s="40"/>
      <c r="O700" s="40"/>
      <c r="P700" s="40"/>
      <c r="Q700" s="40"/>
      <c r="R700" s="40"/>
      <c r="S700" s="40"/>
      <c r="T700" s="40"/>
      <c r="U700" s="40"/>
      <c r="V700" s="42">
        <f t="shared" ref="V700:X700" si="612">V701</f>
        <v>16000</v>
      </c>
      <c r="W700" s="42">
        <f t="shared" si="612"/>
        <v>0</v>
      </c>
      <c r="X700" s="42">
        <f t="shared" si="612"/>
        <v>16000</v>
      </c>
      <c r="Y700" s="43">
        <f>SUMPRODUCT(Y701:Y706,$K701:$K706)</f>
        <v>1.0000000000000002</v>
      </c>
      <c r="Z700" s="43">
        <f t="shared" ref="Z700:AA700" si="613">SUMPRODUCT(Z701:Z706,$K701:$K706)</f>
        <v>0</v>
      </c>
      <c r="AA700" s="43">
        <f t="shared" si="613"/>
        <v>1.0000000000000002</v>
      </c>
    </row>
    <row r="701" spans="1:27" ht="18.75" customHeight="1" outlineLevel="6" x14ac:dyDescent="0.3">
      <c r="B701" s="44"/>
      <c r="C701" s="18"/>
      <c r="D701" s="24"/>
      <c r="E701" s="29"/>
      <c r="F701" s="34"/>
      <c r="G701" s="39"/>
      <c r="H701" s="46" t="s">
        <v>741</v>
      </c>
      <c r="I701" s="46" t="s">
        <v>45</v>
      </c>
      <c r="J701" s="47" t="s">
        <v>30</v>
      </c>
      <c r="K701" s="48">
        <v>0.05</v>
      </c>
      <c r="L701" s="49">
        <f>VLOOKUP(H701,[4]Sheet2!K:P,6,0)</f>
        <v>3.6752499999999995E-4</v>
      </c>
      <c r="M701" s="50">
        <f>VLOOKUP(H701,[4]Sheet2!K:Q,7,0)</f>
        <v>16000</v>
      </c>
      <c r="N701" s="51"/>
      <c r="O701" s="51"/>
      <c r="P701" s="51"/>
      <c r="Q701" s="51"/>
      <c r="R701" s="51"/>
      <c r="S701" s="51"/>
      <c r="T701" s="51"/>
      <c r="U701" s="51"/>
      <c r="V701" s="52">
        <f>VLOOKUP(H701,[4]Sheet2!K:N,4,0)</f>
        <v>16000</v>
      </c>
      <c r="W701" s="52">
        <f t="shared" ref="W701:W706" si="614">X701-V701</f>
        <v>0</v>
      </c>
      <c r="X701" s="52">
        <f>VLOOKUP(H701,[4]Sheet2!K:N,4,0)</f>
        <v>16000</v>
      </c>
      <c r="Y701" s="53">
        <f t="shared" ref="Y701:Y706" si="615">IFERROR(V701/M701,1)</f>
        <v>1</v>
      </c>
      <c r="Z701" s="53">
        <f t="shared" ref="Z701:Z706" si="616">IFERROR(W701/M701,1)</f>
        <v>0</v>
      </c>
      <c r="AA701" s="53">
        <f t="shared" ref="AA701:AA706" si="617">IFERROR(X701/M701,1)</f>
        <v>1</v>
      </c>
    </row>
    <row r="702" spans="1:27" ht="18.75" customHeight="1" outlineLevel="6" x14ac:dyDescent="0.3">
      <c r="A702" s="60" t="s">
        <v>634</v>
      </c>
      <c r="B702" s="44"/>
      <c r="C702" s="18"/>
      <c r="D702" s="24"/>
      <c r="E702" s="29"/>
      <c r="F702" s="34"/>
      <c r="G702" s="39"/>
      <c r="H702" s="46" t="s">
        <v>742</v>
      </c>
      <c r="I702" s="46" t="s">
        <v>48</v>
      </c>
      <c r="J702" s="47" t="s">
        <v>30</v>
      </c>
      <c r="K702" s="48">
        <v>0.5</v>
      </c>
      <c r="L702" s="49">
        <f>VLOOKUP(H702,[4]Sheet2!K:P,6,0)</f>
        <v>3.6752499999999997E-3</v>
      </c>
      <c r="M702" s="50">
        <f>VLOOKUP(H702,[4]Sheet2!K:Q,7,0)</f>
        <v>16000</v>
      </c>
      <c r="N702" s="51"/>
      <c r="O702" s="51"/>
      <c r="P702" s="51"/>
      <c r="Q702" s="51"/>
      <c r="R702" s="51"/>
      <c r="S702" s="51"/>
      <c r="T702" s="51"/>
      <c r="U702" s="51"/>
      <c r="V702" s="52">
        <f>VLOOKUP(H702,[4]Sheet2!K:N,4,0)</f>
        <v>16000</v>
      </c>
      <c r="W702" s="52">
        <f t="shared" si="614"/>
        <v>0</v>
      </c>
      <c r="X702" s="52">
        <f>VLOOKUP(H702,[4]Sheet2!K:N,4,0)</f>
        <v>16000</v>
      </c>
      <c r="Y702" s="53">
        <f t="shared" si="615"/>
        <v>1</v>
      </c>
      <c r="Z702" s="53">
        <f t="shared" si="616"/>
        <v>0</v>
      </c>
      <c r="AA702" s="53">
        <f t="shared" si="617"/>
        <v>1</v>
      </c>
    </row>
    <row r="703" spans="1:27" ht="18.75" customHeight="1" outlineLevel="6" x14ac:dyDescent="0.3">
      <c r="B703" s="44"/>
      <c r="C703" s="18"/>
      <c r="D703" s="24"/>
      <c r="E703" s="29"/>
      <c r="F703" s="34"/>
      <c r="G703" s="39"/>
      <c r="H703" s="46" t="s">
        <v>743</v>
      </c>
      <c r="I703" s="46" t="s">
        <v>50</v>
      </c>
      <c r="J703" s="47" t="s">
        <v>30</v>
      </c>
      <c r="K703" s="48">
        <v>0.15</v>
      </c>
      <c r="L703" s="49">
        <f>VLOOKUP(H703,[4]Sheet2!K:P,6,0)</f>
        <v>1.102575E-3</v>
      </c>
      <c r="M703" s="50">
        <f>VLOOKUP(H703,[4]Sheet2!K:Q,7,0)</f>
        <v>16000</v>
      </c>
      <c r="N703" s="51"/>
      <c r="O703" s="51"/>
      <c r="P703" s="51"/>
      <c r="Q703" s="51"/>
      <c r="R703" s="51"/>
      <c r="S703" s="51"/>
      <c r="T703" s="51"/>
      <c r="U703" s="51"/>
      <c r="V703" s="52">
        <f>VLOOKUP(H703,[4]Sheet2!K:N,4,0)</f>
        <v>16000</v>
      </c>
      <c r="W703" s="52">
        <f t="shared" si="614"/>
        <v>0</v>
      </c>
      <c r="X703" s="52">
        <f>VLOOKUP(H703,[4]Sheet2!K:N,4,0)</f>
        <v>16000</v>
      </c>
      <c r="Y703" s="53">
        <f t="shared" si="615"/>
        <v>1</v>
      </c>
      <c r="Z703" s="53">
        <f t="shared" si="616"/>
        <v>0</v>
      </c>
      <c r="AA703" s="53">
        <f t="shared" si="617"/>
        <v>1</v>
      </c>
    </row>
    <row r="704" spans="1:27" ht="18.75" customHeight="1" outlineLevel="6" x14ac:dyDescent="0.3">
      <c r="B704" s="44"/>
      <c r="C704" s="18"/>
      <c r="D704" s="24"/>
      <c r="E704" s="29"/>
      <c r="F704" s="34"/>
      <c r="G704" s="39"/>
      <c r="H704" s="46" t="s">
        <v>744</v>
      </c>
      <c r="I704" s="46" t="s">
        <v>52</v>
      </c>
      <c r="J704" s="47" t="s">
        <v>30</v>
      </c>
      <c r="K704" s="48">
        <v>0.2</v>
      </c>
      <c r="L704" s="49">
        <f>VLOOKUP(H704,[4]Sheet2!K:P,6,0)</f>
        <v>1.4700999999999998E-3</v>
      </c>
      <c r="M704" s="50">
        <f>VLOOKUP(H704,[4]Sheet2!K:Q,7,0)</f>
        <v>16000</v>
      </c>
      <c r="N704" s="51"/>
      <c r="O704" s="51"/>
      <c r="P704" s="51"/>
      <c r="Q704" s="51"/>
      <c r="R704" s="51"/>
      <c r="S704" s="51"/>
      <c r="T704" s="51"/>
      <c r="U704" s="51"/>
      <c r="V704" s="52">
        <f>VLOOKUP(H704,[4]Sheet2!K:N,4,0)</f>
        <v>16000</v>
      </c>
      <c r="W704" s="52">
        <f t="shared" si="614"/>
        <v>0</v>
      </c>
      <c r="X704" s="52">
        <f>VLOOKUP(H704,[4]Sheet2!K:N,4,0)</f>
        <v>16000</v>
      </c>
      <c r="Y704" s="53">
        <f t="shared" si="615"/>
        <v>1</v>
      </c>
      <c r="Z704" s="53">
        <f t="shared" si="616"/>
        <v>0</v>
      </c>
      <c r="AA704" s="53">
        <f t="shared" si="617"/>
        <v>1</v>
      </c>
    </row>
    <row r="705" spans="1:27" ht="18.75" customHeight="1" outlineLevel="6" x14ac:dyDescent="0.3">
      <c r="B705" s="44"/>
      <c r="C705" s="18"/>
      <c r="D705" s="24"/>
      <c r="E705" s="29"/>
      <c r="F705" s="34"/>
      <c r="G705" s="39"/>
      <c r="H705" s="46" t="s">
        <v>745</v>
      </c>
      <c r="I705" s="46" t="s">
        <v>54</v>
      </c>
      <c r="J705" s="47" t="s">
        <v>30</v>
      </c>
      <c r="K705" s="48">
        <v>0.05</v>
      </c>
      <c r="L705" s="49">
        <f>VLOOKUP(H705,[4]Sheet2!K:P,6,0)</f>
        <v>3.6752499999999995E-4</v>
      </c>
      <c r="M705" s="50">
        <f>VLOOKUP(H705,[4]Sheet2!K:Q,7,0)</f>
        <v>16000</v>
      </c>
      <c r="N705" s="51"/>
      <c r="O705" s="51"/>
      <c r="P705" s="51"/>
      <c r="Q705" s="51"/>
      <c r="R705" s="51"/>
      <c r="S705" s="51"/>
      <c r="T705" s="51"/>
      <c r="U705" s="51"/>
      <c r="V705" s="52">
        <f>VLOOKUP(H705,[4]Sheet2!K:N,4,0)</f>
        <v>16000</v>
      </c>
      <c r="W705" s="52">
        <f t="shared" si="614"/>
        <v>0</v>
      </c>
      <c r="X705" s="52">
        <f>VLOOKUP(H705,[4]Sheet2!K:N,4,0)</f>
        <v>16000</v>
      </c>
      <c r="Y705" s="53">
        <f t="shared" si="615"/>
        <v>1</v>
      </c>
      <c r="Z705" s="53">
        <f t="shared" si="616"/>
        <v>0</v>
      </c>
      <c r="AA705" s="53">
        <f t="shared" si="617"/>
        <v>1</v>
      </c>
    </row>
    <row r="706" spans="1:27" ht="18.75" customHeight="1" outlineLevel="6" x14ac:dyDescent="0.3">
      <c r="B706" s="44"/>
      <c r="C706" s="18"/>
      <c r="D706" s="24"/>
      <c r="E706" s="29"/>
      <c r="F706" s="34"/>
      <c r="G706" s="39"/>
      <c r="H706" s="46" t="s">
        <v>746</v>
      </c>
      <c r="I706" s="46" t="s">
        <v>56</v>
      </c>
      <c r="J706" s="47" t="s">
        <v>30</v>
      </c>
      <c r="K706" s="48">
        <v>0.05</v>
      </c>
      <c r="L706" s="49">
        <f>VLOOKUP(H706,[4]Sheet2!K:P,6,0)</f>
        <v>3.6752499999999995E-4</v>
      </c>
      <c r="M706" s="50">
        <f>VLOOKUP(H706,[4]Sheet2!K:Q,7,0)</f>
        <v>16000</v>
      </c>
      <c r="N706" s="51"/>
      <c r="O706" s="51"/>
      <c r="P706" s="51"/>
      <c r="Q706" s="51"/>
      <c r="R706" s="51"/>
      <c r="S706" s="51"/>
      <c r="T706" s="51"/>
      <c r="U706" s="51"/>
      <c r="V706" s="52">
        <f>VLOOKUP(H706,[4]Sheet2!K:N,4,0)</f>
        <v>16000</v>
      </c>
      <c r="W706" s="52">
        <f t="shared" si="614"/>
        <v>0</v>
      </c>
      <c r="X706" s="52">
        <f>VLOOKUP(H706,[4]Sheet2!K:N,4,0)</f>
        <v>16000</v>
      </c>
      <c r="Y706" s="53">
        <f t="shared" si="615"/>
        <v>1</v>
      </c>
      <c r="Z706" s="53">
        <f t="shared" si="616"/>
        <v>0</v>
      </c>
      <c r="AA706" s="53">
        <f t="shared" si="617"/>
        <v>1</v>
      </c>
    </row>
    <row r="707" spans="1:27" ht="18.75" customHeight="1" outlineLevel="5" x14ac:dyDescent="0.3">
      <c r="B707" s="12"/>
      <c r="C707" s="18"/>
      <c r="D707" s="24"/>
      <c r="E707" s="29"/>
      <c r="F707" s="34"/>
      <c r="G707" s="39" t="s">
        <v>196</v>
      </c>
      <c r="H707" s="58"/>
      <c r="I707" s="58"/>
      <c r="J707" s="58"/>
      <c r="K707" s="58"/>
      <c r="L707" s="41">
        <f>SUM(L708:L713)</f>
        <v>3.5258999999999998E-3</v>
      </c>
      <c r="M707" s="42">
        <f>M708</f>
        <v>8000</v>
      </c>
      <c r="N707" s="40"/>
      <c r="O707" s="40"/>
      <c r="P707" s="40"/>
      <c r="Q707" s="40"/>
      <c r="R707" s="40"/>
      <c r="S707" s="40"/>
      <c r="T707" s="40"/>
      <c r="U707" s="40"/>
      <c r="V707" s="42">
        <f t="shared" ref="V707:X707" si="618">V708</f>
        <v>0</v>
      </c>
      <c r="W707" s="42">
        <f t="shared" si="618"/>
        <v>0</v>
      </c>
      <c r="X707" s="42">
        <f t="shared" si="618"/>
        <v>0</v>
      </c>
      <c r="Y707" s="43">
        <f>SUMPRODUCT(Y708:Y713,$K708:$K713)</f>
        <v>0</v>
      </c>
      <c r="Z707" s="43">
        <f t="shared" ref="Z707:AA707" si="619">SUMPRODUCT(Z708:Z713,$K708:$K713)</f>
        <v>0</v>
      </c>
      <c r="AA707" s="43">
        <f t="shared" si="619"/>
        <v>0</v>
      </c>
    </row>
    <row r="708" spans="1:27" ht="18.75" customHeight="1" outlineLevel="6" x14ac:dyDescent="0.3">
      <c r="B708" s="44"/>
      <c r="C708" s="18"/>
      <c r="D708" s="24"/>
      <c r="E708" s="29"/>
      <c r="F708" s="34"/>
      <c r="G708" s="39"/>
      <c r="H708" s="46" t="s">
        <v>747</v>
      </c>
      <c r="I708" s="46" t="s">
        <v>45</v>
      </c>
      <c r="J708" s="47" t="s">
        <v>30</v>
      </c>
      <c r="K708" s="48">
        <v>0.05</v>
      </c>
      <c r="L708" s="49">
        <f>VLOOKUP(H708,[4]Sheet2!K:P,6,0)</f>
        <v>1.7629500000000001E-4</v>
      </c>
      <c r="M708" s="50">
        <f>VLOOKUP(H708,[4]Sheet2!K:Q,7,0)</f>
        <v>8000</v>
      </c>
      <c r="N708" s="51"/>
      <c r="O708" s="51"/>
      <c r="P708" s="51"/>
      <c r="Q708" s="51"/>
      <c r="R708" s="51"/>
      <c r="S708" s="51"/>
      <c r="T708" s="51"/>
      <c r="U708" s="51"/>
      <c r="V708" s="52">
        <f>VLOOKUP(H708,[4]Sheet2!K:N,4,0)</f>
        <v>0</v>
      </c>
      <c r="W708" s="52">
        <f t="shared" ref="W708:W713" si="620">X708-V708</f>
        <v>0</v>
      </c>
      <c r="X708" s="52">
        <f>VLOOKUP(H708,[4]Sheet2!K:N,4,0)</f>
        <v>0</v>
      </c>
      <c r="Y708" s="53">
        <f t="shared" ref="Y708:Y713" si="621">IFERROR(V708/M708,1)</f>
        <v>0</v>
      </c>
      <c r="Z708" s="53">
        <f t="shared" ref="Z708:Z713" si="622">IFERROR(W708/M708,1)</f>
        <v>0</v>
      </c>
      <c r="AA708" s="53">
        <f t="shared" ref="AA708:AA713" si="623">IFERROR(X708/M708,1)</f>
        <v>0</v>
      </c>
    </row>
    <row r="709" spans="1:27" ht="18.75" customHeight="1" outlineLevel="6" x14ac:dyDescent="0.3">
      <c r="A709" s="60" t="s">
        <v>634</v>
      </c>
      <c r="B709" s="44"/>
      <c r="C709" s="18"/>
      <c r="D709" s="24"/>
      <c r="E709" s="29"/>
      <c r="F709" s="34"/>
      <c r="G709" s="39"/>
      <c r="H709" s="46" t="s">
        <v>748</v>
      </c>
      <c r="I709" s="46" t="s">
        <v>48</v>
      </c>
      <c r="J709" s="47" t="s">
        <v>30</v>
      </c>
      <c r="K709" s="48">
        <v>0.5</v>
      </c>
      <c r="L709" s="49">
        <f>VLOOKUP(H709,[4]Sheet2!K:P,6,0)</f>
        <v>1.7629500000000001E-3</v>
      </c>
      <c r="M709" s="50">
        <f>VLOOKUP(H709,[4]Sheet2!K:Q,7,0)</f>
        <v>8000</v>
      </c>
      <c r="N709" s="51"/>
      <c r="O709" s="51"/>
      <c r="P709" s="51"/>
      <c r="Q709" s="51"/>
      <c r="R709" s="51"/>
      <c r="S709" s="51"/>
      <c r="T709" s="51"/>
      <c r="U709" s="51"/>
      <c r="V709" s="52">
        <f>VLOOKUP(H709,[4]Sheet2!K:N,4,0)</f>
        <v>0</v>
      </c>
      <c r="W709" s="52">
        <f t="shared" si="620"/>
        <v>0</v>
      </c>
      <c r="X709" s="52">
        <f>VLOOKUP(H709,[4]Sheet2!K:N,4,0)</f>
        <v>0</v>
      </c>
      <c r="Y709" s="53">
        <f t="shared" si="621"/>
        <v>0</v>
      </c>
      <c r="Z709" s="53">
        <f t="shared" si="622"/>
        <v>0</v>
      </c>
      <c r="AA709" s="53">
        <f t="shared" si="623"/>
        <v>0</v>
      </c>
    </row>
    <row r="710" spans="1:27" ht="18.75" customHeight="1" outlineLevel="6" x14ac:dyDescent="0.3">
      <c r="B710" s="44"/>
      <c r="C710" s="18"/>
      <c r="D710" s="24"/>
      <c r="E710" s="29"/>
      <c r="F710" s="34"/>
      <c r="G710" s="39"/>
      <c r="H710" s="46" t="s">
        <v>749</v>
      </c>
      <c r="I710" s="46" t="s">
        <v>50</v>
      </c>
      <c r="J710" s="47" t="s">
        <v>30</v>
      </c>
      <c r="K710" s="48">
        <v>0.15</v>
      </c>
      <c r="L710" s="49">
        <f>VLOOKUP(H710,[4]Sheet2!K:P,6,0)</f>
        <v>5.2888499999999999E-4</v>
      </c>
      <c r="M710" s="50">
        <f>VLOOKUP(H710,[4]Sheet2!K:Q,7,0)</f>
        <v>8000</v>
      </c>
      <c r="N710" s="51"/>
      <c r="O710" s="51"/>
      <c r="P710" s="51"/>
      <c r="Q710" s="51"/>
      <c r="R710" s="51"/>
      <c r="S710" s="51"/>
      <c r="T710" s="51"/>
      <c r="U710" s="51"/>
      <c r="V710" s="52">
        <f>VLOOKUP(H710,[4]Sheet2!K:N,4,0)</f>
        <v>0</v>
      </c>
      <c r="W710" s="52">
        <f t="shared" si="620"/>
        <v>0</v>
      </c>
      <c r="X710" s="52">
        <f>VLOOKUP(H710,[4]Sheet2!K:N,4,0)</f>
        <v>0</v>
      </c>
      <c r="Y710" s="53">
        <f t="shared" si="621"/>
        <v>0</v>
      </c>
      <c r="Z710" s="53">
        <f t="shared" si="622"/>
        <v>0</v>
      </c>
      <c r="AA710" s="53">
        <f t="shared" si="623"/>
        <v>0</v>
      </c>
    </row>
    <row r="711" spans="1:27" ht="18.75" customHeight="1" outlineLevel="6" x14ac:dyDescent="0.3">
      <c r="B711" s="44"/>
      <c r="C711" s="18"/>
      <c r="D711" s="24"/>
      <c r="E711" s="29"/>
      <c r="F711" s="34"/>
      <c r="G711" s="39"/>
      <c r="H711" s="46" t="s">
        <v>750</v>
      </c>
      <c r="I711" s="46" t="s">
        <v>52</v>
      </c>
      <c r="J711" s="47" t="s">
        <v>30</v>
      </c>
      <c r="K711" s="48">
        <v>0.2</v>
      </c>
      <c r="L711" s="49">
        <f>VLOOKUP(H711,[4]Sheet2!K:P,6,0)</f>
        <v>7.0518000000000002E-4</v>
      </c>
      <c r="M711" s="50">
        <f>VLOOKUP(H711,[4]Sheet2!K:Q,7,0)</f>
        <v>8000</v>
      </c>
      <c r="N711" s="51"/>
      <c r="O711" s="51"/>
      <c r="P711" s="51"/>
      <c r="Q711" s="51"/>
      <c r="R711" s="51"/>
      <c r="S711" s="51"/>
      <c r="T711" s="51"/>
      <c r="U711" s="51"/>
      <c r="V711" s="52">
        <f>VLOOKUP(H711,[4]Sheet2!K:N,4,0)</f>
        <v>0</v>
      </c>
      <c r="W711" s="52">
        <f t="shared" si="620"/>
        <v>0</v>
      </c>
      <c r="X711" s="52">
        <f>VLOOKUP(H711,[4]Sheet2!K:N,4,0)</f>
        <v>0</v>
      </c>
      <c r="Y711" s="53">
        <f t="shared" si="621"/>
        <v>0</v>
      </c>
      <c r="Z711" s="53">
        <f t="shared" si="622"/>
        <v>0</v>
      </c>
      <c r="AA711" s="53">
        <f t="shared" si="623"/>
        <v>0</v>
      </c>
    </row>
    <row r="712" spans="1:27" ht="18.75" customHeight="1" outlineLevel="6" x14ac:dyDescent="0.3">
      <c r="B712" s="44"/>
      <c r="C712" s="18"/>
      <c r="D712" s="24"/>
      <c r="E712" s="29"/>
      <c r="F712" s="34"/>
      <c r="G712" s="39"/>
      <c r="H712" s="46" t="s">
        <v>751</v>
      </c>
      <c r="I712" s="46" t="s">
        <v>54</v>
      </c>
      <c r="J712" s="47" t="s">
        <v>30</v>
      </c>
      <c r="K712" s="48">
        <v>0.05</v>
      </c>
      <c r="L712" s="49">
        <f>VLOOKUP(H712,[4]Sheet2!K:P,6,0)</f>
        <v>1.7629500000000001E-4</v>
      </c>
      <c r="M712" s="50">
        <f>VLOOKUP(H712,[4]Sheet2!K:Q,7,0)</f>
        <v>8000</v>
      </c>
      <c r="N712" s="51"/>
      <c r="O712" s="51"/>
      <c r="P712" s="51"/>
      <c r="Q712" s="51"/>
      <c r="R712" s="51"/>
      <c r="S712" s="51"/>
      <c r="T712" s="51"/>
      <c r="U712" s="51"/>
      <c r="V712" s="52">
        <f>VLOOKUP(H712,[4]Sheet2!K:N,4,0)</f>
        <v>0</v>
      </c>
      <c r="W712" s="52">
        <f t="shared" si="620"/>
        <v>0</v>
      </c>
      <c r="X712" s="52">
        <f>VLOOKUP(H712,[4]Sheet2!K:N,4,0)</f>
        <v>0</v>
      </c>
      <c r="Y712" s="53">
        <f t="shared" si="621"/>
        <v>0</v>
      </c>
      <c r="Z712" s="53">
        <f t="shared" si="622"/>
        <v>0</v>
      </c>
      <c r="AA712" s="53">
        <f t="shared" si="623"/>
        <v>0</v>
      </c>
    </row>
    <row r="713" spans="1:27" ht="18.75" customHeight="1" outlineLevel="6" x14ac:dyDescent="0.3">
      <c r="B713" s="44"/>
      <c r="C713" s="18"/>
      <c r="D713" s="24"/>
      <c r="E713" s="29"/>
      <c r="F713" s="34"/>
      <c r="G713" s="39"/>
      <c r="H713" s="46" t="s">
        <v>752</v>
      </c>
      <c r="I713" s="46" t="s">
        <v>56</v>
      </c>
      <c r="J713" s="47" t="s">
        <v>30</v>
      </c>
      <c r="K713" s="48">
        <v>0.05</v>
      </c>
      <c r="L713" s="49">
        <f>VLOOKUP(H713,[4]Sheet2!K:P,6,0)</f>
        <v>1.7629500000000001E-4</v>
      </c>
      <c r="M713" s="50">
        <f>VLOOKUP(H713,[4]Sheet2!K:Q,7,0)</f>
        <v>8000</v>
      </c>
      <c r="N713" s="51"/>
      <c r="O713" s="51"/>
      <c r="P713" s="51"/>
      <c r="Q713" s="51"/>
      <c r="R713" s="51"/>
      <c r="S713" s="51"/>
      <c r="T713" s="51"/>
      <c r="U713" s="51"/>
      <c r="V713" s="52">
        <f>VLOOKUP(H713,[4]Sheet2!K:N,4,0)</f>
        <v>0</v>
      </c>
      <c r="W713" s="52">
        <f t="shared" si="620"/>
        <v>0</v>
      </c>
      <c r="X713" s="52">
        <f>VLOOKUP(H713,[4]Sheet2!K:N,4,0)</f>
        <v>0</v>
      </c>
      <c r="Y713" s="53">
        <f t="shared" si="621"/>
        <v>0</v>
      </c>
      <c r="Z713" s="53">
        <f t="shared" si="622"/>
        <v>0</v>
      </c>
      <c r="AA713" s="53">
        <f t="shared" si="623"/>
        <v>0</v>
      </c>
    </row>
    <row r="714" spans="1:27" ht="18.75" customHeight="1" outlineLevel="5" x14ac:dyDescent="0.3">
      <c r="B714" s="12"/>
      <c r="C714" s="18"/>
      <c r="D714" s="24"/>
      <c r="E714" s="29"/>
      <c r="F714" s="34"/>
      <c r="G714" s="39" t="s">
        <v>203</v>
      </c>
      <c r="H714" s="58"/>
      <c r="I714" s="58"/>
      <c r="J714" s="58"/>
      <c r="K714" s="58"/>
      <c r="L714" s="41">
        <f>SUM(L715:L720)</f>
        <v>2.1386999999999999E-3</v>
      </c>
      <c r="M714" s="42">
        <f>M715</f>
        <v>5000</v>
      </c>
      <c r="N714" s="40"/>
      <c r="O714" s="40"/>
      <c r="P714" s="40"/>
      <c r="Q714" s="40"/>
      <c r="R714" s="40"/>
      <c r="S714" s="40"/>
      <c r="T714" s="40"/>
      <c r="U714" s="40"/>
      <c r="V714" s="42">
        <f t="shared" ref="V714:X714" si="624">V715</f>
        <v>0</v>
      </c>
      <c r="W714" s="42">
        <f t="shared" si="624"/>
        <v>0</v>
      </c>
      <c r="X714" s="42">
        <f t="shared" si="624"/>
        <v>0</v>
      </c>
      <c r="Y714" s="43">
        <f>SUMPRODUCT(Y715:Y720,$K715:$K720)</f>
        <v>0</v>
      </c>
      <c r="Z714" s="43">
        <f t="shared" ref="Z714:AA714" si="625">SUMPRODUCT(Z715:Z720,$K715:$K720)</f>
        <v>0</v>
      </c>
      <c r="AA714" s="43">
        <f t="shared" si="625"/>
        <v>0</v>
      </c>
    </row>
    <row r="715" spans="1:27" ht="18.75" customHeight="1" outlineLevel="6" x14ac:dyDescent="0.3">
      <c r="B715" s="44"/>
      <c r="C715" s="18"/>
      <c r="D715" s="24"/>
      <c r="E715" s="29"/>
      <c r="F715" s="34"/>
      <c r="G715" s="39"/>
      <c r="H715" s="46" t="s">
        <v>753</v>
      </c>
      <c r="I715" s="46" t="s">
        <v>45</v>
      </c>
      <c r="J715" s="47" t="s">
        <v>30</v>
      </c>
      <c r="K715" s="48">
        <v>0.05</v>
      </c>
      <c r="L715" s="49">
        <f>VLOOKUP(H715,[4]Sheet2!K:P,6,0)</f>
        <v>1.0693499999999999E-4</v>
      </c>
      <c r="M715" s="50">
        <f>VLOOKUP(H715,[4]Sheet2!K:Q,7,0)</f>
        <v>5000</v>
      </c>
      <c r="N715" s="51"/>
      <c r="O715" s="51"/>
      <c r="P715" s="51"/>
      <c r="Q715" s="51"/>
      <c r="R715" s="51"/>
      <c r="S715" s="51"/>
      <c r="T715" s="51"/>
      <c r="U715" s="51"/>
      <c r="V715" s="52">
        <f>VLOOKUP(H715,[4]Sheet2!K:N,4,0)</f>
        <v>0</v>
      </c>
      <c r="W715" s="52">
        <f t="shared" ref="W715:W720" si="626">X715-V715</f>
        <v>0</v>
      </c>
      <c r="X715" s="52">
        <f>VLOOKUP(H715,[4]Sheet2!K:N,4,0)</f>
        <v>0</v>
      </c>
      <c r="Y715" s="53">
        <f t="shared" ref="Y715:Y720" si="627">IFERROR(V715/M715,1)</f>
        <v>0</v>
      </c>
      <c r="Z715" s="53">
        <f t="shared" ref="Z715:Z720" si="628">IFERROR(W715/M715,1)</f>
        <v>0</v>
      </c>
      <c r="AA715" s="53">
        <f t="shared" ref="AA715:AA720" si="629">IFERROR(X715/M715,1)</f>
        <v>0</v>
      </c>
    </row>
    <row r="716" spans="1:27" ht="18.75" customHeight="1" outlineLevel="6" x14ac:dyDescent="0.3">
      <c r="A716" s="60" t="s">
        <v>634</v>
      </c>
      <c r="B716" s="44"/>
      <c r="C716" s="18"/>
      <c r="D716" s="24"/>
      <c r="E716" s="29"/>
      <c r="F716" s="34"/>
      <c r="G716" s="39"/>
      <c r="H716" s="46" t="s">
        <v>754</v>
      </c>
      <c r="I716" s="46" t="s">
        <v>48</v>
      </c>
      <c r="J716" s="47" t="s">
        <v>30</v>
      </c>
      <c r="K716" s="48">
        <v>0.5</v>
      </c>
      <c r="L716" s="49">
        <f>VLOOKUP(H716,[4]Sheet2!K:P,6,0)</f>
        <v>1.0693499999999999E-3</v>
      </c>
      <c r="M716" s="50">
        <f>VLOOKUP(H716,[4]Sheet2!K:Q,7,0)</f>
        <v>5000</v>
      </c>
      <c r="N716" s="51"/>
      <c r="O716" s="51"/>
      <c r="P716" s="51"/>
      <c r="Q716" s="51"/>
      <c r="R716" s="51"/>
      <c r="S716" s="51"/>
      <c r="T716" s="51"/>
      <c r="U716" s="51"/>
      <c r="V716" s="52">
        <f>VLOOKUP(H716,[4]Sheet2!K:N,4,0)</f>
        <v>0</v>
      </c>
      <c r="W716" s="52">
        <f t="shared" si="626"/>
        <v>0</v>
      </c>
      <c r="X716" s="52">
        <f>VLOOKUP(H716,[4]Sheet2!K:N,4,0)</f>
        <v>0</v>
      </c>
      <c r="Y716" s="53">
        <f t="shared" si="627"/>
        <v>0</v>
      </c>
      <c r="Z716" s="53">
        <f t="shared" si="628"/>
        <v>0</v>
      </c>
      <c r="AA716" s="53">
        <f t="shared" si="629"/>
        <v>0</v>
      </c>
    </row>
    <row r="717" spans="1:27" ht="18.75" customHeight="1" outlineLevel="6" x14ac:dyDescent="0.3">
      <c r="B717" s="44"/>
      <c r="C717" s="18"/>
      <c r="D717" s="24"/>
      <c r="E717" s="29"/>
      <c r="F717" s="34"/>
      <c r="G717" s="39"/>
      <c r="H717" s="46" t="s">
        <v>755</v>
      </c>
      <c r="I717" s="46" t="s">
        <v>50</v>
      </c>
      <c r="J717" s="47" t="s">
        <v>30</v>
      </c>
      <c r="K717" s="48">
        <v>0.15</v>
      </c>
      <c r="L717" s="49">
        <f>VLOOKUP(H717,[4]Sheet2!K:P,6,0)</f>
        <v>3.2080499999999996E-4</v>
      </c>
      <c r="M717" s="50">
        <f>VLOOKUP(H717,[4]Sheet2!K:Q,7,0)</f>
        <v>5000</v>
      </c>
      <c r="N717" s="51"/>
      <c r="O717" s="51"/>
      <c r="P717" s="51"/>
      <c r="Q717" s="51"/>
      <c r="R717" s="51"/>
      <c r="S717" s="51"/>
      <c r="T717" s="51"/>
      <c r="U717" s="51"/>
      <c r="V717" s="52">
        <f>VLOOKUP(H717,[4]Sheet2!K:N,4,0)</f>
        <v>0</v>
      </c>
      <c r="W717" s="52">
        <f t="shared" si="626"/>
        <v>0</v>
      </c>
      <c r="X717" s="52">
        <f>VLOOKUP(H717,[4]Sheet2!K:N,4,0)</f>
        <v>0</v>
      </c>
      <c r="Y717" s="53">
        <f t="shared" si="627"/>
        <v>0</v>
      </c>
      <c r="Z717" s="53">
        <f t="shared" si="628"/>
        <v>0</v>
      </c>
      <c r="AA717" s="53">
        <f t="shared" si="629"/>
        <v>0</v>
      </c>
    </row>
    <row r="718" spans="1:27" ht="18.75" customHeight="1" outlineLevel="6" x14ac:dyDescent="0.3">
      <c r="B718" s="44"/>
      <c r="C718" s="18"/>
      <c r="D718" s="24"/>
      <c r="E718" s="29"/>
      <c r="F718" s="34"/>
      <c r="G718" s="39"/>
      <c r="H718" s="46" t="s">
        <v>756</v>
      </c>
      <c r="I718" s="46" t="s">
        <v>52</v>
      </c>
      <c r="J718" s="47" t="s">
        <v>30</v>
      </c>
      <c r="K718" s="48">
        <v>0.2</v>
      </c>
      <c r="L718" s="49">
        <f>VLOOKUP(H718,[4]Sheet2!K:P,6,0)</f>
        <v>4.2773999999999997E-4</v>
      </c>
      <c r="M718" s="50">
        <f>VLOOKUP(H718,[4]Sheet2!K:Q,7,0)</f>
        <v>5000</v>
      </c>
      <c r="N718" s="51"/>
      <c r="O718" s="51"/>
      <c r="P718" s="51"/>
      <c r="Q718" s="51"/>
      <c r="R718" s="51"/>
      <c r="S718" s="51"/>
      <c r="T718" s="51"/>
      <c r="U718" s="51"/>
      <c r="V718" s="52">
        <f>VLOOKUP(H718,[4]Sheet2!K:N,4,0)</f>
        <v>0</v>
      </c>
      <c r="W718" s="52">
        <f t="shared" si="626"/>
        <v>0</v>
      </c>
      <c r="X718" s="52">
        <f>VLOOKUP(H718,[4]Sheet2!K:N,4,0)</f>
        <v>0</v>
      </c>
      <c r="Y718" s="53">
        <f t="shared" si="627"/>
        <v>0</v>
      </c>
      <c r="Z718" s="53">
        <f t="shared" si="628"/>
        <v>0</v>
      </c>
      <c r="AA718" s="53">
        <f t="shared" si="629"/>
        <v>0</v>
      </c>
    </row>
    <row r="719" spans="1:27" ht="18.75" customHeight="1" outlineLevel="6" x14ac:dyDescent="0.3">
      <c r="B719" s="44"/>
      <c r="C719" s="18"/>
      <c r="D719" s="24"/>
      <c r="E719" s="29"/>
      <c r="F719" s="34"/>
      <c r="G719" s="39"/>
      <c r="H719" s="46" t="s">
        <v>757</v>
      </c>
      <c r="I719" s="46" t="s">
        <v>54</v>
      </c>
      <c r="J719" s="47" t="s">
        <v>30</v>
      </c>
      <c r="K719" s="48">
        <v>0.05</v>
      </c>
      <c r="L719" s="49">
        <f>VLOOKUP(H719,[4]Sheet2!K:P,6,0)</f>
        <v>1.0693499999999999E-4</v>
      </c>
      <c r="M719" s="50">
        <f>VLOOKUP(H719,[4]Sheet2!K:Q,7,0)</f>
        <v>5000</v>
      </c>
      <c r="N719" s="51"/>
      <c r="O719" s="51"/>
      <c r="P719" s="51"/>
      <c r="Q719" s="51"/>
      <c r="R719" s="51"/>
      <c r="S719" s="51"/>
      <c r="T719" s="51"/>
      <c r="U719" s="51"/>
      <c r="V719" s="52">
        <f>VLOOKUP(H719,[4]Sheet2!K:N,4,0)</f>
        <v>0</v>
      </c>
      <c r="W719" s="52">
        <f t="shared" si="626"/>
        <v>0</v>
      </c>
      <c r="X719" s="52">
        <f>VLOOKUP(H719,[4]Sheet2!K:N,4,0)</f>
        <v>0</v>
      </c>
      <c r="Y719" s="53">
        <f t="shared" si="627"/>
        <v>0</v>
      </c>
      <c r="Z719" s="53">
        <f t="shared" si="628"/>
        <v>0</v>
      </c>
      <c r="AA719" s="53">
        <f t="shared" si="629"/>
        <v>0</v>
      </c>
    </row>
    <row r="720" spans="1:27" ht="18.75" customHeight="1" outlineLevel="6" x14ac:dyDescent="0.3">
      <c r="B720" s="44"/>
      <c r="C720" s="18"/>
      <c r="D720" s="24"/>
      <c r="E720" s="29"/>
      <c r="F720" s="34"/>
      <c r="G720" s="39"/>
      <c r="H720" s="46" t="s">
        <v>758</v>
      </c>
      <c r="I720" s="46" t="s">
        <v>56</v>
      </c>
      <c r="J720" s="47" t="s">
        <v>30</v>
      </c>
      <c r="K720" s="48">
        <v>0.05</v>
      </c>
      <c r="L720" s="49">
        <f>VLOOKUP(H720,[4]Sheet2!K:P,6,0)</f>
        <v>1.0693499999999999E-4</v>
      </c>
      <c r="M720" s="50">
        <f>VLOOKUP(H720,[4]Sheet2!K:Q,7,0)</f>
        <v>5000</v>
      </c>
      <c r="N720" s="51"/>
      <c r="O720" s="51"/>
      <c r="P720" s="51"/>
      <c r="Q720" s="51"/>
      <c r="R720" s="51"/>
      <c r="S720" s="51"/>
      <c r="T720" s="51"/>
      <c r="U720" s="51"/>
      <c r="V720" s="52">
        <f>VLOOKUP(H720,[4]Sheet2!K:N,4,0)</f>
        <v>0</v>
      </c>
      <c r="W720" s="52">
        <f t="shared" si="626"/>
        <v>0</v>
      </c>
      <c r="X720" s="52">
        <f>VLOOKUP(H720,[4]Sheet2!K:N,4,0)</f>
        <v>0</v>
      </c>
      <c r="Y720" s="53">
        <f t="shared" si="627"/>
        <v>0</v>
      </c>
      <c r="Z720" s="53">
        <f t="shared" si="628"/>
        <v>0</v>
      </c>
      <c r="AA720" s="53">
        <f t="shared" si="629"/>
        <v>0</v>
      </c>
    </row>
    <row r="721" spans="1:27" ht="18.75" customHeight="1" outlineLevel="4" x14ac:dyDescent="0.3">
      <c r="B721" s="12"/>
      <c r="C721" s="18"/>
      <c r="D721" s="24"/>
      <c r="E721" s="29"/>
      <c r="F721" s="34" t="s">
        <v>210</v>
      </c>
      <c r="G721" s="34"/>
      <c r="H721" s="57"/>
      <c r="I721" s="57"/>
      <c r="J721" s="57"/>
      <c r="K721" s="57"/>
      <c r="L721" s="36">
        <f>L722+L729</f>
        <v>9.6269999999999993E-4</v>
      </c>
      <c r="M721" s="37">
        <f>M722+M729</f>
        <v>2510</v>
      </c>
      <c r="N721" s="35"/>
      <c r="O721" s="35"/>
      <c r="P721" s="35"/>
      <c r="Q721" s="35"/>
      <c r="R721" s="35"/>
      <c r="S721" s="35"/>
      <c r="T721" s="35"/>
      <c r="U721" s="35"/>
      <c r="V721" s="37">
        <f t="shared" ref="V721:X721" si="630">V722+V729</f>
        <v>0</v>
      </c>
      <c r="W721" s="37">
        <f t="shared" si="630"/>
        <v>0</v>
      </c>
      <c r="X721" s="37">
        <f t="shared" si="630"/>
        <v>0</v>
      </c>
      <c r="Y721" s="38">
        <f>(Y722*$L722+Y729*$L729)/$L721</f>
        <v>0</v>
      </c>
      <c r="Z721" s="38">
        <f t="shared" ref="Z721:AA721" si="631">(Z722*$L722+Z729*$L729)/$L721</f>
        <v>0</v>
      </c>
      <c r="AA721" s="38">
        <f t="shared" si="631"/>
        <v>0</v>
      </c>
    </row>
    <row r="722" spans="1:27" ht="18.75" customHeight="1" outlineLevel="5" x14ac:dyDescent="0.3">
      <c r="B722" s="12"/>
      <c r="C722" s="18"/>
      <c r="D722" s="24"/>
      <c r="E722" s="29"/>
      <c r="F722" s="34"/>
      <c r="G722" s="39" t="s">
        <v>211</v>
      </c>
      <c r="H722" s="58"/>
      <c r="I722" s="58"/>
      <c r="J722" s="58"/>
      <c r="K722" s="58"/>
      <c r="L722" s="41">
        <f>SUM(L723:L728)</f>
        <v>6.198E-4</v>
      </c>
      <c r="M722" s="42">
        <f>M723</f>
        <v>1600</v>
      </c>
      <c r="N722" s="40"/>
      <c r="O722" s="40"/>
      <c r="P722" s="40"/>
      <c r="Q722" s="40"/>
      <c r="R722" s="40"/>
      <c r="S722" s="40"/>
      <c r="T722" s="40"/>
      <c r="U722" s="40"/>
      <c r="V722" s="42">
        <f t="shared" ref="V722:X722" si="632">V723</f>
        <v>0</v>
      </c>
      <c r="W722" s="42">
        <f t="shared" si="632"/>
        <v>0</v>
      </c>
      <c r="X722" s="42">
        <f t="shared" si="632"/>
        <v>0</v>
      </c>
      <c r="Y722" s="43">
        <f>SUMPRODUCT(Y723:Y728,$K723:$K728)</f>
        <v>0</v>
      </c>
      <c r="Z722" s="43">
        <f t="shared" ref="Z722:AA722" si="633">SUMPRODUCT(Z723:Z728,$K723:$K728)</f>
        <v>0</v>
      </c>
      <c r="AA722" s="43">
        <f t="shared" si="633"/>
        <v>0</v>
      </c>
    </row>
    <row r="723" spans="1:27" ht="18.75" customHeight="1" outlineLevel="6" x14ac:dyDescent="0.3">
      <c r="B723" s="44"/>
      <c r="C723" s="18"/>
      <c r="D723" s="24"/>
      <c r="E723" s="29"/>
      <c r="F723" s="34"/>
      <c r="G723" s="39"/>
      <c r="H723" s="46" t="s">
        <v>759</v>
      </c>
      <c r="I723" s="46" t="s">
        <v>45</v>
      </c>
      <c r="J723" s="47" t="s">
        <v>30</v>
      </c>
      <c r="K723" s="48">
        <v>0.05</v>
      </c>
      <c r="L723" s="49">
        <f>VLOOKUP(H723,[4]Sheet2!K:P,6,0)</f>
        <v>3.099E-5</v>
      </c>
      <c r="M723" s="50">
        <f>VLOOKUP(H723,[4]Sheet2!K:Q,7,0)</f>
        <v>1600</v>
      </c>
      <c r="N723" s="51"/>
      <c r="O723" s="51"/>
      <c r="P723" s="51"/>
      <c r="Q723" s="51"/>
      <c r="R723" s="51"/>
      <c r="S723" s="51"/>
      <c r="T723" s="51"/>
      <c r="U723" s="51"/>
      <c r="V723" s="52">
        <f>VLOOKUP(H723,[4]Sheet2!K:N,4,0)</f>
        <v>0</v>
      </c>
      <c r="W723" s="52">
        <f t="shared" ref="W723:W728" si="634">X723-V723</f>
        <v>0</v>
      </c>
      <c r="X723" s="52">
        <f>VLOOKUP(H723,[4]Sheet2!K:N,4,0)</f>
        <v>0</v>
      </c>
      <c r="Y723" s="53">
        <f t="shared" ref="Y723:Y728" si="635">IFERROR(V723/M723,1)</f>
        <v>0</v>
      </c>
      <c r="Z723" s="53">
        <f t="shared" ref="Z723:Z728" si="636">IFERROR(W723/M723,1)</f>
        <v>0</v>
      </c>
      <c r="AA723" s="53">
        <f t="shared" ref="AA723:AA728" si="637">IFERROR(X723/M723,1)</f>
        <v>0</v>
      </c>
    </row>
    <row r="724" spans="1:27" ht="18.75" customHeight="1" outlineLevel="6" x14ac:dyDescent="0.3">
      <c r="A724" s="60" t="s">
        <v>634</v>
      </c>
      <c r="B724" s="44"/>
      <c r="C724" s="18"/>
      <c r="D724" s="24"/>
      <c r="E724" s="29"/>
      <c r="F724" s="34"/>
      <c r="G724" s="39"/>
      <c r="H724" s="46" t="s">
        <v>760</v>
      </c>
      <c r="I724" s="46" t="s">
        <v>48</v>
      </c>
      <c r="J724" s="47" t="s">
        <v>30</v>
      </c>
      <c r="K724" s="48">
        <v>0.5</v>
      </c>
      <c r="L724" s="49">
        <f>VLOOKUP(H724,[4]Sheet2!K:P,6,0)</f>
        <v>3.099E-4</v>
      </c>
      <c r="M724" s="50">
        <f>VLOOKUP(H724,[4]Sheet2!K:Q,7,0)</f>
        <v>1600</v>
      </c>
      <c r="N724" s="51"/>
      <c r="O724" s="51"/>
      <c r="P724" s="51"/>
      <c r="Q724" s="51"/>
      <c r="R724" s="51"/>
      <c r="S724" s="51"/>
      <c r="T724" s="51"/>
      <c r="U724" s="51"/>
      <c r="V724" s="52">
        <f>VLOOKUP(H724,[4]Sheet2!K:N,4,0)</f>
        <v>0</v>
      </c>
      <c r="W724" s="52">
        <f t="shared" si="634"/>
        <v>0</v>
      </c>
      <c r="X724" s="52">
        <f>VLOOKUP(H724,[4]Sheet2!K:N,4,0)</f>
        <v>0</v>
      </c>
      <c r="Y724" s="53">
        <f t="shared" si="635"/>
        <v>0</v>
      </c>
      <c r="Z724" s="53">
        <f t="shared" si="636"/>
        <v>0</v>
      </c>
      <c r="AA724" s="53">
        <f t="shared" si="637"/>
        <v>0</v>
      </c>
    </row>
    <row r="725" spans="1:27" ht="18.75" customHeight="1" outlineLevel="6" x14ac:dyDescent="0.3">
      <c r="B725" s="44"/>
      <c r="C725" s="18"/>
      <c r="D725" s="24"/>
      <c r="E725" s="29"/>
      <c r="F725" s="34"/>
      <c r="G725" s="39"/>
      <c r="H725" s="46" t="s">
        <v>761</v>
      </c>
      <c r="I725" s="46" t="s">
        <v>50</v>
      </c>
      <c r="J725" s="47" t="s">
        <v>30</v>
      </c>
      <c r="K725" s="48">
        <v>0.15</v>
      </c>
      <c r="L725" s="49">
        <f>VLOOKUP(H725,[4]Sheet2!K:P,6,0)</f>
        <v>9.2969999999999999E-5</v>
      </c>
      <c r="M725" s="50">
        <f>VLOOKUP(H725,[4]Sheet2!K:Q,7,0)</f>
        <v>1600</v>
      </c>
      <c r="N725" s="51"/>
      <c r="O725" s="51"/>
      <c r="P725" s="51"/>
      <c r="Q725" s="51"/>
      <c r="R725" s="51"/>
      <c r="S725" s="51"/>
      <c r="T725" s="51"/>
      <c r="U725" s="51"/>
      <c r="V725" s="52">
        <f>VLOOKUP(H725,[4]Sheet2!K:N,4,0)</f>
        <v>0</v>
      </c>
      <c r="W725" s="52">
        <f t="shared" si="634"/>
        <v>0</v>
      </c>
      <c r="X725" s="52">
        <f>VLOOKUP(H725,[4]Sheet2!K:N,4,0)</f>
        <v>0</v>
      </c>
      <c r="Y725" s="53">
        <f t="shared" si="635"/>
        <v>0</v>
      </c>
      <c r="Z725" s="53">
        <f t="shared" si="636"/>
        <v>0</v>
      </c>
      <c r="AA725" s="53">
        <f t="shared" si="637"/>
        <v>0</v>
      </c>
    </row>
    <row r="726" spans="1:27" ht="18.75" customHeight="1" outlineLevel="6" x14ac:dyDescent="0.3">
      <c r="B726" s="44"/>
      <c r="C726" s="18"/>
      <c r="D726" s="24"/>
      <c r="E726" s="29"/>
      <c r="F726" s="34"/>
      <c r="G726" s="39"/>
      <c r="H726" s="46" t="s">
        <v>762</v>
      </c>
      <c r="I726" s="46" t="s">
        <v>52</v>
      </c>
      <c r="J726" s="47" t="s">
        <v>30</v>
      </c>
      <c r="K726" s="48">
        <v>0.2</v>
      </c>
      <c r="L726" s="49">
        <f>VLOOKUP(H726,[4]Sheet2!K:P,6,0)</f>
        <v>1.2396E-4</v>
      </c>
      <c r="M726" s="50">
        <f>VLOOKUP(H726,[4]Sheet2!K:Q,7,0)</f>
        <v>1600</v>
      </c>
      <c r="N726" s="51"/>
      <c r="O726" s="51"/>
      <c r="P726" s="51"/>
      <c r="Q726" s="51"/>
      <c r="R726" s="51"/>
      <c r="S726" s="51"/>
      <c r="T726" s="51"/>
      <c r="U726" s="51"/>
      <c r="V726" s="52">
        <f>VLOOKUP(H726,[4]Sheet2!K:N,4,0)</f>
        <v>0</v>
      </c>
      <c r="W726" s="52">
        <f t="shared" si="634"/>
        <v>0</v>
      </c>
      <c r="X726" s="52">
        <f>VLOOKUP(H726,[4]Sheet2!K:N,4,0)</f>
        <v>0</v>
      </c>
      <c r="Y726" s="53">
        <f t="shared" si="635"/>
        <v>0</v>
      </c>
      <c r="Z726" s="53">
        <f t="shared" si="636"/>
        <v>0</v>
      </c>
      <c r="AA726" s="53">
        <f t="shared" si="637"/>
        <v>0</v>
      </c>
    </row>
    <row r="727" spans="1:27" ht="18.75" customHeight="1" outlineLevel="6" x14ac:dyDescent="0.3">
      <c r="B727" s="44"/>
      <c r="C727" s="18"/>
      <c r="D727" s="24"/>
      <c r="E727" s="29"/>
      <c r="F727" s="34"/>
      <c r="G727" s="39"/>
      <c r="H727" s="46" t="s">
        <v>763</v>
      </c>
      <c r="I727" s="46" t="s">
        <v>54</v>
      </c>
      <c r="J727" s="47" t="s">
        <v>30</v>
      </c>
      <c r="K727" s="48">
        <v>0.05</v>
      </c>
      <c r="L727" s="49">
        <f>VLOOKUP(H727,[4]Sheet2!K:P,6,0)</f>
        <v>3.099E-5</v>
      </c>
      <c r="M727" s="50">
        <f>VLOOKUP(H727,[4]Sheet2!K:Q,7,0)</f>
        <v>1600</v>
      </c>
      <c r="N727" s="51"/>
      <c r="O727" s="51"/>
      <c r="P727" s="51"/>
      <c r="Q727" s="51"/>
      <c r="R727" s="51"/>
      <c r="S727" s="51"/>
      <c r="T727" s="51"/>
      <c r="U727" s="51"/>
      <c r="V727" s="52">
        <f>VLOOKUP(H727,[4]Sheet2!K:N,4,0)</f>
        <v>0</v>
      </c>
      <c r="W727" s="52">
        <f t="shared" si="634"/>
        <v>0</v>
      </c>
      <c r="X727" s="52">
        <f>VLOOKUP(H727,[4]Sheet2!K:N,4,0)</f>
        <v>0</v>
      </c>
      <c r="Y727" s="53">
        <f t="shared" si="635"/>
        <v>0</v>
      </c>
      <c r="Z727" s="53">
        <f t="shared" si="636"/>
        <v>0</v>
      </c>
      <c r="AA727" s="53">
        <f t="shared" si="637"/>
        <v>0</v>
      </c>
    </row>
    <row r="728" spans="1:27" ht="18.75" customHeight="1" outlineLevel="6" x14ac:dyDescent="0.3">
      <c r="B728" s="44"/>
      <c r="C728" s="18"/>
      <c r="D728" s="24"/>
      <c r="E728" s="29"/>
      <c r="F728" s="34"/>
      <c r="G728" s="39"/>
      <c r="H728" s="46" t="s">
        <v>764</v>
      </c>
      <c r="I728" s="46" t="s">
        <v>56</v>
      </c>
      <c r="J728" s="47" t="s">
        <v>30</v>
      </c>
      <c r="K728" s="48">
        <v>0.05</v>
      </c>
      <c r="L728" s="49">
        <f>VLOOKUP(H728,[4]Sheet2!K:P,6,0)</f>
        <v>3.099E-5</v>
      </c>
      <c r="M728" s="50">
        <f>VLOOKUP(H728,[4]Sheet2!K:Q,7,0)</f>
        <v>1600</v>
      </c>
      <c r="N728" s="51"/>
      <c r="O728" s="51"/>
      <c r="P728" s="51"/>
      <c r="Q728" s="51"/>
      <c r="R728" s="51"/>
      <c r="S728" s="51"/>
      <c r="T728" s="51"/>
      <c r="U728" s="51"/>
      <c r="V728" s="52">
        <f>VLOOKUP(H728,[4]Sheet2!K:N,4,0)</f>
        <v>0</v>
      </c>
      <c r="W728" s="52">
        <f t="shared" si="634"/>
        <v>0</v>
      </c>
      <c r="X728" s="52">
        <f>VLOOKUP(H728,[4]Sheet2!K:N,4,0)</f>
        <v>0</v>
      </c>
      <c r="Y728" s="53">
        <f t="shared" si="635"/>
        <v>0</v>
      </c>
      <c r="Z728" s="53">
        <f t="shared" si="636"/>
        <v>0</v>
      </c>
      <c r="AA728" s="53">
        <f t="shared" si="637"/>
        <v>0</v>
      </c>
    </row>
    <row r="729" spans="1:27" ht="18.75" customHeight="1" outlineLevel="5" x14ac:dyDescent="0.3">
      <c r="B729" s="12"/>
      <c r="C729" s="18"/>
      <c r="D729" s="24"/>
      <c r="E729" s="29"/>
      <c r="F729" s="34"/>
      <c r="G729" s="39" t="s">
        <v>218</v>
      </c>
      <c r="H729" s="58"/>
      <c r="I729" s="58"/>
      <c r="J729" s="58"/>
      <c r="K729" s="58"/>
      <c r="L729" s="41">
        <f>SUM(L730:L735)</f>
        <v>3.4289999999999999E-4</v>
      </c>
      <c r="M729" s="42">
        <f>M730</f>
        <v>910</v>
      </c>
      <c r="N729" s="40"/>
      <c r="O729" s="40"/>
      <c r="P729" s="40"/>
      <c r="Q729" s="40"/>
      <c r="R729" s="40"/>
      <c r="S729" s="40"/>
      <c r="T729" s="40"/>
      <c r="U729" s="40"/>
      <c r="V729" s="42">
        <f t="shared" ref="V729:AA729" si="638">V730</f>
        <v>0</v>
      </c>
      <c r="W729" s="42">
        <f t="shared" si="638"/>
        <v>0</v>
      </c>
      <c r="X729" s="42">
        <f t="shared" si="638"/>
        <v>0</v>
      </c>
      <c r="Y729" s="43">
        <f t="shared" si="638"/>
        <v>0</v>
      </c>
      <c r="Z729" s="43">
        <f t="shared" si="638"/>
        <v>0</v>
      </c>
      <c r="AA729" s="43">
        <f t="shared" si="638"/>
        <v>0</v>
      </c>
    </row>
    <row r="730" spans="1:27" ht="18.75" customHeight="1" outlineLevel="6" x14ac:dyDescent="0.3">
      <c r="B730" s="44"/>
      <c r="C730" s="18"/>
      <c r="D730" s="24"/>
      <c r="E730" s="29"/>
      <c r="F730" s="34"/>
      <c r="G730" s="39"/>
      <c r="H730" s="46" t="s">
        <v>765</v>
      </c>
      <c r="I730" s="46" t="s">
        <v>45</v>
      </c>
      <c r="J730" s="47" t="s">
        <v>30</v>
      </c>
      <c r="K730" s="48">
        <v>0.05</v>
      </c>
      <c r="L730" s="49">
        <f>VLOOKUP(H730,[4]Sheet2!K:P,6,0)</f>
        <v>1.7144999999999999E-5</v>
      </c>
      <c r="M730" s="50">
        <f>VLOOKUP(H730,[4]Sheet2!K:Q,7,0)</f>
        <v>910</v>
      </c>
      <c r="N730" s="51"/>
      <c r="O730" s="51"/>
      <c r="P730" s="51"/>
      <c r="Q730" s="51"/>
      <c r="R730" s="51"/>
      <c r="S730" s="51"/>
      <c r="T730" s="51"/>
      <c r="U730" s="51"/>
      <c r="V730" s="52">
        <f>VLOOKUP(H730,[4]Sheet2!K:N,4,0)</f>
        <v>0</v>
      </c>
      <c r="W730" s="52">
        <f t="shared" ref="W730:W735" si="639">X730-V730</f>
        <v>0</v>
      </c>
      <c r="X730" s="52">
        <f>VLOOKUP(H730,[4]Sheet2!K:N,4,0)</f>
        <v>0</v>
      </c>
      <c r="Y730" s="53">
        <f t="shared" ref="Y730:Y735" si="640">IFERROR(V730/M730,1)</f>
        <v>0</v>
      </c>
      <c r="Z730" s="53">
        <f t="shared" ref="Z730:Z735" si="641">IFERROR(W730/M730,1)</f>
        <v>0</v>
      </c>
      <c r="AA730" s="53">
        <f t="shared" ref="AA730:AA735" si="642">IFERROR(X730/M730,1)</f>
        <v>0</v>
      </c>
    </row>
    <row r="731" spans="1:27" ht="18.75" customHeight="1" outlineLevel="6" x14ac:dyDescent="0.3">
      <c r="A731" s="60" t="s">
        <v>634</v>
      </c>
      <c r="B731" s="44"/>
      <c r="C731" s="18"/>
      <c r="D731" s="24"/>
      <c r="E731" s="29"/>
      <c r="F731" s="34"/>
      <c r="G731" s="39"/>
      <c r="H731" s="46" t="s">
        <v>766</v>
      </c>
      <c r="I731" s="46" t="s">
        <v>48</v>
      </c>
      <c r="J731" s="47" t="s">
        <v>30</v>
      </c>
      <c r="K731" s="48">
        <v>0.5</v>
      </c>
      <c r="L731" s="49">
        <f>VLOOKUP(H731,[4]Sheet2!K:P,6,0)</f>
        <v>1.7144999999999999E-4</v>
      </c>
      <c r="M731" s="50">
        <f>VLOOKUP(H731,[4]Sheet2!K:Q,7,0)</f>
        <v>910</v>
      </c>
      <c r="N731" s="51"/>
      <c r="O731" s="51"/>
      <c r="P731" s="51"/>
      <c r="Q731" s="51"/>
      <c r="R731" s="51"/>
      <c r="S731" s="51"/>
      <c r="T731" s="51"/>
      <c r="U731" s="51"/>
      <c r="V731" s="52">
        <f>VLOOKUP(H731,[4]Sheet2!K:N,4,0)</f>
        <v>0</v>
      </c>
      <c r="W731" s="52">
        <f t="shared" si="639"/>
        <v>0</v>
      </c>
      <c r="X731" s="52">
        <f>VLOOKUP(H731,[4]Sheet2!K:N,4,0)</f>
        <v>0</v>
      </c>
      <c r="Y731" s="53">
        <f t="shared" si="640"/>
        <v>0</v>
      </c>
      <c r="Z731" s="53">
        <f t="shared" si="641"/>
        <v>0</v>
      </c>
      <c r="AA731" s="53">
        <f t="shared" si="642"/>
        <v>0</v>
      </c>
    </row>
    <row r="732" spans="1:27" ht="18.75" customHeight="1" outlineLevel="6" x14ac:dyDescent="0.3">
      <c r="B732" s="44"/>
      <c r="C732" s="18"/>
      <c r="D732" s="24"/>
      <c r="E732" s="29"/>
      <c r="F732" s="34"/>
      <c r="G732" s="39"/>
      <c r="H732" s="46" t="s">
        <v>767</v>
      </c>
      <c r="I732" s="46" t="s">
        <v>50</v>
      </c>
      <c r="J732" s="47" t="s">
        <v>30</v>
      </c>
      <c r="K732" s="48">
        <v>0.15</v>
      </c>
      <c r="L732" s="49">
        <f>VLOOKUP(H732,[4]Sheet2!K:P,6,0)</f>
        <v>5.1434999999999998E-5</v>
      </c>
      <c r="M732" s="50">
        <f>VLOOKUP(H732,[4]Sheet2!K:Q,7,0)</f>
        <v>910</v>
      </c>
      <c r="N732" s="51"/>
      <c r="O732" s="51"/>
      <c r="P732" s="51"/>
      <c r="Q732" s="51"/>
      <c r="R732" s="51"/>
      <c r="S732" s="51"/>
      <c r="T732" s="51"/>
      <c r="U732" s="51"/>
      <c r="V732" s="52">
        <f>VLOOKUP(H732,[4]Sheet2!K:N,4,0)</f>
        <v>0</v>
      </c>
      <c r="W732" s="52">
        <f t="shared" si="639"/>
        <v>0</v>
      </c>
      <c r="X732" s="52">
        <f>VLOOKUP(H732,[4]Sheet2!K:N,4,0)</f>
        <v>0</v>
      </c>
      <c r="Y732" s="53">
        <f t="shared" si="640"/>
        <v>0</v>
      </c>
      <c r="Z732" s="53">
        <f t="shared" si="641"/>
        <v>0</v>
      </c>
      <c r="AA732" s="53">
        <f t="shared" si="642"/>
        <v>0</v>
      </c>
    </row>
    <row r="733" spans="1:27" ht="18.75" customHeight="1" outlineLevel="6" x14ac:dyDescent="0.3">
      <c r="B733" s="44"/>
      <c r="C733" s="18"/>
      <c r="D733" s="24"/>
      <c r="E733" s="29"/>
      <c r="F733" s="34"/>
      <c r="G733" s="39"/>
      <c r="H733" s="46" t="s">
        <v>768</v>
      </c>
      <c r="I733" s="46" t="s">
        <v>52</v>
      </c>
      <c r="J733" s="47" t="s">
        <v>30</v>
      </c>
      <c r="K733" s="48">
        <v>0.2</v>
      </c>
      <c r="L733" s="49">
        <f>VLOOKUP(H733,[4]Sheet2!K:P,6,0)</f>
        <v>6.8579999999999997E-5</v>
      </c>
      <c r="M733" s="50">
        <f>VLOOKUP(H733,[4]Sheet2!K:Q,7,0)</f>
        <v>910</v>
      </c>
      <c r="N733" s="51"/>
      <c r="O733" s="51"/>
      <c r="P733" s="51"/>
      <c r="Q733" s="51"/>
      <c r="R733" s="51"/>
      <c r="S733" s="51"/>
      <c r="T733" s="51"/>
      <c r="U733" s="51"/>
      <c r="V733" s="52">
        <f>VLOOKUP(H733,[4]Sheet2!K:N,4,0)</f>
        <v>0</v>
      </c>
      <c r="W733" s="52">
        <f t="shared" si="639"/>
        <v>0</v>
      </c>
      <c r="X733" s="52">
        <f>VLOOKUP(H733,[4]Sheet2!K:N,4,0)</f>
        <v>0</v>
      </c>
      <c r="Y733" s="53">
        <f t="shared" si="640"/>
        <v>0</v>
      </c>
      <c r="Z733" s="53">
        <f t="shared" si="641"/>
        <v>0</v>
      </c>
      <c r="AA733" s="53">
        <f t="shared" si="642"/>
        <v>0</v>
      </c>
    </row>
    <row r="734" spans="1:27" ht="18.75" customHeight="1" outlineLevel="6" x14ac:dyDescent="0.3">
      <c r="B734" s="44"/>
      <c r="C734" s="18"/>
      <c r="D734" s="24"/>
      <c r="E734" s="29"/>
      <c r="F734" s="34"/>
      <c r="G734" s="39"/>
      <c r="H734" s="46" t="s">
        <v>769</v>
      </c>
      <c r="I734" s="46" t="s">
        <v>54</v>
      </c>
      <c r="J734" s="47" t="s">
        <v>30</v>
      </c>
      <c r="K734" s="48">
        <v>0.05</v>
      </c>
      <c r="L734" s="49">
        <f>VLOOKUP(H734,[4]Sheet2!K:P,6,0)</f>
        <v>1.7144999999999999E-5</v>
      </c>
      <c r="M734" s="50">
        <f>VLOOKUP(H734,[4]Sheet2!K:Q,7,0)</f>
        <v>910</v>
      </c>
      <c r="N734" s="51"/>
      <c r="O734" s="51"/>
      <c r="P734" s="51"/>
      <c r="Q734" s="51"/>
      <c r="R734" s="51"/>
      <c r="S734" s="51"/>
      <c r="T734" s="51"/>
      <c r="U734" s="51"/>
      <c r="V734" s="52">
        <f>VLOOKUP(H734,[4]Sheet2!K:N,4,0)</f>
        <v>0</v>
      </c>
      <c r="W734" s="52">
        <f t="shared" si="639"/>
        <v>0</v>
      </c>
      <c r="X734" s="52">
        <f>VLOOKUP(H734,[4]Sheet2!K:N,4,0)</f>
        <v>0</v>
      </c>
      <c r="Y734" s="53">
        <f t="shared" si="640"/>
        <v>0</v>
      </c>
      <c r="Z734" s="53">
        <f t="shared" si="641"/>
        <v>0</v>
      </c>
      <c r="AA734" s="53">
        <f t="shared" si="642"/>
        <v>0</v>
      </c>
    </row>
    <row r="735" spans="1:27" ht="18.75" customHeight="1" outlineLevel="6" x14ac:dyDescent="0.3">
      <c r="B735" s="44"/>
      <c r="C735" s="18"/>
      <c r="D735" s="24"/>
      <c r="E735" s="29"/>
      <c r="F735" s="34"/>
      <c r="G735" s="39"/>
      <c r="H735" s="46" t="s">
        <v>770</v>
      </c>
      <c r="I735" s="46" t="s">
        <v>56</v>
      </c>
      <c r="J735" s="47" t="s">
        <v>30</v>
      </c>
      <c r="K735" s="48">
        <v>0.05</v>
      </c>
      <c r="L735" s="49">
        <f>VLOOKUP(H735,[4]Sheet2!K:P,6,0)</f>
        <v>1.7144999999999999E-5</v>
      </c>
      <c r="M735" s="50">
        <f>VLOOKUP(H735,[4]Sheet2!K:Q,7,0)</f>
        <v>910</v>
      </c>
      <c r="N735" s="51"/>
      <c r="O735" s="51"/>
      <c r="P735" s="51"/>
      <c r="Q735" s="51"/>
      <c r="R735" s="51"/>
      <c r="S735" s="51"/>
      <c r="T735" s="51"/>
      <c r="U735" s="51"/>
      <c r="V735" s="52">
        <f>VLOOKUP(H735,[4]Sheet2!K:N,4,0)</f>
        <v>0</v>
      </c>
      <c r="W735" s="52">
        <f t="shared" si="639"/>
        <v>0</v>
      </c>
      <c r="X735" s="52">
        <f>VLOOKUP(H735,[4]Sheet2!K:N,4,0)</f>
        <v>0</v>
      </c>
      <c r="Y735" s="53">
        <f t="shared" si="640"/>
        <v>0</v>
      </c>
      <c r="Z735" s="53">
        <f t="shared" si="641"/>
        <v>0</v>
      </c>
      <c r="AA735" s="53">
        <f t="shared" si="642"/>
        <v>0</v>
      </c>
    </row>
    <row r="736" spans="1:27" ht="18.75" customHeight="1" outlineLevel="4" x14ac:dyDescent="0.3">
      <c r="B736" s="12"/>
      <c r="C736" s="18"/>
      <c r="D736" s="24"/>
      <c r="E736" s="29"/>
      <c r="F736" s="34" t="s">
        <v>225</v>
      </c>
      <c r="G736" s="34"/>
      <c r="H736" s="57"/>
      <c r="I736" s="57"/>
      <c r="J736" s="57"/>
      <c r="K736" s="57"/>
      <c r="L736" s="36">
        <f>L737+L744+L751+L758+L765+L772</f>
        <v>6.1128900000000007E-2</v>
      </c>
      <c r="M736" s="37">
        <f>M737+M744+M751+M758+M765+M772</f>
        <v>158776.5</v>
      </c>
      <c r="N736" s="35"/>
      <c r="O736" s="35"/>
      <c r="P736" s="35"/>
      <c r="Q736" s="35"/>
      <c r="R736" s="35"/>
      <c r="S736" s="35"/>
      <c r="T736" s="35"/>
      <c r="U736" s="35"/>
      <c r="V736" s="37">
        <f t="shared" ref="V736:X736" si="643">V737+V744+V751+V758+V765+V772</f>
        <v>156298.45000000001</v>
      </c>
      <c r="W736" s="37">
        <f t="shared" si="643"/>
        <v>0</v>
      </c>
      <c r="X736" s="37">
        <f t="shared" si="643"/>
        <v>156298.45000000001</v>
      </c>
      <c r="Y736" s="38">
        <f>(Y737*$L737+Y744*$L744+Y751*$L751+Y758*$L758+Y765*$L765+Y772*$L772)/$L736</f>
        <v>0.89357963300462762</v>
      </c>
      <c r="Z736" s="38">
        <f t="shared" ref="Z736" si="644">(Z737*$L737+Z744*$L744+Z751*$L751+Z758*$L758+Z765*$L765+Z772*$L772)/$L736</f>
        <v>0</v>
      </c>
      <c r="AA736" s="38">
        <f>(AA737*$L737+AA744*$L744+AA751*$L751+AA758*$L758+AA765*$L765+AA772*$L772)/$L736</f>
        <v>0.89478245642738286</v>
      </c>
    </row>
    <row r="737" spans="1:27" ht="18.75" customHeight="1" outlineLevel="5" x14ac:dyDescent="0.3">
      <c r="B737" s="12"/>
      <c r="C737" s="18"/>
      <c r="D737" s="24"/>
      <c r="E737" s="29"/>
      <c r="F737" s="34"/>
      <c r="G737" s="39" t="s">
        <v>226</v>
      </c>
      <c r="H737" s="58"/>
      <c r="I737" s="58"/>
      <c r="J737" s="58"/>
      <c r="K737" s="58"/>
      <c r="L737" s="41">
        <f>SUM(L738:L743)</f>
        <v>1.8030900000000002E-2</v>
      </c>
      <c r="M737" s="42">
        <f>M738</f>
        <v>42000</v>
      </c>
      <c r="N737" s="40"/>
      <c r="O737" s="40"/>
      <c r="P737" s="40"/>
      <c r="Q737" s="40"/>
      <c r="R737" s="40"/>
      <c r="S737" s="40"/>
      <c r="T737" s="40"/>
      <c r="U737" s="40"/>
      <c r="V737" s="42">
        <f t="shared" ref="V737:X737" si="645">V738</f>
        <v>42000</v>
      </c>
      <c r="W737" s="42">
        <f t="shared" si="645"/>
        <v>0</v>
      </c>
      <c r="X737" s="42">
        <f t="shared" si="645"/>
        <v>42000</v>
      </c>
      <c r="Y737" s="43">
        <f>SUMPRODUCT(Y738:Y743,$K738:$K743)</f>
        <v>1.0000000000000002</v>
      </c>
      <c r="Z737" s="43">
        <f t="shared" ref="Z737:AA737" si="646">SUMPRODUCT(Z738:Z743,$K738:$K743)</f>
        <v>0</v>
      </c>
      <c r="AA737" s="43">
        <f t="shared" si="646"/>
        <v>1.0000000000000002</v>
      </c>
    </row>
    <row r="738" spans="1:27" ht="18.75" customHeight="1" outlineLevel="6" x14ac:dyDescent="0.3">
      <c r="B738" s="44"/>
      <c r="C738" s="18"/>
      <c r="D738" s="24"/>
      <c r="E738" s="29"/>
      <c r="F738" s="34"/>
      <c r="G738" s="39"/>
      <c r="H738" s="46" t="s">
        <v>771</v>
      </c>
      <c r="I738" s="46" t="s">
        <v>45</v>
      </c>
      <c r="J738" s="47" t="s">
        <v>30</v>
      </c>
      <c r="K738" s="48">
        <v>0.05</v>
      </c>
      <c r="L738" s="49">
        <f>VLOOKUP(H738,[4]Sheet2!K:P,6,0)</f>
        <v>9.0154500000000012E-4</v>
      </c>
      <c r="M738" s="50">
        <f>VLOOKUP(H738,[4]Sheet2!K:Q,7,0)</f>
        <v>42000</v>
      </c>
      <c r="N738" s="51"/>
      <c r="O738" s="51"/>
      <c r="P738" s="51"/>
      <c r="Q738" s="51"/>
      <c r="R738" s="51"/>
      <c r="S738" s="51"/>
      <c r="T738" s="51"/>
      <c r="U738" s="51"/>
      <c r="V738" s="52">
        <f>VLOOKUP(H738,[4]Sheet2!K:N,4,0)</f>
        <v>42000</v>
      </c>
      <c r="W738" s="52">
        <f t="shared" ref="W738:W743" si="647">X738-V738</f>
        <v>0</v>
      </c>
      <c r="X738" s="52">
        <f>VLOOKUP(H738,[4]Sheet2!K:N,4,0)</f>
        <v>42000</v>
      </c>
      <c r="Y738" s="53">
        <f t="shared" ref="Y738:Y743" si="648">IFERROR(V738/M738,1)</f>
        <v>1</v>
      </c>
      <c r="Z738" s="53">
        <f t="shared" ref="Z738:Z743" si="649">IFERROR(W738/M738,1)</f>
        <v>0</v>
      </c>
      <c r="AA738" s="53">
        <f t="shared" ref="AA738:AA743" si="650">IFERROR(X738/M738,1)</f>
        <v>1</v>
      </c>
    </row>
    <row r="739" spans="1:27" ht="18.75" customHeight="1" outlineLevel="6" x14ac:dyDescent="0.3">
      <c r="A739" s="60" t="s">
        <v>634</v>
      </c>
      <c r="B739" s="44"/>
      <c r="C739" s="18"/>
      <c r="D739" s="24"/>
      <c r="E739" s="29"/>
      <c r="F739" s="34"/>
      <c r="G739" s="39"/>
      <c r="H739" s="46" t="s">
        <v>772</v>
      </c>
      <c r="I739" s="46" t="s">
        <v>48</v>
      </c>
      <c r="J739" s="47" t="s">
        <v>30</v>
      </c>
      <c r="K739" s="48">
        <v>0.5</v>
      </c>
      <c r="L739" s="49">
        <f>VLOOKUP(H739,[4]Sheet2!K:P,6,0)</f>
        <v>9.0154500000000012E-3</v>
      </c>
      <c r="M739" s="50">
        <f>VLOOKUP(H739,[4]Sheet2!K:Q,7,0)</f>
        <v>42000</v>
      </c>
      <c r="N739" s="51"/>
      <c r="O739" s="51"/>
      <c r="P739" s="51"/>
      <c r="Q739" s="51"/>
      <c r="R739" s="51"/>
      <c r="S739" s="51"/>
      <c r="T739" s="51"/>
      <c r="U739" s="51"/>
      <c r="V739" s="52">
        <f>VLOOKUP(H739,[4]Sheet2!K:N,4,0)</f>
        <v>42000</v>
      </c>
      <c r="W739" s="52">
        <f t="shared" si="647"/>
        <v>0</v>
      </c>
      <c r="X739" s="52">
        <f>VLOOKUP(H739,[4]Sheet2!K:N,4,0)</f>
        <v>42000</v>
      </c>
      <c r="Y739" s="53">
        <f t="shared" si="648"/>
        <v>1</v>
      </c>
      <c r="Z739" s="53">
        <f t="shared" si="649"/>
        <v>0</v>
      </c>
      <c r="AA739" s="53">
        <f t="shared" si="650"/>
        <v>1</v>
      </c>
    </row>
    <row r="740" spans="1:27" ht="18.75" customHeight="1" outlineLevel="6" x14ac:dyDescent="0.3">
      <c r="B740" s="44"/>
      <c r="C740" s="18"/>
      <c r="D740" s="24"/>
      <c r="E740" s="29"/>
      <c r="F740" s="34"/>
      <c r="G740" s="39"/>
      <c r="H740" s="46" t="s">
        <v>773</v>
      </c>
      <c r="I740" s="46" t="s">
        <v>50</v>
      </c>
      <c r="J740" s="47" t="s">
        <v>30</v>
      </c>
      <c r="K740" s="48">
        <v>0.15</v>
      </c>
      <c r="L740" s="49">
        <f>VLOOKUP(H740,[4]Sheet2!K:P,6,0)</f>
        <v>2.7046350000000004E-3</v>
      </c>
      <c r="M740" s="50">
        <f>VLOOKUP(H740,[4]Sheet2!K:Q,7,0)</f>
        <v>42000</v>
      </c>
      <c r="N740" s="51"/>
      <c r="O740" s="51"/>
      <c r="P740" s="51"/>
      <c r="Q740" s="51"/>
      <c r="R740" s="51"/>
      <c r="S740" s="51"/>
      <c r="T740" s="51"/>
      <c r="U740" s="51"/>
      <c r="V740" s="52">
        <f>VLOOKUP(H740,[4]Sheet2!K:N,4,0)</f>
        <v>42000</v>
      </c>
      <c r="W740" s="52">
        <f t="shared" si="647"/>
        <v>0</v>
      </c>
      <c r="X740" s="52">
        <f>VLOOKUP(H740,[4]Sheet2!K:N,4,0)</f>
        <v>42000</v>
      </c>
      <c r="Y740" s="53">
        <f t="shared" si="648"/>
        <v>1</v>
      </c>
      <c r="Z740" s="53">
        <f t="shared" si="649"/>
        <v>0</v>
      </c>
      <c r="AA740" s="53">
        <f t="shared" si="650"/>
        <v>1</v>
      </c>
    </row>
    <row r="741" spans="1:27" ht="18.75" customHeight="1" outlineLevel="6" x14ac:dyDescent="0.3">
      <c r="B741" s="44"/>
      <c r="C741" s="18"/>
      <c r="D741" s="24"/>
      <c r="E741" s="29"/>
      <c r="F741" s="34"/>
      <c r="G741" s="39"/>
      <c r="H741" s="46" t="s">
        <v>774</v>
      </c>
      <c r="I741" s="46" t="s">
        <v>52</v>
      </c>
      <c r="J741" s="47" t="s">
        <v>30</v>
      </c>
      <c r="K741" s="48">
        <v>0.2</v>
      </c>
      <c r="L741" s="49">
        <f>VLOOKUP(H741,[4]Sheet2!K:P,6,0)</f>
        <v>3.6061800000000005E-3</v>
      </c>
      <c r="M741" s="50">
        <f>VLOOKUP(H741,[4]Sheet2!K:Q,7,0)</f>
        <v>42000</v>
      </c>
      <c r="N741" s="51"/>
      <c r="O741" s="51"/>
      <c r="P741" s="51"/>
      <c r="Q741" s="51"/>
      <c r="R741" s="51"/>
      <c r="S741" s="51"/>
      <c r="T741" s="51"/>
      <c r="U741" s="51"/>
      <c r="V741" s="52">
        <f>VLOOKUP(H741,[4]Sheet2!K:N,4,0)</f>
        <v>42000</v>
      </c>
      <c r="W741" s="52">
        <f t="shared" si="647"/>
        <v>0</v>
      </c>
      <c r="X741" s="52">
        <f>VLOOKUP(H741,[4]Sheet2!K:N,4,0)</f>
        <v>42000</v>
      </c>
      <c r="Y741" s="53">
        <f t="shared" si="648"/>
        <v>1</v>
      </c>
      <c r="Z741" s="53">
        <f t="shared" si="649"/>
        <v>0</v>
      </c>
      <c r="AA741" s="53">
        <f t="shared" si="650"/>
        <v>1</v>
      </c>
    </row>
    <row r="742" spans="1:27" ht="18.75" customHeight="1" outlineLevel="6" x14ac:dyDescent="0.3">
      <c r="B742" s="44"/>
      <c r="C742" s="18"/>
      <c r="D742" s="24"/>
      <c r="E742" s="29"/>
      <c r="F742" s="34"/>
      <c r="G742" s="39"/>
      <c r="H742" s="46" t="s">
        <v>775</v>
      </c>
      <c r="I742" s="46" t="s">
        <v>54</v>
      </c>
      <c r="J742" s="47" t="s">
        <v>30</v>
      </c>
      <c r="K742" s="48">
        <v>0.05</v>
      </c>
      <c r="L742" s="49">
        <f>VLOOKUP(H742,[4]Sheet2!K:P,6,0)</f>
        <v>9.0154500000000012E-4</v>
      </c>
      <c r="M742" s="50">
        <f>VLOOKUP(H742,[4]Sheet2!K:Q,7,0)</f>
        <v>42000</v>
      </c>
      <c r="N742" s="51"/>
      <c r="O742" s="51"/>
      <c r="P742" s="51"/>
      <c r="Q742" s="51"/>
      <c r="R742" s="51"/>
      <c r="S742" s="51"/>
      <c r="T742" s="51"/>
      <c r="U742" s="51"/>
      <c r="V742" s="52">
        <f>VLOOKUP(H742,[4]Sheet2!K:N,4,0)</f>
        <v>42000</v>
      </c>
      <c r="W742" s="52">
        <f t="shared" si="647"/>
        <v>0</v>
      </c>
      <c r="X742" s="52">
        <f>VLOOKUP(H742,[4]Sheet2!K:N,4,0)</f>
        <v>42000</v>
      </c>
      <c r="Y742" s="53">
        <f t="shared" si="648"/>
        <v>1</v>
      </c>
      <c r="Z742" s="53">
        <f t="shared" si="649"/>
        <v>0</v>
      </c>
      <c r="AA742" s="53">
        <f t="shared" si="650"/>
        <v>1</v>
      </c>
    </row>
    <row r="743" spans="1:27" ht="18.75" customHeight="1" outlineLevel="6" x14ac:dyDescent="0.3">
      <c r="B743" s="44"/>
      <c r="C743" s="18"/>
      <c r="D743" s="24"/>
      <c r="E743" s="29"/>
      <c r="F743" s="34"/>
      <c r="G743" s="39"/>
      <c r="H743" s="46" t="s">
        <v>776</v>
      </c>
      <c r="I743" s="46" t="s">
        <v>56</v>
      </c>
      <c r="J743" s="47" t="s">
        <v>30</v>
      </c>
      <c r="K743" s="48">
        <v>0.05</v>
      </c>
      <c r="L743" s="49">
        <f>VLOOKUP(H743,[4]Sheet2!K:P,6,0)</f>
        <v>9.0154500000000012E-4</v>
      </c>
      <c r="M743" s="50">
        <f>VLOOKUP(H743,[4]Sheet2!K:Q,7,0)</f>
        <v>42000</v>
      </c>
      <c r="N743" s="51"/>
      <c r="O743" s="51"/>
      <c r="P743" s="51"/>
      <c r="Q743" s="51"/>
      <c r="R743" s="51"/>
      <c r="S743" s="51"/>
      <c r="T743" s="51"/>
      <c r="U743" s="51"/>
      <c r="V743" s="52">
        <f>VLOOKUP(H743,[4]Sheet2!K:N,4,0)</f>
        <v>42000</v>
      </c>
      <c r="W743" s="52">
        <f t="shared" si="647"/>
        <v>0</v>
      </c>
      <c r="X743" s="52">
        <f>VLOOKUP(H743,[4]Sheet2!K:N,4,0)</f>
        <v>42000</v>
      </c>
      <c r="Y743" s="53">
        <f t="shared" si="648"/>
        <v>1</v>
      </c>
      <c r="Z743" s="53">
        <f t="shared" si="649"/>
        <v>0</v>
      </c>
      <c r="AA743" s="53">
        <f t="shared" si="650"/>
        <v>1</v>
      </c>
    </row>
    <row r="744" spans="1:27" ht="18.75" customHeight="1" outlineLevel="5" x14ac:dyDescent="0.3">
      <c r="B744" s="12"/>
      <c r="C744" s="18"/>
      <c r="D744" s="24"/>
      <c r="E744" s="29"/>
      <c r="F744" s="34"/>
      <c r="G744" s="39" t="s">
        <v>233</v>
      </c>
      <c r="H744" s="58"/>
      <c r="I744" s="58"/>
      <c r="J744" s="58"/>
      <c r="K744" s="58"/>
      <c r="L744" s="41">
        <f>SUM(L745:L750)</f>
        <v>1.8030900000000002E-2</v>
      </c>
      <c r="M744" s="42">
        <f>M745</f>
        <v>42000</v>
      </c>
      <c r="N744" s="40"/>
      <c r="O744" s="40"/>
      <c r="P744" s="40"/>
      <c r="Q744" s="40"/>
      <c r="R744" s="40"/>
      <c r="S744" s="40"/>
      <c r="T744" s="40"/>
      <c r="U744" s="40"/>
      <c r="V744" s="42">
        <f t="shared" ref="V744:X744" si="651">V745</f>
        <v>42000</v>
      </c>
      <c r="W744" s="42">
        <f t="shared" si="651"/>
        <v>0</v>
      </c>
      <c r="X744" s="42">
        <f t="shared" si="651"/>
        <v>42000</v>
      </c>
      <c r="Y744" s="43">
        <f>SUMPRODUCT(Y745:Y750,$K745:$K750)</f>
        <v>0.86702380952380953</v>
      </c>
      <c r="Z744" s="43">
        <f t="shared" ref="Z744:AA744" si="652">SUMPRODUCT(Z745:Z750,$K745:$K750)</f>
        <v>0</v>
      </c>
      <c r="AA744" s="43">
        <f t="shared" si="652"/>
        <v>0.86702380952380953</v>
      </c>
    </row>
    <row r="745" spans="1:27" ht="18.75" customHeight="1" outlineLevel="6" x14ac:dyDescent="0.3">
      <c r="B745" s="44"/>
      <c r="C745" s="18"/>
      <c r="D745" s="24"/>
      <c r="E745" s="29"/>
      <c r="F745" s="34"/>
      <c r="G745" s="39"/>
      <c r="H745" s="46" t="s">
        <v>777</v>
      </c>
      <c r="I745" s="46" t="s">
        <v>45</v>
      </c>
      <c r="J745" s="47" t="s">
        <v>30</v>
      </c>
      <c r="K745" s="48">
        <v>0.05</v>
      </c>
      <c r="L745" s="49">
        <f>VLOOKUP(H745,[4]Sheet2!K:P,6,0)</f>
        <v>9.0154500000000012E-4</v>
      </c>
      <c r="M745" s="50">
        <f>VLOOKUP(H745,[4]Sheet2!K:Q,7,0)</f>
        <v>42000</v>
      </c>
      <c r="N745" s="51"/>
      <c r="O745" s="51"/>
      <c r="P745" s="51"/>
      <c r="Q745" s="51"/>
      <c r="R745" s="51"/>
      <c r="S745" s="51"/>
      <c r="T745" s="51"/>
      <c r="U745" s="51"/>
      <c r="V745" s="52">
        <f>VLOOKUP(H745,[4]Sheet2!K:N,4,0)</f>
        <v>42000</v>
      </c>
      <c r="W745" s="52">
        <f t="shared" ref="W745:W750" si="653">X745-V745</f>
        <v>0</v>
      </c>
      <c r="X745" s="52">
        <f>VLOOKUP(H745,[4]Sheet2!K:N,4,0)</f>
        <v>42000</v>
      </c>
      <c r="Y745" s="53">
        <f t="shared" ref="Y745:Y750" si="654">IFERROR(V745/M745,1)</f>
        <v>1</v>
      </c>
      <c r="Z745" s="53">
        <f t="shared" ref="Z745:Z750" si="655">IFERROR(W745/M745,1)</f>
        <v>0</v>
      </c>
      <c r="AA745" s="53">
        <f t="shared" ref="AA745:AA750" si="656">IFERROR(X745/M745,1)</f>
        <v>1</v>
      </c>
    </row>
    <row r="746" spans="1:27" ht="18.75" customHeight="1" outlineLevel="6" x14ac:dyDescent="0.3">
      <c r="A746" s="60" t="s">
        <v>634</v>
      </c>
      <c r="B746" s="44"/>
      <c r="C746" s="18"/>
      <c r="D746" s="24"/>
      <c r="E746" s="29"/>
      <c r="F746" s="34"/>
      <c r="G746" s="39"/>
      <c r="H746" s="46" t="s">
        <v>778</v>
      </c>
      <c r="I746" s="46" t="s">
        <v>48</v>
      </c>
      <c r="J746" s="47" t="s">
        <v>30</v>
      </c>
      <c r="K746" s="48">
        <v>0.5</v>
      </c>
      <c r="L746" s="49">
        <f>VLOOKUP(H746,[4]Sheet2!K:P,6,0)</f>
        <v>9.0154500000000012E-3</v>
      </c>
      <c r="M746" s="50">
        <f>VLOOKUP(H746,[4]Sheet2!K:Q,7,0)</f>
        <v>42000</v>
      </c>
      <c r="N746" s="51"/>
      <c r="O746" s="51"/>
      <c r="P746" s="51"/>
      <c r="Q746" s="51"/>
      <c r="R746" s="51"/>
      <c r="S746" s="51"/>
      <c r="T746" s="51"/>
      <c r="U746" s="51"/>
      <c r="V746" s="52">
        <f>VLOOKUP(H746,[4]Sheet2!K:N,4,0)</f>
        <v>42000</v>
      </c>
      <c r="W746" s="52">
        <f t="shared" si="653"/>
        <v>0</v>
      </c>
      <c r="X746" s="52">
        <f>VLOOKUP(H746,[4]Sheet2!K:N,4,0)</f>
        <v>42000</v>
      </c>
      <c r="Y746" s="53">
        <f t="shared" si="654"/>
        <v>1</v>
      </c>
      <c r="Z746" s="53">
        <f t="shared" si="655"/>
        <v>0</v>
      </c>
      <c r="AA746" s="53">
        <f t="shared" si="656"/>
        <v>1</v>
      </c>
    </row>
    <row r="747" spans="1:27" ht="18.75" customHeight="1" outlineLevel="6" x14ac:dyDescent="0.3">
      <c r="B747" s="44"/>
      <c r="C747" s="18"/>
      <c r="D747" s="24"/>
      <c r="E747" s="29"/>
      <c r="F747" s="34"/>
      <c r="G747" s="39"/>
      <c r="H747" s="46" t="s">
        <v>779</v>
      </c>
      <c r="I747" s="46" t="s">
        <v>50</v>
      </c>
      <c r="J747" s="47" t="s">
        <v>30</v>
      </c>
      <c r="K747" s="48">
        <v>0.15</v>
      </c>
      <c r="L747" s="49">
        <f>VLOOKUP(H747,[4]Sheet2!K:P,6,0)</f>
        <v>2.7046350000000004E-3</v>
      </c>
      <c r="M747" s="50">
        <f>VLOOKUP(H747,[4]Sheet2!K:Q,7,0)</f>
        <v>42000</v>
      </c>
      <c r="N747" s="51"/>
      <c r="O747" s="51"/>
      <c r="P747" s="51"/>
      <c r="Q747" s="51"/>
      <c r="R747" s="51"/>
      <c r="S747" s="51"/>
      <c r="T747" s="51"/>
      <c r="U747" s="51"/>
      <c r="V747" s="52">
        <f>VLOOKUP(H747,[4]Sheet2!K:N,4,0)</f>
        <v>33500</v>
      </c>
      <c r="W747" s="52">
        <f t="shared" si="653"/>
        <v>0</v>
      </c>
      <c r="X747" s="52">
        <f>VLOOKUP(H747,[4]Sheet2!K:N,4,0)</f>
        <v>33500</v>
      </c>
      <c r="Y747" s="53">
        <f t="shared" si="654"/>
        <v>0.79761904761904767</v>
      </c>
      <c r="Z747" s="53">
        <f t="shared" si="655"/>
        <v>0</v>
      </c>
      <c r="AA747" s="53">
        <f t="shared" si="656"/>
        <v>0.79761904761904767</v>
      </c>
    </row>
    <row r="748" spans="1:27" ht="18.75" customHeight="1" outlineLevel="6" x14ac:dyDescent="0.3">
      <c r="B748" s="44"/>
      <c r="C748" s="18"/>
      <c r="D748" s="24"/>
      <c r="E748" s="29"/>
      <c r="F748" s="34"/>
      <c r="G748" s="39"/>
      <c r="H748" s="46" t="s">
        <v>780</v>
      </c>
      <c r="I748" s="46" t="s">
        <v>52</v>
      </c>
      <c r="J748" s="47" t="s">
        <v>30</v>
      </c>
      <c r="K748" s="48">
        <v>0.2</v>
      </c>
      <c r="L748" s="49">
        <f>VLOOKUP(H748,[4]Sheet2!K:P,6,0)</f>
        <v>3.6061800000000005E-3</v>
      </c>
      <c r="M748" s="50">
        <f>VLOOKUP(H748,[4]Sheet2!K:Q,7,0)</f>
        <v>42000</v>
      </c>
      <c r="N748" s="51"/>
      <c r="O748" s="51"/>
      <c r="P748" s="51"/>
      <c r="Q748" s="51"/>
      <c r="R748" s="51"/>
      <c r="S748" s="51"/>
      <c r="T748" s="51"/>
      <c r="U748" s="51"/>
      <c r="V748" s="52">
        <f>VLOOKUP(H748,[4]Sheet2!K:N,4,0)</f>
        <v>33200</v>
      </c>
      <c r="W748" s="52">
        <f t="shared" si="653"/>
        <v>0</v>
      </c>
      <c r="X748" s="52">
        <f>VLOOKUP(H748,[4]Sheet2!K:N,4,0)</f>
        <v>33200</v>
      </c>
      <c r="Y748" s="53">
        <f t="shared" si="654"/>
        <v>0.79047619047619044</v>
      </c>
      <c r="Z748" s="53">
        <f t="shared" si="655"/>
        <v>0</v>
      </c>
      <c r="AA748" s="53">
        <f t="shared" si="656"/>
        <v>0.79047619047619044</v>
      </c>
    </row>
    <row r="749" spans="1:27" ht="18.75" customHeight="1" outlineLevel="6" x14ac:dyDescent="0.3">
      <c r="B749" s="44"/>
      <c r="C749" s="18"/>
      <c r="D749" s="24"/>
      <c r="E749" s="29"/>
      <c r="F749" s="34"/>
      <c r="G749" s="39"/>
      <c r="H749" s="46" t="s">
        <v>781</v>
      </c>
      <c r="I749" s="46" t="s">
        <v>54</v>
      </c>
      <c r="J749" s="47" t="s">
        <v>30</v>
      </c>
      <c r="K749" s="48">
        <v>0.05</v>
      </c>
      <c r="L749" s="49">
        <f>VLOOKUP(H749,[4]Sheet2!K:P,6,0)</f>
        <v>9.0154500000000012E-4</v>
      </c>
      <c r="M749" s="50">
        <f>VLOOKUP(H749,[4]Sheet2!K:Q,7,0)</f>
        <v>42000</v>
      </c>
      <c r="N749" s="51"/>
      <c r="O749" s="51"/>
      <c r="P749" s="51"/>
      <c r="Q749" s="51"/>
      <c r="R749" s="51"/>
      <c r="S749" s="51"/>
      <c r="T749" s="51"/>
      <c r="U749" s="51"/>
      <c r="V749" s="52">
        <f>VLOOKUP(H749,[4]Sheet2!K:N,4,0)</f>
        <v>33000</v>
      </c>
      <c r="W749" s="52">
        <f t="shared" si="653"/>
        <v>0</v>
      </c>
      <c r="X749" s="52">
        <f>VLOOKUP(H749,[4]Sheet2!K:N,4,0)</f>
        <v>33000</v>
      </c>
      <c r="Y749" s="53">
        <f t="shared" si="654"/>
        <v>0.7857142857142857</v>
      </c>
      <c r="Z749" s="53">
        <f t="shared" si="655"/>
        <v>0</v>
      </c>
      <c r="AA749" s="53">
        <f t="shared" si="656"/>
        <v>0.7857142857142857</v>
      </c>
    </row>
    <row r="750" spans="1:27" ht="18.75" customHeight="1" outlineLevel="6" x14ac:dyDescent="0.3">
      <c r="B750" s="44"/>
      <c r="C750" s="18"/>
      <c r="D750" s="24"/>
      <c r="E750" s="29"/>
      <c r="F750" s="34"/>
      <c r="G750" s="39"/>
      <c r="H750" s="46" t="s">
        <v>782</v>
      </c>
      <c r="I750" s="46" t="s">
        <v>56</v>
      </c>
      <c r="J750" s="47" t="s">
        <v>30</v>
      </c>
      <c r="K750" s="48">
        <v>0.05</v>
      </c>
      <c r="L750" s="49">
        <f>VLOOKUP(H750,[4]Sheet2!K:P,6,0)</f>
        <v>9.0154500000000012E-4</v>
      </c>
      <c r="M750" s="50">
        <f>VLOOKUP(H750,[4]Sheet2!K:Q,7,0)</f>
        <v>42000</v>
      </c>
      <c r="N750" s="51"/>
      <c r="O750" s="51"/>
      <c r="P750" s="51"/>
      <c r="Q750" s="51"/>
      <c r="R750" s="51"/>
      <c r="S750" s="51"/>
      <c r="T750" s="51"/>
      <c r="U750" s="51"/>
      <c r="V750" s="52">
        <f>VLOOKUP(H750,[4]Sheet2!K:N,4,0)</f>
        <v>0</v>
      </c>
      <c r="W750" s="52">
        <f t="shared" si="653"/>
        <v>0</v>
      </c>
      <c r="X750" s="52">
        <f>VLOOKUP(H750,[4]Sheet2!K:N,4,0)</f>
        <v>0</v>
      </c>
      <c r="Y750" s="53">
        <f t="shared" si="654"/>
        <v>0</v>
      </c>
      <c r="Z750" s="53">
        <f t="shared" si="655"/>
        <v>0</v>
      </c>
      <c r="AA750" s="53">
        <f t="shared" si="656"/>
        <v>0</v>
      </c>
    </row>
    <row r="751" spans="1:27" ht="18.75" customHeight="1" outlineLevel="5" x14ac:dyDescent="0.3">
      <c r="B751" s="12"/>
      <c r="C751" s="18"/>
      <c r="D751" s="24"/>
      <c r="E751" s="29"/>
      <c r="F751" s="34"/>
      <c r="G751" s="39" t="s">
        <v>240</v>
      </c>
      <c r="H751" s="58"/>
      <c r="I751" s="58"/>
      <c r="J751" s="58"/>
      <c r="K751" s="58"/>
      <c r="L751" s="41">
        <f>SUM(L752:L757)</f>
        <v>1.8030900000000002E-2</v>
      </c>
      <c r="M751" s="42">
        <f>M752</f>
        <v>42000</v>
      </c>
      <c r="N751" s="40"/>
      <c r="O751" s="40"/>
      <c r="P751" s="40"/>
      <c r="Q751" s="40"/>
      <c r="R751" s="40"/>
      <c r="S751" s="40"/>
      <c r="T751" s="40"/>
      <c r="U751" s="40"/>
      <c r="V751" s="42">
        <f t="shared" ref="V751:X751" si="657">V752</f>
        <v>42000</v>
      </c>
      <c r="W751" s="42">
        <f t="shared" si="657"/>
        <v>0</v>
      </c>
      <c r="X751" s="42">
        <f t="shared" si="657"/>
        <v>42000</v>
      </c>
      <c r="Y751" s="43">
        <f>SUMPRODUCT(Y752:Y757,$K752:$K757)</f>
        <v>0.85830952380952386</v>
      </c>
      <c r="Z751" s="43">
        <f t="shared" ref="Z751:AA751" si="658">SUMPRODUCT(Z752:Z757,$K752:$K757)</f>
        <v>0</v>
      </c>
      <c r="AA751" s="43">
        <f t="shared" si="658"/>
        <v>0.85830952380952386</v>
      </c>
    </row>
    <row r="752" spans="1:27" ht="18.75" customHeight="1" outlineLevel="6" x14ac:dyDescent="0.3">
      <c r="B752" s="44"/>
      <c r="C752" s="18"/>
      <c r="D752" s="24"/>
      <c r="E752" s="29"/>
      <c r="F752" s="34"/>
      <c r="G752" s="39"/>
      <c r="H752" s="46" t="s">
        <v>783</v>
      </c>
      <c r="I752" s="46" t="s">
        <v>45</v>
      </c>
      <c r="J752" s="47" t="s">
        <v>30</v>
      </c>
      <c r="K752" s="48">
        <v>0.05</v>
      </c>
      <c r="L752" s="49">
        <f>VLOOKUP(H752,[4]Sheet2!K:P,6,0)</f>
        <v>9.0154500000000012E-4</v>
      </c>
      <c r="M752" s="50">
        <f>VLOOKUP(H752,[4]Sheet2!K:Q,7,0)</f>
        <v>42000</v>
      </c>
      <c r="N752" s="51"/>
      <c r="O752" s="51"/>
      <c r="P752" s="51"/>
      <c r="Q752" s="51"/>
      <c r="R752" s="51"/>
      <c r="S752" s="51"/>
      <c r="T752" s="51"/>
      <c r="U752" s="51"/>
      <c r="V752" s="52">
        <f>VLOOKUP(H752,[4]Sheet2!K:N,4,0)</f>
        <v>42000</v>
      </c>
      <c r="W752" s="52">
        <f t="shared" ref="W752:W757" si="659">X752-V752</f>
        <v>0</v>
      </c>
      <c r="X752" s="52">
        <f>VLOOKUP(H752,[4]Sheet2!K:N,4,0)</f>
        <v>42000</v>
      </c>
      <c r="Y752" s="53">
        <f t="shared" ref="Y752:Y757" si="660">IFERROR(V752/M752,1)</f>
        <v>1</v>
      </c>
      <c r="Z752" s="53">
        <f t="shared" ref="Z752:Z757" si="661">IFERROR(W752/M752,1)</f>
        <v>0</v>
      </c>
      <c r="AA752" s="53">
        <f t="shared" ref="AA752:AA757" si="662">IFERROR(X752/M752,1)</f>
        <v>1</v>
      </c>
    </row>
    <row r="753" spans="1:27" ht="18.75" customHeight="1" outlineLevel="6" x14ac:dyDescent="0.3">
      <c r="A753" s="60" t="s">
        <v>634</v>
      </c>
      <c r="B753" s="44"/>
      <c r="C753" s="18"/>
      <c r="D753" s="24"/>
      <c r="E753" s="29"/>
      <c r="F753" s="34"/>
      <c r="G753" s="39"/>
      <c r="H753" s="46" t="s">
        <v>784</v>
      </c>
      <c r="I753" s="46" t="s">
        <v>48</v>
      </c>
      <c r="J753" s="47" t="s">
        <v>30</v>
      </c>
      <c r="K753" s="48">
        <v>0.5</v>
      </c>
      <c r="L753" s="49">
        <f>VLOOKUP(H753,[4]Sheet2!K:P,6,0)</f>
        <v>9.0154500000000012E-3</v>
      </c>
      <c r="M753" s="50">
        <f>VLOOKUP(H753,[4]Sheet2!K:Q,7,0)</f>
        <v>42000</v>
      </c>
      <c r="N753" s="51"/>
      <c r="O753" s="51"/>
      <c r="P753" s="51"/>
      <c r="Q753" s="51"/>
      <c r="R753" s="51"/>
      <c r="S753" s="51"/>
      <c r="T753" s="51"/>
      <c r="U753" s="51"/>
      <c r="V753" s="52">
        <f>VLOOKUP(H753,[4]Sheet2!K:N,4,0)</f>
        <v>42000</v>
      </c>
      <c r="W753" s="52">
        <f t="shared" si="659"/>
        <v>0</v>
      </c>
      <c r="X753" s="52">
        <f>VLOOKUP(H753,[4]Sheet2!K:N,4,0)</f>
        <v>42000</v>
      </c>
      <c r="Y753" s="53">
        <f t="shared" si="660"/>
        <v>1</v>
      </c>
      <c r="Z753" s="53">
        <f t="shared" si="661"/>
        <v>0</v>
      </c>
      <c r="AA753" s="53">
        <f t="shared" si="662"/>
        <v>1</v>
      </c>
    </row>
    <row r="754" spans="1:27" ht="18.75" customHeight="1" outlineLevel="6" x14ac:dyDescent="0.3">
      <c r="B754" s="44"/>
      <c r="C754" s="18"/>
      <c r="D754" s="24"/>
      <c r="E754" s="29"/>
      <c r="F754" s="34"/>
      <c r="G754" s="39"/>
      <c r="H754" s="46" t="s">
        <v>785</v>
      </c>
      <c r="I754" s="46" t="s">
        <v>50</v>
      </c>
      <c r="J754" s="47" t="s">
        <v>30</v>
      </c>
      <c r="K754" s="48">
        <v>0.15</v>
      </c>
      <c r="L754" s="49">
        <f>VLOOKUP(H754,[4]Sheet2!K:P,6,0)</f>
        <v>2.7046350000000004E-3</v>
      </c>
      <c r="M754" s="50">
        <f>VLOOKUP(H754,[4]Sheet2!K:Q,7,0)</f>
        <v>42000</v>
      </c>
      <c r="N754" s="51"/>
      <c r="O754" s="51"/>
      <c r="P754" s="51"/>
      <c r="Q754" s="51"/>
      <c r="R754" s="51"/>
      <c r="S754" s="51"/>
      <c r="T754" s="51"/>
      <c r="U754" s="51"/>
      <c r="V754" s="52">
        <f>VLOOKUP(H754,[4]Sheet2!K:N,4,0)</f>
        <v>39900</v>
      </c>
      <c r="W754" s="52">
        <f t="shared" si="659"/>
        <v>0</v>
      </c>
      <c r="X754" s="52">
        <f>VLOOKUP(H754,[4]Sheet2!K:N,4,0)</f>
        <v>39900</v>
      </c>
      <c r="Y754" s="53">
        <f t="shared" si="660"/>
        <v>0.95</v>
      </c>
      <c r="Z754" s="53">
        <f t="shared" si="661"/>
        <v>0</v>
      </c>
      <c r="AA754" s="53">
        <f t="shared" si="662"/>
        <v>0.95</v>
      </c>
    </row>
    <row r="755" spans="1:27" ht="18.75" customHeight="1" outlineLevel="6" x14ac:dyDescent="0.3">
      <c r="B755" s="44"/>
      <c r="C755" s="18"/>
      <c r="D755" s="24"/>
      <c r="E755" s="29"/>
      <c r="F755" s="34"/>
      <c r="G755" s="39"/>
      <c r="H755" s="46" t="s">
        <v>786</v>
      </c>
      <c r="I755" s="46" t="s">
        <v>52</v>
      </c>
      <c r="J755" s="47" t="s">
        <v>30</v>
      </c>
      <c r="K755" s="48">
        <v>0.2</v>
      </c>
      <c r="L755" s="49">
        <f>VLOOKUP(H755,[4]Sheet2!K:P,6,0)</f>
        <v>3.6061800000000005E-3</v>
      </c>
      <c r="M755" s="50">
        <f>VLOOKUP(H755,[4]Sheet2!K:Q,7,0)</f>
        <v>42000</v>
      </c>
      <c r="N755" s="51"/>
      <c r="O755" s="51"/>
      <c r="P755" s="51"/>
      <c r="Q755" s="51"/>
      <c r="R755" s="51"/>
      <c r="S755" s="51"/>
      <c r="T755" s="51"/>
      <c r="U755" s="51"/>
      <c r="V755" s="52">
        <f>VLOOKUP(H755,[4]Sheet2!K:N,4,0)</f>
        <v>34820</v>
      </c>
      <c r="W755" s="52">
        <f t="shared" si="659"/>
        <v>0</v>
      </c>
      <c r="X755" s="52">
        <f>VLOOKUP(H755,[4]Sheet2!K:N,4,0)</f>
        <v>34820</v>
      </c>
      <c r="Y755" s="53">
        <f t="shared" si="660"/>
        <v>0.82904761904761903</v>
      </c>
      <c r="Z755" s="53">
        <f t="shared" si="661"/>
        <v>0</v>
      </c>
      <c r="AA755" s="53">
        <f t="shared" si="662"/>
        <v>0.82904761904761903</v>
      </c>
    </row>
    <row r="756" spans="1:27" ht="18.75" customHeight="1" outlineLevel="6" x14ac:dyDescent="0.3">
      <c r="B756" s="44"/>
      <c r="C756" s="18"/>
      <c r="D756" s="24"/>
      <c r="E756" s="29"/>
      <c r="F756" s="34"/>
      <c r="G756" s="39"/>
      <c r="H756" s="46" t="s">
        <v>787</v>
      </c>
      <c r="I756" s="46" t="s">
        <v>54</v>
      </c>
      <c r="J756" s="47" t="s">
        <v>30</v>
      </c>
      <c r="K756" s="48">
        <v>0.05</v>
      </c>
      <c r="L756" s="49">
        <f>VLOOKUP(H756,[4]Sheet2!K:P,6,0)</f>
        <v>9.0154500000000012E-4</v>
      </c>
      <c r="M756" s="50">
        <f>VLOOKUP(H756,[4]Sheet2!K:Q,7,0)</f>
        <v>42000</v>
      </c>
      <c r="N756" s="51"/>
      <c r="O756" s="51"/>
      <c r="P756" s="51"/>
      <c r="Q756" s="51"/>
      <c r="R756" s="51"/>
      <c r="S756" s="51"/>
      <c r="T756" s="51"/>
      <c r="U756" s="51"/>
      <c r="V756" s="52">
        <f>VLOOKUP(H756,[4]Sheet2!K:N,4,0)</f>
        <v>0</v>
      </c>
      <c r="W756" s="52">
        <f t="shared" si="659"/>
        <v>0</v>
      </c>
      <c r="X756" s="52">
        <f>VLOOKUP(H756,[4]Sheet2!K:N,4,0)</f>
        <v>0</v>
      </c>
      <c r="Y756" s="53">
        <f t="shared" si="660"/>
        <v>0</v>
      </c>
      <c r="Z756" s="53">
        <f t="shared" si="661"/>
        <v>0</v>
      </c>
      <c r="AA756" s="53">
        <f t="shared" si="662"/>
        <v>0</v>
      </c>
    </row>
    <row r="757" spans="1:27" ht="18.75" customHeight="1" outlineLevel="6" x14ac:dyDescent="0.3">
      <c r="B757" s="44"/>
      <c r="C757" s="18"/>
      <c r="D757" s="24"/>
      <c r="E757" s="29"/>
      <c r="F757" s="34"/>
      <c r="G757" s="39"/>
      <c r="H757" s="46" t="s">
        <v>788</v>
      </c>
      <c r="I757" s="46" t="s">
        <v>56</v>
      </c>
      <c r="J757" s="47" t="s">
        <v>30</v>
      </c>
      <c r="K757" s="48">
        <v>0.05</v>
      </c>
      <c r="L757" s="49">
        <f>VLOOKUP(H757,[4]Sheet2!K:P,6,0)</f>
        <v>9.0154500000000012E-4</v>
      </c>
      <c r="M757" s="50">
        <f>VLOOKUP(H757,[4]Sheet2!K:Q,7,0)</f>
        <v>42000</v>
      </c>
      <c r="N757" s="51"/>
      <c r="O757" s="51"/>
      <c r="P757" s="51"/>
      <c r="Q757" s="51"/>
      <c r="R757" s="51"/>
      <c r="S757" s="51"/>
      <c r="T757" s="51"/>
      <c r="U757" s="51"/>
      <c r="V757" s="52">
        <f>VLOOKUP(H757,[4]Sheet2!K:N,4,0)</f>
        <v>0</v>
      </c>
      <c r="W757" s="52">
        <f t="shared" si="659"/>
        <v>0</v>
      </c>
      <c r="X757" s="52">
        <f>VLOOKUP(H757,[4]Sheet2!K:N,4,0)</f>
        <v>0</v>
      </c>
      <c r="Y757" s="53">
        <f t="shared" si="660"/>
        <v>0</v>
      </c>
      <c r="Z757" s="53">
        <f t="shared" si="661"/>
        <v>0</v>
      </c>
      <c r="AA757" s="53">
        <f t="shared" si="662"/>
        <v>0</v>
      </c>
    </row>
    <row r="758" spans="1:27" ht="18.75" customHeight="1" outlineLevel="5" x14ac:dyDescent="0.3">
      <c r="B758" s="12"/>
      <c r="C758" s="18"/>
      <c r="D758" s="24"/>
      <c r="E758" s="29"/>
      <c r="F758" s="34"/>
      <c r="G758" s="39" t="s">
        <v>247</v>
      </c>
      <c r="H758" s="58"/>
      <c r="I758" s="58"/>
      <c r="J758" s="58"/>
      <c r="K758" s="58"/>
      <c r="L758" s="41">
        <f>SUM(L759:L764)</f>
        <v>2.1567999999999999E-3</v>
      </c>
      <c r="M758" s="42">
        <f>M759</f>
        <v>5500</v>
      </c>
      <c r="N758" s="40"/>
      <c r="O758" s="40"/>
      <c r="P758" s="40"/>
      <c r="Q758" s="40"/>
      <c r="R758" s="40"/>
      <c r="S758" s="40"/>
      <c r="T758" s="40"/>
      <c r="U758" s="40"/>
      <c r="V758" s="42">
        <f t="shared" ref="V758:X758" si="663">V759</f>
        <v>5500</v>
      </c>
      <c r="W758" s="42">
        <f t="shared" si="663"/>
        <v>0</v>
      </c>
      <c r="X758" s="42">
        <f t="shared" si="663"/>
        <v>5500</v>
      </c>
      <c r="Y758" s="43">
        <f>SUMPRODUCT(Y759:Y764,$K759:$K764)</f>
        <v>0.72090909090909094</v>
      </c>
      <c r="Z758" s="43">
        <f t="shared" ref="Z758:AA758" si="664">SUMPRODUCT(Z759:Z764,$K759:$K764)</f>
        <v>0</v>
      </c>
      <c r="AA758" s="43">
        <f t="shared" si="664"/>
        <v>0.755</v>
      </c>
    </row>
    <row r="759" spans="1:27" ht="18.75" customHeight="1" outlineLevel="6" x14ac:dyDescent="0.3">
      <c r="B759" s="44"/>
      <c r="C759" s="18"/>
      <c r="D759" s="24"/>
      <c r="E759" s="29"/>
      <c r="F759" s="34"/>
      <c r="G759" s="39"/>
      <c r="H759" s="46" t="s">
        <v>789</v>
      </c>
      <c r="I759" s="46" t="s">
        <v>45</v>
      </c>
      <c r="J759" s="47" t="s">
        <v>30</v>
      </c>
      <c r="K759" s="48">
        <v>0.05</v>
      </c>
      <c r="L759" s="49">
        <f>VLOOKUP(H759,[4]Sheet2!K:P,6,0)</f>
        <v>1.0784E-4</v>
      </c>
      <c r="M759" s="50">
        <f>VLOOKUP(H759,[4]Sheet2!K:Q,7,0)</f>
        <v>5500</v>
      </c>
      <c r="N759" s="51"/>
      <c r="O759" s="51"/>
      <c r="P759" s="51"/>
      <c r="Q759" s="51"/>
      <c r="R759" s="51"/>
      <c r="S759" s="51"/>
      <c r="T759" s="51"/>
      <c r="U759" s="51"/>
      <c r="V759" s="52">
        <f>VLOOKUP(H759,[4]Sheet2!K:N,4,0)</f>
        <v>5500</v>
      </c>
      <c r="W759" s="52">
        <f t="shared" ref="W759:W764" si="665">X759-V759</f>
        <v>0</v>
      </c>
      <c r="X759" s="52">
        <f>VLOOKUP(H759,[4]Sheet2!K:N,4,0)</f>
        <v>5500</v>
      </c>
      <c r="Y759" s="53">
        <f t="shared" ref="Y759:Y764" si="666">IFERROR(V759/M759,1)</f>
        <v>1</v>
      </c>
      <c r="Z759" s="53">
        <f t="shared" ref="Z759:Z764" si="667">IFERROR(W759/M759,1)</f>
        <v>0</v>
      </c>
      <c r="AA759" s="53">
        <f t="shared" ref="AA759:AA764" si="668">IFERROR(X759/M759,1)</f>
        <v>1</v>
      </c>
    </row>
    <row r="760" spans="1:27" ht="18.75" customHeight="1" outlineLevel="6" x14ac:dyDescent="0.3">
      <c r="A760" s="60" t="s">
        <v>711</v>
      </c>
      <c r="B760" s="44"/>
      <c r="C760" s="18"/>
      <c r="D760" s="24"/>
      <c r="E760" s="29"/>
      <c r="F760" s="34"/>
      <c r="G760" s="39"/>
      <c r="H760" s="46" t="s">
        <v>790</v>
      </c>
      <c r="I760" s="46" t="s">
        <v>48</v>
      </c>
      <c r="J760" s="47" t="s">
        <v>30</v>
      </c>
      <c r="K760" s="48">
        <v>0.5</v>
      </c>
      <c r="L760" s="49">
        <f>VLOOKUP(H760,[4]Sheet2!K:P,6,0)</f>
        <v>1.0784E-3</v>
      </c>
      <c r="M760" s="50">
        <f>VLOOKUP(H760,[4]Sheet2!K:Q,7,0)</f>
        <v>5500</v>
      </c>
      <c r="N760" s="51"/>
      <c r="O760" s="51"/>
      <c r="P760" s="51"/>
      <c r="Q760" s="51"/>
      <c r="R760" s="51"/>
      <c r="S760" s="51"/>
      <c r="T760" s="51"/>
      <c r="U760" s="51"/>
      <c r="V760" s="52">
        <f>VLOOKUP(H760,[4]Sheet2!K:N,4,0)</f>
        <v>5500</v>
      </c>
      <c r="W760" s="52">
        <f t="shared" si="665"/>
        <v>0</v>
      </c>
      <c r="X760" s="52">
        <f>VLOOKUP(H760,[4]Sheet2!K:N,4,0)</f>
        <v>5500</v>
      </c>
      <c r="Y760" s="53">
        <f t="shared" si="666"/>
        <v>1</v>
      </c>
      <c r="Z760" s="53">
        <f t="shared" si="667"/>
        <v>0</v>
      </c>
      <c r="AA760" s="53">
        <f t="shared" si="668"/>
        <v>1</v>
      </c>
    </row>
    <row r="761" spans="1:27" ht="18.75" customHeight="1" outlineLevel="6" x14ac:dyDescent="0.3">
      <c r="B761" s="44"/>
      <c r="C761" s="18"/>
      <c r="D761" s="24"/>
      <c r="E761" s="29"/>
      <c r="F761" s="34"/>
      <c r="G761" s="39"/>
      <c r="H761" s="46" t="s">
        <v>791</v>
      </c>
      <c r="I761" s="46" t="s">
        <v>50</v>
      </c>
      <c r="J761" s="47" t="s">
        <v>30</v>
      </c>
      <c r="K761" s="48">
        <v>0.15</v>
      </c>
      <c r="L761" s="49">
        <f>VLOOKUP(H761,[4]Sheet2!K:P,6,0)</f>
        <v>3.2351999999999999E-4</v>
      </c>
      <c r="M761" s="50">
        <f>VLOOKUP(H761,[4]Sheet2!K:Q,7,0)</f>
        <v>5500</v>
      </c>
      <c r="N761" s="51"/>
      <c r="O761" s="51"/>
      <c r="P761" s="51"/>
      <c r="Q761" s="51"/>
      <c r="R761" s="51"/>
      <c r="S761" s="51"/>
      <c r="T761" s="51"/>
      <c r="U761" s="51"/>
      <c r="V761" s="52">
        <f>VLOOKUP(H761,[4]Sheet2!K:N,4,0)</f>
        <v>3300</v>
      </c>
      <c r="W761" s="52">
        <f t="shared" si="665"/>
        <v>0</v>
      </c>
      <c r="X761" s="52">
        <f>VLOOKUP(H761,[4]Sheet2!K:N,4,0)</f>
        <v>3300</v>
      </c>
      <c r="Y761" s="53">
        <f t="shared" si="666"/>
        <v>0.6</v>
      </c>
      <c r="Z761" s="53">
        <f t="shared" si="667"/>
        <v>0</v>
      </c>
      <c r="AA761" s="53">
        <v>0.7</v>
      </c>
    </row>
    <row r="762" spans="1:27" ht="18.75" customHeight="1" outlineLevel="6" x14ac:dyDescent="0.3">
      <c r="B762" s="44"/>
      <c r="C762" s="18"/>
      <c r="D762" s="24"/>
      <c r="E762" s="29"/>
      <c r="F762" s="34"/>
      <c r="G762" s="39"/>
      <c r="H762" s="46" t="s">
        <v>792</v>
      </c>
      <c r="I762" s="46" t="s">
        <v>52</v>
      </c>
      <c r="J762" s="47" t="s">
        <v>30</v>
      </c>
      <c r="K762" s="48">
        <v>0.2</v>
      </c>
      <c r="L762" s="49">
        <f>VLOOKUP(H762,[4]Sheet2!K:P,6,0)</f>
        <v>4.3135999999999999E-4</v>
      </c>
      <c r="M762" s="50">
        <f>VLOOKUP(H762,[4]Sheet2!K:Q,7,0)</f>
        <v>5500</v>
      </c>
      <c r="N762" s="51"/>
      <c r="O762" s="51"/>
      <c r="P762" s="51"/>
      <c r="Q762" s="51"/>
      <c r="R762" s="51"/>
      <c r="S762" s="51"/>
      <c r="T762" s="51"/>
      <c r="U762" s="51"/>
      <c r="V762" s="52">
        <f>VLOOKUP(H762,[4]Sheet2!K:N,4,0)</f>
        <v>2225</v>
      </c>
      <c r="W762" s="52">
        <f t="shared" si="665"/>
        <v>0</v>
      </c>
      <c r="X762" s="52">
        <f>VLOOKUP(H762,[4]Sheet2!K:N,4,0)</f>
        <v>2225</v>
      </c>
      <c r="Y762" s="53">
        <f t="shared" si="666"/>
        <v>0.40454545454545454</v>
      </c>
      <c r="Z762" s="53">
        <f t="shared" si="667"/>
        <v>0</v>
      </c>
      <c r="AA762" s="53">
        <v>0.5</v>
      </c>
    </row>
    <row r="763" spans="1:27" ht="18.75" customHeight="1" outlineLevel="6" x14ac:dyDescent="0.3">
      <c r="B763" s="44"/>
      <c r="C763" s="18"/>
      <c r="D763" s="24"/>
      <c r="E763" s="29"/>
      <c r="F763" s="34"/>
      <c r="G763" s="39"/>
      <c r="H763" s="46" t="s">
        <v>793</v>
      </c>
      <c r="I763" s="46" t="s">
        <v>54</v>
      </c>
      <c r="J763" s="47" t="s">
        <v>30</v>
      </c>
      <c r="K763" s="48">
        <v>0.05</v>
      </c>
      <c r="L763" s="49">
        <f>VLOOKUP(H763,[4]Sheet2!K:P,6,0)</f>
        <v>1.0784E-4</v>
      </c>
      <c r="M763" s="50">
        <f>VLOOKUP(H763,[4]Sheet2!K:Q,7,0)</f>
        <v>5500</v>
      </c>
      <c r="N763" s="51"/>
      <c r="O763" s="51"/>
      <c r="P763" s="51"/>
      <c r="Q763" s="51"/>
      <c r="R763" s="51"/>
      <c r="S763" s="51"/>
      <c r="T763" s="51"/>
      <c r="U763" s="51"/>
      <c r="V763" s="52">
        <f>VLOOKUP(H763,[4]Sheet2!K:N,4,0)</f>
        <v>0</v>
      </c>
      <c r="W763" s="52">
        <f t="shared" si="665"/>
        <v>0</v>
      </c>
      <c r="X763" s="52">
        <f>VLOOKUP(H763,[4]Sheet2!K:N,4,0)</f>
        <v>0</v>
      </c>
      <c r="Y763" s="53">
        <f t="shared" si="666"/>
        <v>0</v>
      </c>
      <c r="Z763" s="53">
        <f t="shared" si="667"/>
        <v>0</v>
      </c>
      <c r="AA763" s="53">
        <f t="shared" si="668"/>
        <v>0</v>
      </c>
    </row>
    <row r="764" spans="1:27" ht="18.75" customHeight="1" outlineLevel="6" x14ac:dyDescent="0.3">
      <c r="B764" s="44"/>
      <c r="C764" s="18"/>
      <c r="D764" s="24"/>
      <c r="E764" s="29"/>
      <c r="F764" s="34"/>
      <c r="G764" s="39"/>
      <c r="H764" s="46" t="s">
        <v>794</v>
      </c>
      <c r="I764" s="46" t="s">
        <v>56</v>
      </c>
      <c r="J764" s="47" t="s">
        <v>30</v>
      </c>
      <c r="K764" s="48">
        <v>0.05</v>
      </c>
      <c r="L764" s="49">
        <f>VLOOKUP(H764,[4]Sheet2!K:P,6,0)</f>
        <v>1.0784E-4</v>
      </c>
      <c r="M764" s="50">
        <f>VLOOKUP(H764,[4]Sheet2!K:Q,7,0)</f>
        <v>5500</v>
      </c>
      <c r="N764" s="51"/>
      <c r="O764" s="51"/>
      <c r="P764" s="51"/>
      <c r="Q764" s="51"/>
      <c r="R764" s="51"/>
      <c r="S764" s="51"/>
      <c r="T764" s="51"/>
      <c r="U764" s="51"/>
      <c r="V764" s="52">
        <f>VLOOKUP(H764,[4]Sheet2!K:N,4,0)</f>
        <v>0</v>
      </c>
      <c r="W764" s="52">
        <f t="shared" si="665"/>
        <v>0</v>
      </c>
      <c r="X764" s="52">
        <f>VLOOKUP(H764,[4]Sheet2!K:N,4,0)</f>
        <v>0</v>
      </c>
      <c r="Y764" s="53">
        <f t="shared" si="666"/>
        <v>0</v>
      </c>
      <c r="Z764" s="53">
        <f t="shared" si="667"/>
        <v>0</v>
      </c>
      <c r="AA764" s="53">
        <f t="shared" si="668"/>
        <v>0</v>
      </c>
    </row>
    <row r="765" spans="1:27" ht="18.75" customHeight="1" outlineLevel="5" x14ac:dyDescent="0.3">
      <c r="B765" s="12"/>
      <c r="C765" s="18"/>
      <c r="D765" s="24"/>
      <c r="E765" s="29"/>
      <c r="F765" s="34"/>
      <c r="G765" s="39" t="s">
        <v>254</v>
      </c>
      <c r="H765" s="58"/>
      <c r="I765" s="58"/>
      <c r="J765" s="58"/>
      <c r="K765" s="58"/>
      <c r="L765" s="41">
        <f>SUM(L766:L771)</f>
        <v>6.0369999999999998E-4</v>
      </c>
      <c r="M765" s="42">
        <f>M766</f>
        <v>2496</v>
      </c>
      <c r="N765" s="40"/>
      <c r="O765" s="40"/>
      <c r="P765" s="40"/>
      <c r="Q765" s="40"/>
      <c r="R765" s="40"/>
      <c r="S765" s="40"/>
      <c r="T765" s="40"/>
      <c r="U765" s="40"/>
      <c r="V765" s="42">
        <f t="shared" ref="V765:X765" si="669">V766</f>
        <v>2496</v>
      </c>
      <c r="W765" s="42">
        <f t="shared" si="669"/>
        <v>0</v>
      </c>
      <c r="X765" s="42">
        <f t="shared" si="669"/>
        <v>2496</v>
      </c>
      <c r="Y765" s="43">
        <f>SUMPRODUCT(Y766:Y771,$K766:$K771)</f>
        <v>0.88325320512820515</v>
      </c>
      <c r="Z765" s="43">
        <f t="shared" ref="Z765:AA765" si="670">SUMPRODUCT(Z766:Z771,$K766:$K771)</f>
        <v>0</v>
      </c>
      <c r="AA765" s="43">
        <f t="shared" si="670"/>
        <v>0.88325320512820515</v>
      </c>
    </row>
    <row r="766" spans="1:27" ht="18.75" customHeight="1" outlineLevel="6" x14ac:dyDescent="0.3">
      <c r="B766" s="44"/>
      <c r="C766" s="18"/>
      <c r="D766" s="24"/>
      <c r="E766" s="29"/>
      <c r="F766" s="34"/>
      <c r="G766" s="39"/>
      <c r="H766" s="46" t="s">
        <v>795</v>
      </c>
      <c r="I766" s="46" t="s">
        <v>45</v>
      </c>
      <c r="J766" s="47" t="s">
        <v>30</v>
      </c>
      <c r="K766" s="48">
        <v>0.05</v>
      </c>
      <c r="L766" s="49">
        <f>VLOOKUP(H766,[4]Sheet2!K:P,6,0)</f>
        <v>3.0185E-5</v>
      </c>
      <c r="M766" s="50">
        <f>VLOOKUP(H766,[4]Sheet2!K:Q,7,0)</f>
        <v>2496</v>
      </c>
      <c r="N766" s="51"/>
      <c r="O766" s="51"/>
      <c r="P766" s="51"/>
      <c r="Q766" s="51"/>
      <c r="R766" s="51"/>
      <c r="S766" s="51"/>
      <c r="T766" s="51"/>
      <c r="U766" s="51"/>
      <c r="V766" s="52">
        <f>VLOOKUP(H766,[4]Sheet2!K:N,4,0)</f>
        <v>2496</v>
      </c>
      <c r="W766" s="52">
        <f t="shared" ref="W766:W771" si="671">X766-V766</f>
        <v>0</v>
      </c>
      <c r="X766" s="52">
        <f>VLOOKUP(H766,[4]Sheet2!K:N,4,0)</f>
        <v>2496</v>
      </c>
      <c r="Y766" s="53">
        <f t="shared" ref="Y766:Y771" si="672">IFERROR(V766/M766,1)</f>
        <v>1</v>
      </c>
      <c r="Z766" s="53">
        <f t="shared" ref="Z766:Z771" si="673">IFERROR(W766/M766,1)</f>
        <v>0</v>
      </c>
      <c r="AA766" s="53">
        <f t="shared" ref="AA766:AA771" si="674">IFERROR(X766/M766,1)</f>
        <v>1</v>
      </c>
    </row>
    <row r="767" spans="1:27" ht="18.75" customHeight="1" outlineLevel="6" x14ac:dyDescent="0.3">
      <c r="A767" s="60" t="s">
        <v>711</v>
      </c>
      <c r="B767" s="44"/>
      <c r="C767" s="18"/>
      <c r="D767" s="24"/>
      <c r="E767" s="29"/>
      <c r="F767" s="34"/>
      <c r="G767" s="39"/>
      <c r="H767" s="46" t="s">
        <v>796</v>
      </c>
      <c r="I767" s="46" t="s">
        <v>48</v>
      </c>
      <c r="J767" s="47" t="s">
        <v>30</v>
      </c>
      <c r="K767" s="48">
        <v>0.5</v>
      </c>
      <c r="L767" s="49">
        <f>VLOOKUP(H767,[4]Sheet2!K:P,6,0)</f>
        <v>3.0184999999999999E-4</v>
      </c>
      <c r="M767" s="50">
        <f>VLOOKUP(H767,[4]Sheet2!K:Q,7,0)</f>
        <v>2496</v>
      </c>
      <c r="N767" s="51"/>
      <c r="O767" s="51"/>
      <c r="P767" s="51"/>
      <c r="Q767" s="51"/>
      <c r="R767" s="51"/>
      <c r="S767" s="51"/>
      <c r="T767" s="51"/>
      <c r="U767" s="51"/>
      <c r="V767" s="52">
        <f>VLOOKUP(H767,[4]Sheet2!K:N,4,0)</f>
        <v>2496</v>
      </c>
      <c r="W767" s="52">
        <f t="shared" si="671"/>
        <v>0</v>
      </c>
      <c r="X767" s="52">
        <f>VLOOKUP(H767,[4]Sheet2!K:N,4,0)</f>
        <v>2496</v>
      </c>
      <c r="Y767" s="53">
        <f t="shared" si="672"/>
        <v>1</v>
      </c>
      <c r="Z767" s="53">
        <f t="shared" si="673"/>
        <v>0</v>
      </c>
      <c r="AA767" s="53">
        <f t="shared" si="674"/>
        <v>1</v>
      </c>
    </row>
    <row r="768" spans="1:27" ht="18.75" customHeight="1" outlineLevel="6" x14ac:dyDescent="0.3">
      <c r="B768" s="44"/>
      <c r="C768" s="18"/>
      <c r="D768" s="24"/>
      <c r="E768" s="29"/>
      <c r="F768" s="34"/>
      <c r="G768" s="39"/>
      <c r="H768" s="46" t="s">
        <v>797</v>
      </c>
      <c r="I768" s="46" t="s">
        <v>50</v>
      </c>
      <c r="J768" s="47" t="s">
        <v>30</v>
      </c>
      <c r="K768" s="48">
        <v>0.15</v>
      </c>
      <c r="L768" s="49">
        <f>VLOOKUP(H768,[4]Sheet2!K:P,6,0)</f>
        <v>9.0555000000000003E-5</v>
      </c>
      <c r="M768" s="50">
        <f>VLOOKUP(H768,[4]Sheet2!K:Q,7,0)</f>
        <v>2496</v>
      </c>
      <c r="N768" s="51"/>
      <c r="O768" s="51"/>
      <c r="P768" s="51"/>
      <c r="Q768" s="51"/>
      <c r="R768" s="51"/>
      <c r="S768" s="51"/>
      <c r="T768" s="51"/>
      <c r="U768" s="51"/>
      <c r="V768" s="52">
        <f>VLOOKUP(H768,[4]Sheet2!K:N,4,0)</f>
        <v>2496</v>
      </c>
      <c r="W768" s="52">
        <f t="shared" si="671"/>
        <v>0</v>
      </c>
      <c r="X768" s="52">
        <f>VLOOKUP(H768,[4]Sheet2!K:N,4,0)</f>
        <v>2496</v>
      </c>
      <c r="Y768" s="53">
        <f t="shared" si="672"/>
        <v>1</v>
      </c>
      <c r="Z768" s="53">
        <f t="shared" si="673"/>
        <v>0</v>
      </c>
      <c r="AA768" s="53">
        <f t="shared" si="674"/>
        <v>1</v>
      </c>
    </row>
    <row r="769" spans="1:27" ht="18.75" customHeight="1" outlineLevel="6" x14ac:dyDescent="0.3">
      <c r="B769" s="44"/>
      <c r="C769" s="18"/>
      <c r="D769" s="24"/>
      <c r="E769" s="29"/>
      <c r="F769" s="34"/>
      <c r="G769" s="39"/>
      <c r="H769" s="46" t="s">
        <v>798</v>
      </c>
      <c r="I769" s="46" t="s">
        <v>52</v>
      </c>
      <c r="J769" s="47" t="s">
        <v>30</v>
      </c>
      <c r="K769" s="48">
        <v>0.2</v>
      </c>
      <c r="L769" s="49">
        <f>VLOOKUP(H769,[4]Sheet2!K:P,6,0)</f>
        <v>1.2074E-4</v>
      </c>
      <c r="M769" s="50">
        <f>VLOOKUP(H769,[4]Sheet2!K:Q,7,0)</f>
        <v>2496</v>
      </c>
      <c r="N769" s="51"/>
      <c r="O769" s="51"/>
      <c r="P769" s="51"/>
      <c r="Q769" s="51"/>
      <c r="R769" s="51"/>
      <c r="S769" s="51"/>
      <c r="T769" s="51"/>
      <c r="U769" s="51"/>
      <c r="V769" s="52">
        <f>VLOOKUP(H769,[4]Sheet2!K:N,4,0)</f>
        <v>2287</v>
      </c>
      <c r="W769" s="52">
        <f t="shared" si="671"/>
        <v>0</v>
      </c>
      <c r="X769" s="52">
        <f>VLOOKUP(H769,[4]Sheet2!K:N,4,0)</f>
        <v>2287</v>
      </c>
      <c r="Y769" s="53">
        <f t="shared" si="672"/>
        <v>0.91626602564102566</v>
      </c>
      <c r="Z769" s="53">
        <f t="shared" si="673"/>
        <v>0</v>
      </c>
      <c r="AA769" s="53">
        <f t="shared" si="674"/>
        <v>0.91626602564102566</v>
      </c>
    </row>
    <row r="770" spans="1:27" ht="18.75" customHeight="1" outlineLevel="6" x14ac:dyDescent="0.3">
      <c r="B770" s="44"/>
      <c r="C770" s="18"/>
      <c r="D770" s="24"/>
      <c r="E770" s="29"/>
      <c r="F770" s="34"/>
      <c r="G770" s="39"/>
      <c r="H770" s="46" t="s">
        <v>799</v>
      </c>
      <c r="I770" s="46" t="s">
        <v>54</v>
      </c>
      <c r="J770" s="47" t="s">
        <v>30</v>
      </c>
      <c r="K770" s="48">
        <v>0.05</v>
      </c>
      <c r="L770" s="49">
        <f>VLOOKUP(H770,[4]Sheet2!K:P,6,0)</f>
        <v>3.0185E-5</v>
      </c>
      <c r="M770" s="50">
        <f>VLOOKUP(H770,[4]Sheet2!K:Q,7,0)</f>
        <v>2496</v>
      </c>
      <c r="N770" s="51"/>
      <c r="O770" s="51"/>
      <c r="P770" s="51"/>
      <c r="Q770" s="51"/>
      <c r="R770" s="51"/>
      <c r="S770" s="51"/>
      <c r="T770" s="51"/>
      <c r="U770" s="51"/>
      <c r="V770" s="52">
        <f>VLOOKUP(H770,[4]Sheet2!K:N,4,0)</f>
        <v>0</v>
      </c>
      <c r="W770" s="52">
        <f t="shared" si="671"/>
        <v>0</v>
      </c>
      <c r="X770" s="52">
        <f>VLOOKUP(H770,[4]Sheet2!K:N,4,0)</f>
        <v>0</v>
      </c>
      <c r="Y770" s="53">
        <f t="shared" si="672"/>
        <v>0</v>
      </c>
      <c r="Z770" s="53">
        <f t="shared" si="673"/>
        <v>0</v>
      </c>
      <c r="AA770" s="53">
        <f t="shared" si="674"/>
        <v>0</v>
      </c>
    </row>
    <row r="771" spans="1:27" ht="18.75" customHeight="1" outlineLevel="6" x14ac:dyDescent="0.3">
      <c r="B771" s="44"/>
      <c r="C771" s="18"/>
      <c r="D771" s="24"/>
      <c r="E771" s="29"/>
      <c r="F771" s="34"/>
      <c r="G771" s="39"/>
      <c r="H771" s="46" t="s">
        <v>800</v>
      </c>
      <c r="I771" s="46" t="s">
        <v>56</v>
      </c>
      <c r="J771" s="47" t="s">
        <v>30</v>
      </c>
      <c r="K771" s="48">
        <v>0.05</v>
      </c>
      <c r="L771" s="49">
        <f>VLOOKUP(H771,[4]Sheet2!K:P,6,0)</f>
        <v>3.0185E-5</v>
      </c>
      <c r="M771" s="50">
        <f>VLOOKUP(H771,[4]Sheet2!K:Q,7,0)</f>
        <v>2496</v>
      </c>
      <c r="N771" s="51"/>
      <c r="O771" s="51"/>
      <c r="P771" s="51"/>
      <c r="Q771" s="51"/>
      <c r="R771" s="51"/>
      <c r="S771" s="51"/>
      <c r="T771" s="51"/>
      <c r="U771" s="51"/>
      <c r="V771" s="52">
        <f>VLOOKUP(H771,[4]Sheet2!K:N,4,0)</f>
        <v>0</v>
      </c>
      <c r="W771" s="52">
        <f t="shared" si="671"/>
        <v>0</v>
      </c>
      <c r="X771" s="52">
        <f>VLOOKUP(H771,[4]Sheet2!K:N,4,0)</f>
        <v>0</v>
      </c>
      <c r="Y771" s="53">
        <f t="shared" si="672"/>
        <v>0</v>
      </c>
      <c r="Z771" s="53">
        <f t="shared" si="673"/>
        <v>0</v>
      </c>
      <c r="AA771" s="53">
        <f t="shared" si="674"/>
        <v>0</v>
      </c>
    </row>
    <row r="772" spans="1:27" ht="18.75" customHeight="1" outlineLevel="5" x14ac:dyDescent="0.3">
      <c r="B772" s="12"/>
      <c r="C772" s="18"/>
      <c r="D772" s="24"/>
      <c r="E772" s="29"/>
      <c r="F772" s="34"/>
      <c r="G772" s="39" t="s">
        <v>261</v>
      </c>
      <c r="H772" s="58"/>
      <c r="I772" s="58"/>
      <c r="J772" s="58"/>
      <c r="K772" s="58"/>
      <c r="L772" s="41">
        <f>SUM(L773:L777)</f>
        <v>4.2757000000000012E-3</v>
      </c>
      <c r="M772" s="42">
        <f>M773</f>
        <v>24780.5</v>
      </c>
      <c r="N772" s="40"/>
      <c r="O772" s="40"/>
      <c r="P772" s="40"/>
      <c r="Q772" s="40"/>
      <c r="R772" s="40"/>
      <c r="S772" s="40"/>
      <c r="T772" s="40"/>
      <c r="U772" s="40"/>
      <c r="V772" s="42">
        <f t="shared" ref="V772:X772" si="675">V773</f>
        <v>22302.45</v>
      </c>
      <c r="W772" s="42">
        <f t="shared" si="675"/>
        <v>0</v>
      </c>
      <c r="X772" s="42">
        <f t="shared" si="675"/>
        <v>22302.45</v>
      </c>
      <c r="Y772" s="43">
        <f>SUMPRODUCT(Y773:Y778,$K773:$K778)</f>
        <v>0.79408062791307699</v>
      </c>
      <c r="Z772" s="43">
        <f t="shared" ref="Z772:AA772" si="676">SUMPRODUCT(Z773:Z778,$K773:$K778)</f>
        <v>0</v>
      </c>
      <c r="AA772" s="43">
        <f t="shared" si="676"/>
        <v>0.79408062791307699</v>
      </c>
    </row>
    <row r="773" spans="1:27" ht="18.75" customHeight="1" outlineLevel="6" x14ac:dyDescent="0.3">
      <c r="B773" s="44"/>
      <c r="C773" s="18"/>
      <c r="D773" s="24"/>
      <c r="E773" s="29"/>
      <c r="F773" s="34"/>
      <c r="G773" s="39"/>
      <c r="H773" s="46" t="s">
        <v>801</v>
      </c>
      <c r="I773" s="46" t="s">
        <v>45</v>
      </c>
      <c r="J773" s="47" t="s">
        <v>59</v>
      </c>
      <c r="K773" s="48">
        <v>0.05</v>
      </c>
      <c r="L773" s="49">
        <f>VLOOKUP(H773,[4]Sheet2!K:P,6,0)</f>
        <v>2.1378500000000003E-4</v>
      </c>
      <c r="M773" s="50">
        <f>VLOOKUP(H773,[4]Sheet2!K:Q,7,0)</f>
        <v>24780.5</v>
      </c>
      <c r="N773" s="51"/>
      <c r="O773" s="51"/>
      <c r="P773" s="51"/>
      <c r="Q773" s="51"/>
      <c r="R773" s="51"/>
      <c r="S773" s="51"/>
      <c r="T773" s="51"/>
      <c r="U773" s="51"/>
      <c r="V773" s="52">
        <f>VLOOKUP(H773,[4]Sheet2!K:N,4,0)</f>
        <v>22302.45</v>
      </c>
      <c r="W773" s="52">
        <f t="shared" ref="W773:W777" si="677">X773-V773</f>
        <v>0</v>
      </c>
      <c r="X773" s="52">
        <f>VLOOKUP(H773,[4]Sheet2!K:N,4,0)</f>
        <v>22302.45</v>
      </c>
      <c r="Y773" s="53">
        <f t="shared" ref="Y773:Y777" si="678">IFERROR(V773/M773,1)</f>
        <v>0.9</v>
      </c>
      <c r="Z773" s="53">
        <f t="shared" ref="Z773:Z777" si="679">IFERROR(W773/M773,1)</f>
        <v>0</v>
      </c>
      <c r="AA773" s="53">
        <f t="shared" ref="AA773:AA777" si="680">IFERROR(X773/M773,1)</f>
        <v>0.9</v>
      </c>
    </row>
    <row r="774" spans="1:27" ht="18.75" customHeight="1" outlineLevel="6" x14ac:dyDescent="0.3">
      <c r="A774" s="60" t="s">
        <v>724</v>
      </c>
      <c r="B774" s="44"/>
      <c r="C774" s="18"/>
      <c r="D774" s="24"/>
      <c r="E774" s="29"/>
      <c r="F774" s="34"/>
      <c r="G774" s="39"/>
      <c r="H774" s="46" t="s">
        <v>802</v>
      </c>
      <c r="I774" s="46" t="s">
        <v>168</v>
      </c>
      <c r="J774" s="47" t="s">
        <v>59</v>
      </c>
      <c r="K774" s="48">
        <v>0.65</v>
      </c>
      <c r="L774" s="49">
        <f>VLOOKUP(H774,[4]Sheet2!K:P,6,0)</f>
        <v>2.7792050000000003E-3</v>
      </c>
      <c r="M774" s="50">
        <f>VLOOKUP(H774,[4]Sheet2!K:Q,7,0)</f>
        <v>24780.5</v>
      </c>
      <c r="N774" s="51"/>
      <c r="O774" s="51"/>
      <c r="P774" s="51"/>
      <c r="Q774" s="51"/>
      <c r="R774" s="51"/>
      <c r="S774" s="51"/>
      <c r="T774" s="51"/>
      <c r="U774" s="51"/>
      <c r="V774" s="52">
        <f>VLOOKUP(H774,[4]Sheet2!K:N,4,0)</f>
        <v>22302.45</v>
      </c>
      <c r="W774" s="52">
        <f t="shared" si="677"/>
        <v>0</v>
      </c>
      <c r="X774" s="52">
        <f>VLOOKUP(H774,[4]Sheet2!K:N,4,0)</f>
        <v>22302.45</v>
      </c>
      <c r="Y774" s="53">
        <f t="shared" si="678"/>
        <v>0.9</v>
      </c>
      <c r="Z774" s="53">
        <f t="shared" si="679"/>
        <v>0</v>
      </c>
      <c r="AA774" s="53">
        <f t="shared" si="680"/>
        <v>0.9</v>
      </c>
    </row>
    <row r="775" spans="1:27" ht="18.75" customHeight="1" outlineLevel="6" x14ac:dyDescent="0.3">
      <c r="B775" s="44"/>
      <c r="C775" s="18"/>
      <c r="D775" s="24"/>
      <c r="E775" s="29"/>
      <c r="F775" s="34"/>
      <c r="G775" s="39"/>
      <c r="H775" s="46" t="s">
        <v>803</v>
      </c>
      <c r="I775" s="46" t="s">
        <v>170</v>
      </c>
      <c r="J775" s="47" t="s">
        <v>59</v>
      </c>
      <c r="K775" s="48">
        <v>0.2</v>
      </c>
      <c r="L775" s="49">
        <f>VLOOKUP(H775,[4]Sheet2!K:P,6,0)</f>
        <v>8.5514000000000011E-4</v>
      </c>
      <c r="M775" s="50">
        <f>VLOOKUP(H775,[4]Sheet2!K:Q,7,0)</f>
        <v>24780.5</v>
      </c>
      <c r="N775" s="51"/>
      <c r="O775" s="51"/>
      <c r="P775" s="51"/>
      <c r="Q775" s="51"/>
      <c r="R775" s="51"/>
      <c r="S775" s="51"/>
      <c r="T775" s="51"/>
      <c r="U775" s="51"/>
      <c r="V775" s="52">
        <f>VLOOKUP(H775,[4]Sheet2!K:N,4,0)</f>
        <v>20330</v>
      </c>
      <c r="W775" s="52">
        <f t="shared" si="677"/>
        <v>0</v>
      </c>
      <c r="X775" s="52">
        <f>VLOOKUP(H775,[4]Sheet2!K:N,4,0)</f>
        <v>20330</v>
      </c>
      <c r="Y775" s="53">
        <f t="shared" si="678"/>
        <v>0.82040313956538402</v>
      </c>
      <c r="Z775" s="53">
        <f t="shared" si="679"/>
        <v>0</v>
      </c>
      <c r="AA775" s="53">
        <f t="shared" si="680"/>
        <v>0.82040313956538402</v>
      </c>
    </row>
    <row r="776" spans="1:27" ht="18.75" customHeight="1" outlineLevel="6" x14ac:dyDescent="0.3">
      <c r="B776" s="44"/>
      <c r="C776" s="18"/>
      <c r="D776" s="24"/>
      <c r="E776" s="29"/>
      <c r="F776" s="34"/>
      <c r="G776" s="39"/>
      <c r="H776" s="46" t="s">
        <v>804</v>
      </c>
      <c r="I776" s="46" t="s">
        <v>172</v>
      </c>
      <c r="J776" s="47" t="s">
        <v>59</v>
      </c>
      <c r="K776" s="48">
        <v>0.05</v>
      </c>
      <c r="L776" s="49">
        <f>VLOOKUP(H776,[4]Sheet2!K:P,6,0)</f>
        <v>2.1378500000000003E-4</v>
      </c>
      <c r="M776" s="50">
        <f>VLOOKUP(H776,[4]Sheet2!K:Q,7,0)</f>
        <v>24780.5</v>
      </c>
      <c r="N776" s="51"/>
      <c r="O776" s="51"/>
      <c r="P776" s="51"/>
      <c r="Q776" s="51"/>
      <c r="R776" s="51"/>
      <c r="S776" s="51"/>
      <c r="T776" s="51"/>
      <c r="U776" s="51"/>
      <c r="V776" s="52">
        <f>VLOOKUP(H776,[4]Sheet2!K:N,4,0)</f>
        <v>0</v>
      </c>
      <c r="W776" s="52">
        <f t="shared" si="677"/>
        <v>0</v>
      </c>
      <c r="X776" s="52">
        <f>VLOOKUP(H776,[4]Sheet2!K:N,4,0)</f>
        <v>0</v>
      </c>
      <c r="Y776" s="53">
        <f t="shared" si="678"/>
        <v>0</v>
      </c>
      <c r="Z776" s="53">
        <f t="shared" si="679"/>
        <v>0</v>
      </c>
      <c r="AA776" s="53">
        <f t="shared" si="680"/>
        <v>0</v>
      </c>
    </row>
    <row r="777" spans="1:27" ht="18.75" customHeight="1" outlineLevel="6" x14ac:dyDescent="0.3">
      <c r="B777" s="44"/>
      <c r="C777" s="18"/>
      <c r="D777" s="24"/>
      <c r="E777" s="29"/>
      <c r="F777" s="34"/>
      <c r="G777" s="39"/>
      <c r="H777" s="46" t="s">
        <v>805</v>
      </c>
      <c r="I777" s="46" t="s">
        <v>56</v>
      </c>
      <c r="J777" s="47" t="s">
        <v>59</v>
      </c>
      <c r="K777" s="48">
        <v>0.05</v>
      </c>
      <c r="L777" s="49">
        <f>VLOOKUP(H777,[4]Sheet2!K:P,6,0)</f>
        <v>2.1378500000000003E-4</v>
      </c>
      <c r="M777" s="50">
        <f>VLOOKUP(H777,[4]Sheet2!K:Q,7,0)</f>
        <v>24780.5</v>
      </c>
      <c r="N777" s="51"/>
      <c r="O777" s="51"/>
      <c r="P777" s="51"/>
      <c r="Q777" s="51"/>
      <c r="R777" s="51"/>
      <c r="S777" s="51"/>
      <c r="T777" s="51"/>
      <c r="U777" s="51"/>
      <c r="V777" s="52">
        <f>VLOOKUP(H777,[4]Sheet2!K:N,4,0)</f>
        <v>0</v>
      </c>
      <c r="W777" s="52">
        <f t="shared" si="677"/>
        <v>0</v>
      </c>
      <c r="X777" s="52">
        <f>VLOOKUP(H777,[4]Sheet2!K:N,4,0)</f>
        <v>0</v>
      </c>
      <c r="Y777" s="53">
        <f t="shared" si="678"/>
        <v>0</v>
      </c>
      <c r="Z777" s="53">
        <f t="shared" si="679"/>
        <v>0</v>
      </c>
      <c r="AA777" s="53">
        <f t="shared" si="680"/>
        <v>0</v>
      </c>
    </row>
    <row r="778" spans="1:27" ht="18.75" customHeight="1" outlineLevel="4" x14ac:dyDescent="0.3">
      <c r="B778" s="12"/>
      <c r="C778" s="18"/>
      <c r="D778" s="24"/>
      <c r="E778" s="29"/>
      <c r="F778" s="34" t="s">
        <v>267</v>
      </c>
      <c r="G778" s="34"/>
      <c r="H778" s="57"/>
      <c r="I778" s="57"/>
      <c r="J778" s="57"/>
      <c r="K778" s="57"/>
      <c r="L778" s="36">
        <f>L779+L783</f>
        <v>0.02</v>
      </c>
      <c r="M778" s="37">
        <f>M779+M783</f>
        <v>2160</v>
      </c>
      <c r="N778" s="35"/>
      <c r="O778" s="35"/>
      <c r="P778" s="35"/>
      <c r="Q778" s="35"/>
      <c r="R778" s="35"/>
      <c r="S778" s="35"/>
      <c r="T778" s="35"/>
      <c r="U778" s="35"/>
      <c r="V778" s="61">
        <f t="shared" ref="V778:X778" si="681">(V779*$L779+V783*$L783)/$L778</f>
        <v>0</v>
      </c>
      <c r="W778" s="61">
        <f t="shared" si="681"/>
        <v>0</v>
      </c>
      <c r="X778" s="61">
        <f t="shared" si="681"/>
        <v>0</v>
      </c>
      <c r="Y778" s="38">
        <f>(Y779*$L779+Y783*$L783)/$L778</f>
        <v>0</v>
      </c>
      <c r="Z778" s="38">
        <f t="shared" ref="Z778:AA778" si="682">(Z779*$L779+Z783*$L783)/$L778</f>
        <v>0</v>
      </c>
      <c r="AA778" s="38">
        <f t="shared" si="682"/>
        <v>0</v>
      </c>
    </row>
    <row r="779" spans="1:27" ht="18.75" customHeight="1" outlineLevel="5" x14ac:dyDescent="0.3">
      <c r="B779" s="12"/>
      <c r="C779" s="18"/>
      <c r="D779" s="24"/>
      <c r="E779" s="29"/>
      <c r="F779" s="34"/>
      <c r="G779" s="39" t="s">
        <v>268</v>
      </c>
      <c r="H779" s="58"/>
      <c r="I779" s="58"/>
      <c r="J779" s="58"/>
      <c r="K779" s="58"/>
      <c r="L779" s="41">
        <f>SUM(L780:L782)</f>
        <v>0.01</v>
      </c>
      <c r="M779" s="42">
        <f>M780</f>
        <v>1500</v>
      </c>
      <c r="N779" s="40"/>
      <c r="O779" s="40"/>
      <c r="P779" s="40"/>
      <c r="Q779" s="40"/>
      <c r="R779" s="40"/>
      <c r="S779" s="40"/>
      <c r="T779" s="40"/>
      <c r="U779" s="40"/>
      <c r="V779" s="62">
        <f t="shared" ref="V779:X779" si="683">SUMPRODUCT(V780:V782,$K780:$K782)</f>
        <v>0</v>
      </c>
      <c r="W779" s="62">
        <f t="shared" si="683"/>
        <v>0</v>
      </c>
      <c r="X779" s="62">
        <f t="shared" si="683"/>
        <v>0</v>
      </c>
      <c r="Y779" s="43">
        <f>SUMPRODUCT(Y780:Y782,$K780:$K782)</f>
        <v>0</v>
      </c>
      <c r="Z779" s="43">
        <f t="shared" ref="Z779:AA779" si="684">SUMPRODUCT(Z780:Z782,$K780:$K782)</f>
        <v>0</v>
      </c>
      <c r="AA779" s="43">
        <f t="shared" si="684"/>
        <v>0</v>
      </c>
    </row>
    <row r="780" spans="1:27" ht="18.75" customHeight="1" outlineLevel="6" x14ac:dyDescent="0.3">
      <c r="A780" s="60" t="s">
        <v>634</v>
      </c>
      <c r="B780" s="44"/>
      <c r="C780" s="18"/>
      <c r="D780" s="24"/>
      <c r="E780" s="29"/>
      <c r="F780" s="34"/>
      <c r="G780" s="39"/>
      <c r="H780" s="46" t="s">
        <v>806</v>
      </c>
      <c r="I780" s="46" t="s">
        <v>48</v>
      </c>
      <c r="J780" s="47" t="s">
        <v>59</v>
      </c>
      <c r="K780" s="48">
        <v>0.5</v>
      </c>
      <c r="L780" s="49">
        <f>VLOOKUP(H780,[4]Sheet2!K:P,6,0)</f>
        <v>5.0000000000000001E-3</v>
      </c>
      <c r="M780" s="50">
        <f>VLOOKUP(H780,[4]Sheet2!K:Q,7,0)</f>
        <v>1500</v>
      </c>
      <c r="N780" s="51"/>
      <c r="O780" s="51"/>
      <c r="P780" s="51"/>
      <c r="Q780" s="51"/>
      <c r="R780" s="51"/>
      <c r="S780" s="51"/>
      <c r="T780" s="51"/>
      <c r="U780" s="51"/>
      <c r="V780" s="52">
        <f>VLOOKUP(H780,[4]Sheet2!K:N,4,0)</f>
        <v>0</v>
      </c>
      <c r="W780" s="52">
        <f t="shared" ref="W780:W782" si="685">X780-V780</f>
        <v>0</v>
      </c>
      <c r="X780" s="52">
        <f>VLOOKUP(H780,[4]Sheet2!K:N,4,0)</f>
        <v>0</v>
      </c>
      <c r="Y780" s="53">
        <f t="shared" ref="Y780:Y782" si="686">IFERROR(V780/M780,1)</f>
        <v>0</v>
      </c>
      <c r="Z780" s="53">
        <f t="shared" ref="Z780:Z782" si="687">IFERROR(W780/M780,1)</f>
        <v>0</v>
      </c>
      <c r="AA780" s="53">
        <f t="shared" ref="AA780:AA782" si="688">IFERROR(X780/M780,1)</f>
        <v>0</v>
      </c>
    </row>
    <row r="781" spans="1:27" ht="18.75" customHeight="1" outlineLevel="6" x14ac:dyDescent="0.3">
      <c r="B781" s="44"/>
      <c r="C781" s="18"/>
      <c r="D781" s="24"/>
      <c r="E781" s="29"/>
      <c r="F781" s="34"/>
      <c r="G781" s="39"/>
      <c r="H781" s="46" t="s">
        <v>807</v>
      </c>
      <c r="I781" s="46" t="s">
        <v>271</v>
      </c>
      <c r="J781" s="47" t="s">
        <v>59</v>
      </c>
      <c r="K781" s="48">
        <v>0.25</v>
      </c>
      <c r="L781" s="49">
        <f>VLOOKUP(H781,[4]Sheet2!K:P,6,0)</f>
        <v>2.5000000000000001E-3</v>
      </c>
      <c r="M781" s="50">
        <f>VLOOKUP(H781,[4]Sheet2!K:Q,7,0)</f>
        <v>1500</v>
      </c>
      <c r="N781" s="51"/>
      <c r="O781" s="51"/>
      <c r="P781" s="51"/>
      <c r="Q781" s="51"/>
      <c r="R781" s="51"/>
      <c r="S781" s="51"/>
      <c r="T781" s="51"/>
      <c r="U781" s="51"/>
      <c r="V781" s="52">
        <f>VLOOKUP(H781,[4]Sheet2!K:N,4,0)</f>
        <v>0</v>
      </c>
      <c r="W781" s="52">
        <f t="shared" si="685"/>
        <v>0</v>
      </c>
      <c r="X781" s="52">
        <f>VLOOKUP(H781,[4]Sheet2!K:N,4,0)</f>
        <v>0</v>
      </c>
      <c r="Y781" s="53">
        <f t="shared" si="686"/>
        <v>0</v>
      </c>
      <c r="Z781" s="53">
        <f t="shared" si="687"/>
        <v>0</v>
      </c>
      <c r="AA781" s="53">
        <f t="shared" si="688"/>
        <v>0</v>
      </c>
    </row>
    <row r="782" spans="1:27" ht="18.75" customHeight="1" outlineLevel="6" x14ac:dyDescent="0.3">
      <c r="B782" s="44"/>
      <c r="C782" s="18"/>
      <c r="D782" s="24"/>
      <c r="E782" s="29"/>
      <c r="F782" s="34"/>
      <c r="G782" s="39"/>
      <c r="H782" s="46" t="s">
        <v>808</v>
      </c>
      <c r="I782" s="46" t="s">
        <v>56</v>
      </c>
      <c r="J782" s="47" t="s">
        <v>59</v>
      </c>
      <c r="K782" s="48">
        <v>0.25</v>
      </c>
      <c r="L782" s="49">
        <f>VLOOKUP(H782,[4]Sheet2!K:P,6,0)</f>
        <v>2.5000000000000001E-3</v>
      </c>
      <c r="M782" s="50">
        <f>VLOOKUP(H782,[4]Sheet2!K:Q,7,0)</f>
        <v>1500</v>
      </c>
      <c r="N782" s="51"/>
      <c r="O782" s="51"/>
      <c r="P782" s="51"/>
      <c r="Q782" s="51"/>
      <c r="R782" s="51"/>
      <c r="S782" s="51"/>
      <c r="T782" s="51"/>
      <c r="U782" s="51"/>
      <c r="V782" s="52">
        <f>VLOOKUP(H782,[4]Sheet2!K:N,4,0)</f>
        <v>0</v>
      </c>
      <c r="W782" s="52">
        <f t="shared" si="685"/>
        <v>0</v>
      </c>
      <c r="X782" s="52">
        <f>VLOOKUP(H782,[4]Sheet2!K:N,4,0)</f>
        <v>0</v>
      </c>
      <c r="Y782" s="53">
        <f t="shared" si="686"/>
        <v>0</v>
      </c>
      <c r="Z782" s="53">
        <f t="shared" si="687"/>
        <v>0</v>
      </c>
      <c r="AA782" s="53">
        <f t="shared" si="688"/>
        <v>0</v>
      </c>
    </row>
    <row r="783" spans="1:27" ht="18.75" customHeight="1" outlineLevel="5" x14ac:dyDescent="0.3">
      <c r="B783" s="12"/>
      <c r="C783" s="18"/>
      <c r="D783" s="24"/>
      <c r="E783" s="29"/>
      <c r="F783" s="34"/>
      <c r="G783" s="39" t="s">
        <v>273</v>
      </c>
      <c r="H783" s="58"/>
      <c r="I783" s="58"/>
      <c r="J783" s="58"/>
      <c r="K783" s="58"/>
      <c r="L783" s="41">
        <f>SUM(L784:L786)</f>
        <v>0.01</v>
      </c>
      <c r="M783" s="42">
        <f>M784</f>
        <v>660</v>
      </c>
      <c r="N783" s="40"/>
      <c r="O783" s="40"/>
      <c r="P783" s="40"/>
      <c r="Q783" s="40"/>
      <c r="R783" s="40"/>
      <c r="S783" s="40"/>
      <c r="T783" s="40"/>
      <c r="U783" s="40"/>
      <c r="V783" s="62">
        <f t="shared" ref="V783:AA783" si="689">V784</f>
        <v>0</v>
      </c>
      <c r="W783" s="62">
        <f t="shared" si="689"/>
        <v>0</v>
      </c>
      <c r="X783" s="62">
        <f t="shared" si="689"/>
        <v>0</v>
      </c>
      <c r="Y783" s="43">
        <f t="shared" si="689"/>
        <v>0</v>
      </c>
      <c r="Z783" s="43">
        <f t="shared" si="689"/>
        <v>0</v>
      </c>
      <c r="AA783" s="43">
        <f t="shared" si="689"/>
        <v>0</v>
      </c>
    </row>
    <row r="784" spans="1:27" ht="18.75" customHeight="1" outlineLevel="6" x14ac:dyDescent="0.3">
      <c r="A784" s="60" t="s">
        <v>634</v>
      </c>
      <c r="B784" s="44"/>
      <c r="C784" s="18"/>
      <c r="D784" s="24"/>
      <c r="E784" s="29"/>
      <c r="F784" s="34"/>
      <c r="G784" s="39"/>
      <c r="H784" s="46" t="s">
        <v>809</v>
      </c>
      <c r="I784" s="46" t="s">
        <v>48</v>
      </c>
      <c r="J784" s="47" t="s">
        <v>59</v>
      </c>
      <c r="K784" s="48">
        <v>0.5</v>
      </c>
      <c r="L784" s="49">
        <f>VLOOKUP(H784,[4]Sheet2!K:P,6,0)</f>
        <v>5.0000000000000001E-3</v>
      </c>
      <c r="M784" s="50">
        <f>VLOOKUP(H784,[4]Sheet2!K:Q,7,0)</f>
        <v>660</v>
      </c>
      <c r="N784" s="51"/>
      <c r="O784" s="51"/>
      <c r="P784" s="51"/>
      <c r="Q784" s="51"/>
      <c r="R784" s="51"/>
      <c r="S784" s="51"/>
      <c r="T784" s="51"/>
      <c r="U784" s="51"/>
      <c r="V784" s="52">
        <f>VLOOKUP(H784,[4]Sheet2!K:N,4,0)</f>
        <v>0</v>
      </c>
      <c r="W784" s="52">
        <f t="shared" ref="W784:W786" si="690">X784-V784</f>
        <v>0</v>
      </c>
      <c r="X784" s="52">
        <f>VLOOKUP(H784,[4]Sheet2!K:N,4,0)</f>
        <v>0</v>
      </c>
      <c r="Y784" s="53">
        <f t="shared" ref="Y784:Y786" si="691">IFERROR(V784/M784,1)</f>
        <v>0</v>
      </c>
      <c r="Z784" s="53">
        <f t="shared" ref="Z784:Z786" si="692">IFERROR(W784/M784,1)</f>
        <v>0</v>
      </c>
      <c r="AA784" s="53">
        <f t="shared" ref="AA784:AA786" si="693">IFERROR(X784/M784,1)</f>
        <v>0</v>
      </c>
    </row>
    <row r="785" spans="1:27" ht="18.75" customHeight="1" outlineLevel="6" x14ac:dyDescent="0.3">
      <c r="B785" s="44"/>
      <c r="C785" s="18"/>
      <c r="D785" s="24"/>
      <c r="E785" s="29"/>
      <c r="F785" s="34"/>
      <c r="G785" s="39"/>
      <c r="H785" s="46" t="s">
        <v>810</v>
      </c>
      <c r="I785" s="46" t="s">
        <v>271</v>
      </c>
      <c r="J785" s="47" t="s">
        <v>59</v>
      </c>
      <c r="K785" s="48">
        <v>0.25</v>
      </c>
      <c r="L785" s="49">
        <f>VLOOKUP(H785,[4]Sheet2!K:P,6,0)</f>
        <v>2.5000000000000001E-3</v>
      </c>
      <c r="M785" s="50">
        <f>VLOOKUP(H785,[4]Sheet2!K:Q,7,0)</f>
        <v>660</v>
      </c>
      <c r="N785" s="51"/>
      <c r="O785" s="51"/>
      <c r="P785" s="51"/>
      <c r="Q785" s="51"/>
      <c r="R785" s="51"/>
      <c r="S785" s="51"/>
      <c r="T785" s="51"/>
      <c r="U785" s="51"/>
      <c r="V785" s="52">
        <f>VLOOKUP(H785,[4]Sheet2!K:N,4,0)</f>
        <v>0</v>
      </c>
      <c r="W785" s="52">
        <f t="shared" si="690"/>
        <v>0</v>
      </c>
      <c r="X785" s="52">
        <f>VLOOKUP(H785,[4]Sheet2!K:N,4,0)</f>
        <v>0</v>
      </c>
      <c r="Y785" s="53">
        <f t="shared" si="691"/>
        <v>0</v>
      </c>
      <c r="Z785" s="53">
        <f t="shared" si="692"/>
        <v>0</v>
      </c>
      <c r="AA785" s="53">
        <f t="shared" si="693"/>
        <v>0</v>
      </c>
    </row>
    <row r="786" spans="1:27" ht="18.75" customHeight="1" outlineLevel="6" x14ac:dyDescent="0.3">
      <c r="B786" s="44"/>
      <c r="C786" s="18"/>
      <c r="D786" s="24"/>
      <c r="E786" s="29"/>
      <c r="F786" s="34"/>
      <c r="G786" s="39"/>
      <c r="H786" s="46" t="s">
        <v>811</v>
      </c>
      <c r="I786" s="46" t="s">
        <v>56</v>
      </c>
      <c r="J786" s="47" t="s">
        <v>59</v>
      </c>
      <c r="K786" s="48">
        <v>0.25</v>
      </c>
      <c r="L786" s="49">
        <f>VLOOKUP(H786,[4]Sheet2!K:P,6,0)</f>
        <v>2.5000000000000001E-3</v>
      </c>
      <c r="M786" s="50">
        <f>VLOOKUP(H786,[4]Sheet2!K:Q,7,0)</f>
        <v>660</v>
      </c>
      <c r="N786" s="51"/>
      <c r="O786" s="51"/>
      <c r="P786" s="51"/>
      <c r="Q786" s="51"/>
      <c r="R786" s="51"/>
      <c r="S786" s="51"/>
      <c r="T786" s="51"/>
      <c r="U786" s="51"/>
      <c r="V786" s="52">
        <f>VLOOKUP(H786,[4]Sheet2!K:N,4,0)</f>
        <v>0</v>
      </c>
      <c r="W786" s="52">
        <f t="shared" si="690"/>
        <v>0</v>
      </c>
      <c r="X786" s="52">
        <f>VLOOKUP(H786,[4]Sheet2!K:N,4,0)</f>
        <v>0</v>
      </c>
      <c r="Y786" s="53">
        <f t="shared" si="691"/>
        <v>0</v>
      </c>
      <c r="Z786" s="53">
        <f t="shared" si="692"/>
        <v>0</v>
      </c>
      <c r="AA786" s="53">
        <f t="shared" si="693"/>
        <v>0</v>
      </c>
    </row>
    <row r="787" spans="1:27" ht="18.75" customHeight="1" outlineLevel="3" x14ac:dyDescent="0.3">
      <c r="B787" s="12"/>
      <c r="C787" s="18"/>
      <c r="D787" s="24"/>
      <c r="E787" s="29" t="s">
        <v>277</v>
      </c>
      <c r="F787" s="29"/>
      <c r="G787" s="29"/>
      <c r="H787" s="56"/>
      <c r="I787" s="56"/>
      <c r="J787" s="56"/>
      <c r="K787" s="56"/>
      <c r="L787" s="31">
        <f>L788+L796+L875</f>
        <v>4.4999999999999998E-2</v>
      </c>
      <c r="M787" s="32">
        <f>M788+M796+M875</f>
        <v>189708.2</v>
      </c>
      <c r="N787" s="30"/>
      <c r="O787" s="30"/>
      <c r="P787" s="30"/>
      <c r="Q787" s="30"/>
      <c r="R787" s="30"/>
      <c r="S787" s="30"/>
      <c r="T787" s="30"/>
      <c r="U787" s="30"/>
      <c r="V787" s="63">
        <f t="shared" ref="V787:X787" si="694">(V788*$L788+V796*$L796+V875*$L875)/$L787</f>
        <v>10074.456888888888</v>
      </c>
      <c r="W787" s="63">
        <f t="shared" si="694"/>
        <v>0</v>
      </c>
      <c r="X787" s="63">
        <f t="shared" si="694"/>
        <v>10074.456888888888</v>
      </c>
      <c r="Y787" s="33">
        <f>(Y788*$L788+Y796*$L796+Y875*$L875)/$L787</f>
        <v>0.29333754275190743</v>
      </c>
      <c r="Z787" s="33">
        <f t="shared" ref="Z787:AA787" si="695">(Z788*$L788+Z796*$L796+Z875*$L875)/$L787</f>
        <v>0</v>
      </c>
      <c r="AA787" s="33">
        <f t="shared" si="695"/>
        <v>0.36222643164079632</v>
      </c>
    </row>
    <row r="788" spans="1:27" ht="18.75" customHeight="1" outlineLevel="4" x14ac:dyDescent="0.3">
      <c r="B788" s="12"/>
      <c r="C788" s="18"/>
      <c r="D788" s="24"/>
      <c r="E788" s="29"/>
      <c r="F788" s="34" t="s">
        <v>278</v>
      </c>
      <c r="G788" s="34"/>
      <c r="H788" s="57"/>
      <c r="I788" s="57"/>
      <c r="J788" s="57"/>
      <c r="K788" s="57"/>
      <c r="L788" s="36">
        <f>L789</f>
        <v>0.02</v>
      </c>
      <c r="M788" s="37">
        <f>M789</f>
        <v>40200</v>
      </c>
      <c r="N788" s="35"/>
      <c r="O788" s="35"/>
      <c r="P788" s="35"/>
      <c r="Q788" s="35"/>
      <c r="R788" s="35"/>
      <c r="S788" s="35"/>
      <c r="T788" s="35"/>
      <c r="U788" s="35"/>
      <c r="V788" s="61">
        <f t="shared" ref="V788:X788" si="696">(V789*$L789)/$L788</f>
        <v>22110</v>
      </c>
      <c r="W788" s="61">
        <f t="shared" si="696"/>
        <v>0</v>
      </c>
      <c r="X788" s="61">
        <f t="shared" si="696"/>
        <v>22110</v>
      </c>
      <c r="Y788" s="38">
        <f>(Y789*$L789)/$L788</f>
        <v>0.55000000000000004</v>
      </c>
      <c r="Z788" s="38">
        <f t="shared" ref="Z788:AA788" si="697">(Z789*$L789)/$L788</f>
        <v>0</v>
      </c>
      <c r="AA788" s="38">
        <f t="shared" si="697"/>
        <v>0.70500000000000007</v>
      </c>
    </row>
    <row r="789" spans="1:27" ht="18.75" customHeight="1" outlineLevel="5" x14ac:dyDescent="0.3">
      <c r="B789" s="12"/>
      <c r="C789" s="18"/>
      <c r="D789" s="24"/>
      <c r="E789" s="29"/>
      <c r="F789" s="34"/>
      <c r="G789" s="39" t="s">
        <v>279</v>
      </c>
      <c r="H789" s="58"/>
      <c r="I789" s="58"/>
      <c r="J789" s="58"/>
      <c r="K789" s="58"/>
      <c r="L789" s="41">
        <f>SUM(L790:L795)</f>
        <v>0.02</v>
      </c>
      <c r="M789" s="42">
        <f>M790</f>
        <v>40200</v>
      </c>
      <c r="N789" s="40"/>
      <c r="O789" s="40"/>
      <c r="P789" s="40"/>
      <c r="Q789" s="40"/>
      <c r="R789" s="40"/>
      <c r="S789" s="40"/>
      <c r="T789" s="40"/>
      <c r="U789" s="40"/>
      <c r="V789" s="62">
        <f t="shared" ref="V789:X789" si="698">SUMPRODUCT(V790:V795,$K790:$K795)</f>
        <v>22110</v>
      </c>
      <c r="W789" s="62">
        <f t="shared" si="698"/>
        <v>0</v>
      </c>
      <c r="X789" s="62">
        <f t="shared" si="698"/>
        <v>22110</v>
      </c>
      <c r="Y789" s="43">
        <f>SUMPRODUCT(Y790:Y795,$K790:$K795)</f>
        <v>0.55000000000000004</v>
      </c>
      <c r="Z789" s="43">
        <f t="shared" ref="Z789:AA789" si="699">SUMPRODUCT(Z790:Z795,$K790:$K795)</f>
        <v>0</v>
      </c>
      <c r="AA789" s="43">
        <f t="shared" si="699"/>
        <v>0.70500000000000007</v>
      </c>
    </row>
    <row r="790" spans="1:27" ht="18.75" customHeight="1" outlineLevel="6" x14ac:dyDescent="0.3">
      <c r="B790" s="44"/>
      <c r="C790" s="18"/>
      <c r="D790" s="24"/>
      <c r="E790" s="29"/>
      <c r="F790" s="34"/>
      <c r="G790" s="39"/>
      <c r="H790" s="46" t="s">
        <v>812</v>
      </c>
      <c r="I790" s="46" t="s">
        <v>45</v>
      </c>
      <c r="J790" s="47" t="s">
        <v>59</v>
      </c>
      <c r="K790" s="48">
        <v>0.05</v>
      </c>
      <c r="L790" s="49">
        <f>VLOOKUP(H790,[4]Sheet2!K:P,6,0)</f>
        <v>1E-3</v>
      </c>
      <c r="M790" s="50">
        <f>VLOOKUP(H790,[4]Sheet2!K:Q,7,0)</f>
        <v>40200</v>
      </c>
      <c r="N790" s="51"/>
      <c r="O790" s="51"/>
      <c r="P790" s="51"/>
      <c r="Q790" s="51"/>
      <c r="R790" s="51"/>
      <c r="S790" s="51"/>
      <c r="T790" s="51"/>
      <c r="U790" s="51"/>
      <c r="V790" s="52">
        <f>VLOOKUP(H790,[4]Sheet2!K:N,4,0)</f>
        <v>40200</v>
      </c>
      <c r="W790" s="52">
        <f t="shared" ref="W790:W795" si="700">X790-V790</f>
        <v>0</v>
      </c>
      <c r="X790" s="52">
        <f>VLOOKUP(H790,[4]Sheet2!K:N,4,0)</f>
        <v>40200</v>
      </c>
      <c r="Y790" s="53">
        <f t="shared" ref="Y790:Y795" si="701">IFERROR(V790/M790,1)</f>
        <v>1</v>
      </c>
      <c r="Z790" s="53">
        <f t="shared" ref="Z790:Z795" si="702">IFERROR(W790/M790,1)</f>
        <v>0</v>
      </c>
      <c r="AA790" s="53">
        <f t="shared" ref="AA790:AA795" si="703">IFERROR(X790/M790,1)</f>
        <v>1</v>
      </c>
    </row>
    <row r="791" spans="1:27" ht="18.75" customHeight="1" outlineLevel="6" x14ac:dyDescent="0.3">
      <c r="A791" s="1" t="s">
        <v>813</v>
      </c>
      <c r="B791" s="44"/>
      <c r="C791" s="18"/>
      <c r="D791" s="24"/>
      <c r="E791" s="29"/>
      <c r="F791" s="34"/>
      <c r="G791" s="39"/>
      <c r="H791" s="46" t="s">
        <v>814</v>
      </c>
      <c r="I791" s="46" t="s">
        <v>283</v>
      </c>
      <c r="J791" s="47" t="s">
        <v>59</v>
      </c>
      <c r="K791" s="48">
        <v>0.5</v>
      </c>
      <c r="L791" s="49">
        <f>VLOOKUP(H791,[4]Sheet2!K:P,6,0)</f>
        <v>0.01</v>
      </c>
      <c r="M791" s="50">
        <f>VLOOKUP(H791,[4]Sheet2!K:Q,7,0)</f>
        <v>40200</v>
      </c>
      <c r="N791" s="51"/>
      <c r="O791" s="51"/>
      <c r="P791" s="51"/>
      <c r="Q791" s="51"/>
      <c r="R791" s="51"/>
      <c r="S791" s="51"/>
      <c r="T791" s="51"/>
      <c r="U791" s="51"/>
      <c r="V791" s="52">
        <f>VLOOKUP(H791,[4]Sheet2!K:N,4,0)</f>
        <v>40200</v>
      </c>
      <c r="W791" s="52">
        <f t="shared" si="700"/>
        <v>0</v>
      </c>
      <c r="X791" s="52">
        <f>VLOOKUP(H791,[4]Sheet2!K:N,4,0)</f>
        <v>40200</v>
      </c>
      <c r="Y791" s="53">
        <f t="shared" si="701"/>
        <v>1</v>
      </c>
      <c r="Z791" s="53">
        <f t="shared" si="702"/>
        <v>0</v>
      </c>
      <c r="AA791" s="53">
        <f t="shared" si="703"/>
        <v>1</v>
      </c>
    </row>
    <row r="792" spans="1:27" ht="18.75" customHeight="1" outlineLevel="6" x14ac:dyDescent="0.3">
      <c r="B792" s="44"/>
      <c r="C792" s="18"/>
      <c r="D792" s="24"/>
      <c r="E792" s="29"/>
      <c r="F792" s="34"/>
      <c r="G792" s="39"/>
      <c r="H792" s="46" t="s">
        <v>815</v>
      </c>
      <c r="I792" s="46" t="s">
        <v>285</v>
      </c>
      <c r="J792" s="47" t="s">
        <v>59</v>
      </c>
      <c r="K792" s="48">
        <v>0.2</v>
      </c>
      <c r="L792" s="49">
        <f>VLOOKUP(H792,[4]Sheet2!K:P,6,0)</f>
        <v>4.0000000000000001E-3</v>
      </c>
      <c r="M792" s="50">
        <f>VLOOKUP(H792,[4]Sheet2!K:Q,7,0)</f>
        <v>40200</v>
      </c>
      <c r="N792" s="51"/>
      <c r="O792" s="51"/>
      <c r="P792" s="51"/>
      <c r="Q792" s="51"/>
      <c r="R792" s="51"/>
      <c r="S792" s="51"/>
      <c r="T792" s="51"/>
      <c r="U792" s="51"/>
      <c r="V792" s="52">
        <f>VLOOKUP(H792,[4]Sheet2!K:N,4,0)</f>
        <v>0</v>
      </c>
      <c r="W792" s="52">
        <f t="shared" si="700"/>
        <v>0</v>
      </c>
      <c r="X792" s="52">
        <f>VLOOKUP(H792,[4]Sheet2!K:N,4,0)</f>
        <v>0</v>
      </c>
      <c r="Y792" s="53">
        <f t="shared" si="701"/>
        <v>0</v>
      </c>
      <c r="Z792" s="53">
        <f t="shared" si="702"/>
        <v>0</v>
      </c>
      <c r="AA792" s="53">
        <v>0.7</v>
      </c>
    </row>
    <row r="793" spans="1:27" ht="18.75" customHeight="1" outlineLevel="6" x14ac:dyDescent="0.3">
      <c r="B793" s="44"/>
      <c r="C793" s="18"/>
      <c r="D793" s="24"/>
      <c r="E793" s="29"/>
      <c r="F793" s="34"/>
      <c r="G793" s="39"/>
      <c r="H793" s="46" t="s">
        <v>816</v>
      </c>
      <c r="I793" s="46" t="s">
        <v>287</v>
      </c>
      <c r="J793" s="47" t="s">
        <v>59</v>
      </c>
      <c r="K793" s="48">
        <v>0.15</v>
      </c>
      <c r="L793" s="49">
        <f>VLOOKUP(H793,[4]Sheet2!K:P,6,0)</f>
        <v>3.0000000000000001E-3</v>
      </c>
      <c r="M793" s="50">
        <f>VLOOKUP(H793,[4]Sheet2!K:Q,7,0)</f>
        <v>40200</v>
      </c>
      <c r="N793" s="51"/>
      <c r="O793" s="51"/>
      <c r="P793" s="51"/>
      <c r="Q793" s="51"/>
      <c r="R793" s="51"/>
      <c r="S793" s="51"/>
      <c r="T793" s="51"/>
      <c r="U793" s="51"/>
      <c r="V793" s="52">
        <f>VLOOKUP(H793,[4]Sheet2!K:N,4,0)</f>
        <v>0</v>
      </c>
      <c r="W793" s="52">
        <f t="shared" si="700"/>
        <v>0</v>
      </c>
      <c r="X793" s="52">
        <f>VLOOKUP(H793,[4]Sheet2!K:N,4,0)</f>
        <v>0</v>
      </c>
      <c r="Y793" s="53">
        <f t="shared" si="701"/>
        <v>0</v>
      </c>
      <c r="Z793" s="53">
        <f t="shared" si="702"/>
        <v>0</v>
      </c>
      <c r="AA793" s="53">
        <v>0.1</v>
      </c>
    </row>
    <row r="794" spans="1:27" ht="18.75" customHeight="1" outlineLevel="6" x14ac:dyDescent="0.3">
      <c r="B794" s="44"/>
      <c r="C794" s="18"/>
      <c r="D794" s="24"/>
      <c r="E794" s="29"/>
      <c r="F794" s="34"/>
      <c r="G794" s="39"/>
      <c r="H794" s="46" t="s">
        <v>817</v>
      </c>
      <c r="I794" s="46" t="s">
        <v>71</v>
      </c>
      <c r="J794" s="47" t="s">
        <v>59</v>
      </c>
      <c r="K794" s="48">
        <v>0.05</v>
      </c>
      <c r="L794" s="49">
        <f>VLOOKUP(H794,[4]Sheet2!K:P,6,0)</f>
        <v>1E-3</v>
      </c>
      <c r="M794" s="50">
        <f>VLOOKUP(H794,[4]Sheet2!K:Q,7,0)</f>
        <v>40200</v>
      </c>
      <c r="N794" s="51"/>
      <c r="O794" s="51"/>
      <c r="P794" s="51"/>
      <c r="Q794" s="51"/>
      <c r="R794" s="51"/>
      <c r="S794" s="51"/>
      <c r="T794" s="51"/>
      <c r="U794" s="51"/>
      <c r="V794" s="52">
        <f>VLOOKUP(H794,[4]Sheet2!K:N,4,0)</f>
        <v>0</v>
      </c>
      <c r="W794" s="52">
        <f t="shared" si="700"/>
        <v>0</v>
      </c>
      <c r="X794" s="52">
        <f>VLOOKUP(H794,[4]Sheet2!K:N,4,0)</f>
        <v>0</v>
      </c>
      <c r="Y794" s="53">
        <f t="shared" si="701"/>
        <v>0</v>
      </c>
      <c r="Z794" s="53">
        <f t="shared" si="702"/>
        <v>0</v>
      </c>
      <c r="AA794" s="53">
        <f t="shared" si="703"/>
        <v>0</v>
      </c>
    </row>
    <row r="795" spans="1:27" ht="18.75" customHeight="1" outlineLevel="6" x14ac:dyDescent="0.3">
      <c r="B795" s="44"/>
      <c r="C795" s="18"/>
      <c r="D795" s="24"/>
      <c r="E795" s="29"/>
      <c r="F795" s="34"/>
      <c r="G795" s="39"/>
      <c r="H795" s="46" t="s">
        <v>818</v>
      </c>
      <c r="I795" s="46" t="s">
        <v>56</v>
      </c>
      <c r="J795" s="47" t="s">
        <v>59</v>
      </c>
      <c r="K795" s="48">
        <v>0.05</v>
      </c>
      <c r="L795" s="49">
        <f>VLOOKUP(H795,[4]Sheet2!K:P,6,0)</f>
        <v>1E-3</v>
      </c>
      <c r="M795" s="50">
        <f>VLOOKUP(H795,[4]Sheet2!K:Q,7,0)</f>
        <v>40200</v>
      </c>
      <c r="N795" s="51"/>
      <c r="O795" s="51"/>
      <c r="P795" s="51"/>
      <c r="Q795" s="51"/>
      <c r="R795" s="51"/>
      <c r="S795" s="51"/>
      <c r="T795" s="51"/>
      <c r="U795" s="51"/>
      <c r="V795" s="52">
        <f>VLOOKUP(H795,[4]Sheet2!K:N,4,0)</f>
        <v>0</v>
      </c>
      <c r="W795" s="52">
        <f t="shared" si="700"/>
        <v>0</v>
      </c>
      <c r="X795" s="52">
        <f>VLOOKUP(H795,[4]Sheet2!K:N,4,0)</f>
        <v>0</v>
      </c>
      <c r="Y795" s="53">
        <f t="shared" si="701"/>
        <v>0</v>
      </c>
      <c r="Z795" s="53">
        <f t="shared" si="702"/>
        <v>0</v>
      </c>
      <c r="AA795" s="53">
        <f t="shared" si="703"/>
        <v>0</v>
      </c>
    </row>
    <row r="796" spans="1:27" ht="18.75" customHeight="1" outlineLevel="4" x14ac:dyDescent="0.3">
      <c r="B796" s="12"/>
      <c r="C796" s="18"/>
      <c r="D796" s="24"/>
      <c r="E796" s="29"/>
      <c r="F796" s="34" t="s">
        <v>290</v>
      </c>
      <c r="G796" s="34"/>
      <c r="H796" s="57"/>
      <c r="I796" s="57"/>
      <c r="J796" s="57"/>
      <c r="K796" s="57"/>
      <c r="L796" s="36">
        <f>L797+L803+L809+L815+L821+L827+L833+L839+L845+L851+L857+L863+L869</f>
        <v>1.6999999999999998E-2</v>
      </c>
      <c r="M796" s="37">
        <f>M797+M803+M809+M815+M821+M827+M833+M839+M845+M851+M857+M863+M869</f>
        <v>144440.20000000001</v>
      </c>
      <c r="N796" s="35"/>
      <c r="O796" s="35"/>
      <c r="P796" s="35"/>
      <c r="Q796" s="35"/>
      <c r="R796" s="35"/>
      <c r="S796" s="35"/>
      <c r="T796" s="35"/>
      <c r="U796" s="35"/>
      <c r="V796" s="61">
        <f t="shared" ref="V796" si="704">(V797*$L797+V803*$L803+V809*$L809+V815*$L815+V821*$L821+V827*$L827+V833*$L833+V839*$L839+V845*$L845+V851*$L851+V857*$L857+V863*$L863+V869*$L869)/$L796</f>
        <v>0</v>
      </c>
      <c r="W796" s="61">
        <f>(W797*$L797+W803*$L803+W809*$L809+W815*$L815+W821*$L821+W827*$L827+W833*$L833+W839*$L839+W845*$L845+W851*$L851+W857*$L857+W863*$L863+W869*$L869)/$L796</f>
        <v>0</v>
      </c>
      <c r="X796" s="61">
        <f t="shared" ref="X796" si="705">(X797*$L797+X803*$L803+X809*$L809+X815*$L815+X821*$L821+X827*$L827+X833*$L833+X839*$L839+X845*$L845+X851*$L851+X857*$L857+X863*$L863+X869*$L869)/$L796</f>
        <v>0</v>
      </c>
      <c r="Y796" s="38">
        <f>(Y797*$L797+Y803*$L803+Y809*$L809+Y815*$L815+Y821*$L821+Y827*$L827+Y833*$L833+Y839*$L839+Y845*$L845+Y851*$L851+Y857*$L857+Y863*$L863+Y869*$L869)/$L796</f>
        <v>0</v>
      </c>
      <c r="Z796" s="38">
        <f t="shared" ref="Z796:AA796" si="706">(Z797*$L797+Z803*$L803+Z809*$L809+Z815*$L815+Z821*$L821+Z827*$L827+Z833*$L833+Z839*$L839+Z845*$L845+Z851*$L851+Z857*$L857+Z863*$L863+Z869*$L869)/$L796</f>
        <v>0</v>
      </c>
      <c r="AA796" s="38">
        <f t="shared" si="706"/>
        <v>0</v>
      </c>
    </row>
    <row r="797" spans="1:27" ht="18.75" customHeight="1" outlineLevel="5" x14ac:dyDescent="0.3">
      <c r="B797" s="12"/>
      <c r="C797" s="18"/>
      <c r="D797" s="24"/>
      <c r="E797" s="29"/>
      <c r="F797" s="34"/>
      <c r="G797" s="39" t="s">
        <v>291</v>
      </c>
      <c r="H797" s="58"/>
      <c r="I797" s="58"/>
      <c r="J797" s="58"/>
      <c r="K797" s="58"/>
      <c r="L797" s="41">
        <f>SUM(L798:L802)</f>
        <v>2E-3</v>
      </c>
      <c r="M797" s="42">
        <f>M798</f>
        <v>22680</v>
      </c>
      <c r="N797" s="40"/>
      <c r="O797" s="40"/>
      <c r="P797" s="40"/>
      <c r="Q797" s="40"/>
      <c r="R797" s="40"/>
      <c r="S797" s="40"/>
      <c r="T797" s="40"/>
      <c r="U797" s="40"/>
      <c r="V797" s="62">
        <f t="shared" ref="V797:X797" si="707">SUMPRODUCT(V798:V802,$K798:$K802)</f>
        <v>0</v>
      </c>
      <c r="W797" s="62">
        <f t="shared" si="707"/>
        <v>0</v>
      </c>
      <c r="X797" s="62">
        <f t="shared" si="707"/>
        <v>0</v>
      </c>
      <c r="Y797" s="43">
        <f>SUMPRODUCT(Y798:Y802,$K798:$K802)</f>
        <v>0</v>
      </c>
      <c r="Z797" s="43">
        <f t="shared" ref="Z797:AA797" si="708">SUMPRODUCT(Z798:Z802,$K798:$K802)</f>
        <v>0</v>
      </c>
      <c r="AA797" s="43">
        <f t="shared" si="708"/>
        <v>0</v>
      </c>
    </row>
    <row r="798" spans="1:27" ht="18.75" customHeight="1" outlineLevel="6" x14ac:dyDescent="0.3">
      <c r="B798" s="44"/>
      <c r="C798" s="18"/>
      <c r="D798" s="24"/>
      <c r="E798" s="29"/>
      <c r="F798" s="34"/>
      <c r="G798" s="39"/>
      <c r="H798" s="46" t="s">
        <v>819</v>
      </c>
      <c r="I798" s="46" t="s">
        <v>45</v>
      </c>
      <c r="J798" s="47" t="s">
        <v>293</v>
      </c>
      <c r="K798" s="48">
        <v>0.1</v>
      </c>
      <c r="L798" s="49">
        <f>VLOOKUP(H798,[4]Sheet2!K:P,6,0)</f>
        <v>2.0000000000000001E-4</v>
      </c>
      <c r="M798" s="50">
        <f>VLOOKUP(H798,[4]Sheet2!K:Q,7,0)</f>
        <v>22680</v>
      </c>
      <c r="N798" s="51"/>
      <c r="O798" s="51"/>
      <c r="P798" s="51"/>
      <c r="Q798" s="51"/>
      <c r="R798" s="51"/>
      <c r="S798" s="51"/>
      <c r="T798" s="51"/>
      <c r="U798" s="51"/>
      <c r="V798" s="52">
        <f>VLOOKUP(H798,[4]Sheet2!K:N,4,0)</f>
        <v>0</v>
      </c>
      <c r="W798" s="52">
        <f t="shared" ref="W798:W802" si="709">X798-V798</f>
        <v>0</v>
      </c>
      <c r="X798" s="52">
        <f>VLOOKUP(H798,[4]Sheet2!K:N,4,0)</f>
        <v>0</v>
      </c>
      <c r="Y798" s="53">
        <f t="shared" ref="Y798:Y802" si="710">IFERROR(V798/M798,1)</f>
        <v>0</v>
      </c>
      <c r="Z798" s="53">
        <f t="shared" ref="Z798:Z802" si="711">IFERROR(W798/M798,1)</f>
        <v>0</v>
      </c>
      <c r="AA798" s="53">
        <f t="shared" ref="AA798:AA802" si="712">IFERROR(X798/M798,1)</f>
        <v>0</v>
      </c>
    </row>
    <row r="799" spans="1:27" ht="18.75" customHeight="1" outlineLevel="6" x14ac:dyDescent="0.3">
      <c r="A799" s="1" t="s">
        <v>813</v>
      </c>
      <c r="B799" s="44"/>
      <c r="C799" s="18"/>
      <c r="D799" s="24"/>
      <c r="E799" s="29"/>
      <c r="F799" s="34"/>
      <c r="G799" s="39"/>
      <c r="H799" s="46" t="s">
        <v>820</v>
      </c>
      <c r="I799" s="46" t="s">
        <v>48</v>
      </c>
      <c r="J799" s="47" t="s">
        <v>293</v>
      </c>
      <c r="K799" s="48">
        <v>0.6</v>
      </c>
      <c r="L799" s="49">
        <f>VLOOKUP(H799,[4]Sheet2!K:P,6,0)</f>
        <v>1.2000000000000001E-3</v>
      </c>
      <c r="M799" s="50">
        <f>VLOOKUP(H799,[4]Sheet2!K:Q,7,0)</f>
        <v>22680</v>
      </c>
      <c r="N799" s="51"/>
      <c r="O799" s="51"/>
      <c r="P799" s="51"/>
      <c r="Q799" s="51"/>
      <c r="R799" s="51"/>
      <c r="S799" s="51"/>
      <c r="T799" s="51"/>
      <c r="U799" s="51"/>
      <c r="V799" s="52">
        <f>VLOOKUP(H799,[4]Sheet2!K:N,4,0)</f>
        <v>0</v>
      </c>
      <c r="W799" s="52">
        <f t="shared" si="709"/>
        <v>0</v>
      </c>
      <c r="X799" s="52">
        <f>VLOOKUP(H799,[4]Sheet2!K:N,4,0)</f>
        <v>0</v>
      </c>
      <c r="Y799" s="53">
        <f t="shared" si="710"/>
        <v>0</v>
      </c>
      <c r="Z799" s="53">
        <f t="shared" si="711"/>
        <v>0</v>
      </c>
      <c r="AA799" s="53">
        <f t="shared" si="712"/>
        <v>0</v>
      </c>
    </row>
    <row r="800" spans="1:27" ht="18.75" customHeight="1" outlineLevel="6" x14ac:dyDescent="0.3">
      <c r="B800" s="44"/>
      <c r="C800" s="18"/>
      <c r="D800" s="24"/>
      <c r="E800" s="29"/>
      <c r="F800" s="34"/>
      <c r="G800" s="39"/>
      <c r="H800" s="46" t="s">
        <v>821</v>
      </c>
      <c r="I800" s="46" t="s">
        <v>296</v>
      </c>
      <c r="J800" s="47" t="s">
        <v>293</v>
      </c>
      <c r="K800" s="48">
        <v>0.15</v>
      </c>
      <c r="L800" s="49">
        <f>VLOOKUP(H800,[4]Sheet2!K:P,6,0)</f>
        <v>3.0000000000000003E-4</v>
      </c>
      <c r="M800" s="50">
        <f>VLOOKUP(H800,[4]Sheet2!K:Q,7,0)</f>
        <v>22680</v>
      </c>
      <c r="N800" s="51"/>
      <c r="O800" s="51"/>
      <c r="P800" s="51"/>
      <c r="Q800" s="51"/>
      <c r="R800" s="51"/>
      <c r="S800" s="51"/>
      <c r="T800" s="51"/>
      <c r="U800" s="51"/>
      <c r="V800" s="52">
        <f>VLOOKUP(H800,[4]Sheet2!K:N,4,0)</f>
        <v>0</v>
      </c>
      <c r="W800" s="52">
        <f t="shared" si="709"/>
        <v>0</v>
      </c>
      <c r="X800" s="52">
        <f>VLOOKUP(H800,[4]Sheet2!K:N,4,0)</f>
        <v>0</v>
      </c>
      <c r="Y800" s="53">
        <f t="shared" si="710"/>
        <v>0</v>
      </c>
      <c r="Z800" s="53">
        <f t="shared" si="711"/>
        <v>0</v>
      </c>
      <c r="AA800" s="53">
        <f t="shared" si="712"/>
        <v>0</v>
      </c>
    </row>
    <row r="801" spans="1:27" ht="18.75" customHeight="1" outlineLevel="6" x14ac:dyDescent="0.3">
      <c r="B801" s="44"/>
      <c r="C801" s="18"/>
      <c r="D801" s="24"/>
      <c r="E801" s="29"/>
      <c r="F801" s="34"/>
      <c r="G801" s="39"/>
      <c r="H801" s="46" t="s">
        <v>822</v>
      </c>
      <c r="I801" s="46" t="s">
        <v>298</v>
      </c>
      <c r="J801" s="47" t="s">
        <v>293</v>
      </c>
      <c r="K801" s="48">
        <v>0.1</v>
      </c>
      <c r="L801" s="49">
        <f>VLOOKUP(H801,[4]Sheet2!K:P,6,0)</f>
        <v>2.0000000000000001E-4</v>
      </c>
      <c r="M801" s="50">
        <f>VLOOKUP(H801,[4]Sheet2!K:Q,7,0)</f>
        <v>22680</v>
      </c>
      <c r="N801" s="51"/>
      <c r="O801" s="51"/>
      <c r="P801" s="51"/>
      <c r="Q801" s="51"/>
      <c r="R801" s="51"/>
      <c r="S801" s="51"/>
      <c r="T801" s="51"/>
      <c r="U801" s="51"/>
      <c r="V801" s="52">
        <f>VLOOKUP(H801,[4]Sheet2!K:N,4,0)</f>
        <v>0</v>
      </c>
      <c r="W801" s="52">
        <f t="shared" si="709"/>
        <v>0</v>
      </c>
      <c r="X801" s="52">
        <f>VLOOKUP(H801,[4]Sheet2!K:N,4,0)</f>
        <v>0</v>
      </c>
      <c r="Y801" s="53">
        <f t="shared" si="710"/>
        <v>0</v>
      </c>
      <c r="Z801" s="53">
        <f t="shared" si="711"/>
        <v>0</v>
      </c>
      <c r="AA801" s="53">
        <f t="shared" si="712"/>
        <v>0</v>
      </c>
    </row>
    <row r="802" spans="1:27" ht="18.75" customHeight="1" outlineLevel="6" x14ac:dyDescent="0.3">
      <c r="B802" s="44"/>
      <c r="C802" s="18"/>
      <c r="D802" s="24"/>
      <c r="E802" s="29"/>
      <c r="F802" s="34"/>
      <c r="G802" s="39"/>
      <c r="H802" s="46" t="s">
        <v>823</v>
      </c>
      <c r="I802" s="46" t="s">
        <v>56</v>
      </c>
      <c r="J802" s="47" t="s">
        <v>293</v>
      </c>
      <c r="K802" s="48">
        <v>0.05</v>
      </c>
      <c r="L802" s="49">
        <f>VLOOKUP(H802,[4]Sheet2!K:P,6,0)</f>
        <v>1E-4</v>
      </c>
      <c r="M802" s="50">
        <f>VLOOKUP(H802,[4]Sheet2!K:Q,7,0)</f>
        <v>22680</v>
      </c>
      <c r="N802" s="51"/>
      <c r="O802" s="51"/>
      <c r="P802" s="51"/>
      <c r="Q802" s="51"/>
      <c r="R802" s="51"/>
      <c r="S802" s="51"/>
      <c r="T802" s="51"/>
      <c r="U802" s="51"/>
      <c r="V802" s="52">
        <f>VLOOKUP(H802,[4]Sheet2!K:N,4,0)</f>
        <v>0</v>
      </c>
      <c r="W802" s="52">
        <f t="shared" si="709"/>
        <v>0</v>
      </c>
      <c r="X802" s="52">
        <f>VLOOKUP(H802,[4]Sheet2!K:N,4,0)</f>
        <v>0</v>
      </c>
      <c r="Y802" s="53">
        <f t="shared" si="710"/>
        <v>0</v>
      </c>
      <c r="Z802" s="53">
        <f t="shared" si="711"/>
        <v>0</v>
      </c>
      <c r="AA802" s="53">
        <f t="shared" si="712"/>
        <v>0</v>
      </c>
    </row>
    <row r="803" spans="1:27" ht="18.75" customHeight="1" outlineLevel="5" x14ac:dyDescent="0.3">
      <c r="B803" s="12"/>
      <c r="C803" s="18"/>
      <c r="D803" s="24"/>
      <c r="E803" s="29"/>
      <c r="F803" s="34"/>
      <c r="G803" s="39" t="s">
        <v>300</v>
      </c>
      <c r="H803" s="58"/>
      <c r="I803" s="58"/>
      <c r="J803" s="58"/>
      <c r="K803" s="58"/>
      <c r="L803" s="41">
        <f>SUM(L804:L808)</f>
        <v>2.0999999999999999E-3</v>
      </c>
      <c r="M803" s="42">
        <f>M804</f>
        <v>36260</v>
      </c>
      <c r="N803" s="40"/>
      <c r="O803" s="40"/>
      <c r="P803" s="40"/>
      <c r="Q803" s="40"/>
      <c r="R803" s="40"/>
      <c r="S803" s="40"/>
      <c r="T803" s="40"/>
      <c r="U803" s="40"/>
      <c r="V803" s="62">
        <f t="shared" ref="V803:X803" si="713">SUMPRODUCT(V804:V808,$K804:$K808)</f>
        <v>0</v>
      </c>
      <c r="W803" s="62">
        <f t="shared" si="713"/>
        <v>0</v>
      </c>
      <c r="X803" s="62">
        <f t="shared" si="713"/>
        <v>0</v>
      </c>
      <c r="Y803" s="43">
        <f>SUMPRODUCT(Y804:Y808,$K804:$K808)</f>
        <v>0</v>
      </c>
      <c r="Z803" s="43">
        <f t="shared" ref="Z803:AA803" si="714">SUMPRODUCT(Z804:Z808,$K804:$K808)</f>
        <v>0</v>
      </c>
      <c r="AA803" s="43">
        <f t="shared" si="714"/>
        <v>0</v>
      </c>
    </row>
    <row r="804" spans="1:27" ht="18.75" customHeight="1" outlineLevel="6" x14ac:dyDescent="0.3">
      <c r="B804" s="44"/>
      <c r="C804" s="18"/>
      <c r="D804" s="24"/>
      <c r="E804" s="29"/>
      <c r="F804" s="34"/>
      <c r="G804" s="39"/>
      <c r="H804" s="46" t="s">
        <v>824</v>
      </c>
      <c r="I804" s="46" t="s">
        <v>45</v>
      </c>
      <c r="J804" s="47" t="s">
        <v>293</v>
      </c>
      <c r="K804" s="48">
        <v>0.1</v>
      </c>
      <c r="L804" s="49">
        <f>VLOOKUP(H804,[4]Sheet2!K:P,6,0)</f>
        <v>2.0999999999999998E-4</v>
      </c>
      <c r="M804" s="50">
        <f>VLOOKUP(H804,[4]Sheet2!K:Q,7,0)</f>
        <v>36260</v>
      </c>
      <c r="N804" s="51"/>
      <c r="O804" s="51"/>
      <c r="P804" s="51"/>
      <c r="Q804" s="51"/>
      <c r="R804" s="51"/>
      <c r="S804" s="51"/>
      <c r="T804" s="51"/>
      <c r="U804" s="51"/>
      <c r="V804" s="52">
        <f>VLOOKUP(H804,[4]Sheet2!K:N,4,0)</f>
        <v>0</v>
      </c>
      <c r="W804" s="52">
        <f t="shared" ref="W804:W808" si="715">X804-V804</f>
        <v>0</v>
      </c>
      <c r="X804" s="52">
        <f>VLOOKUP(H804,[4]Sheet2!K:N,4,0)</f>
        <v>0</v>
      </c>
      <c r="Y804" s="53">
        <f t="shared" ref="Y804:Y808" si="716">IFERROR(V804/M804,1)</f>
        <v>0</v>
      </c>
      <c r="Z804" s="53">
        <f t="shared" ref="Z804:Z808" si="717">IFERROR(W804/M804,1)</f>
        <v>0</v>
      </c>
      <c r="AA804" s="53">
        <f t="shared" ref="AA804:AA808" si="718">IFERROR(X804/M804,1)</f>
        <v>0</v>
      </c>
    </row>
    <row r="805" spans="1:27" ht="18.75" customHeight="1" outlineLevel="6" x14ac:dyDescent="0.3">
      <c r="A805" s="1" t="s">
        <v>813</v>
      </c>
      <c r="B805" s="44"/>
      <c r="C805" s="18"/>
      <c r="D805" s="24"/>
      <c r="E805" s="29"/>
      <c r="F805" s="34"/>
      <c r="G805" s="39"/>
      <c r="H805" s="46" t="s">
        <v>825</v>
      </c>
      <c r="I805" s="46" t="s">
        <v>48</v>
      </c>
      <c r="J805" s="47" t="s">
        <v>293</v>
      </c>
      <c r="K805" s="48">
        <v>0.6</v>
      </c>
      <c r="L805" s="49">
        <f>VLOOKUP(H805,[4]Sheet2!K:P,6,0)</f>
        <v>1.2599999999999998E-3</v>
      </c>
      <c r="M805" s="50">
        <f>VLOOKUP(H805,[4]Sheet2!K:Q,7,0)</f>
        <v>36260</v>
      </c>
      <c r="N805" s="51"/>
      <c r="O805" s="51"/>
      <c r="P805" s="51"/>
      <c r="Q805" s="51"/>
      <c r="R805" s="51"/>
      <c r="S805" s="51"/>
      <c r="T805" s="51"/>
      <c r="U805" s="51"/>
      <c r="V805" s="52">
        <f>VLOOKUP(H805,[4]Sheet2!K:N,4,0)</f>
        <v>0</v>
      </c>
      <c r="W805" s="52">
        <f t="shared" si="715"/>
        <v>0</v>
      </c>
      <c r="X805" s="52">
        <f>VLOOKUP(H805,[4]Sheet2!K:N,4,0)</f>
        <v>0</v>
      </c>
      <c r="Y805" s="53">
        <f t="shared" si="716"/>
        <v>0</v>
      </c>
      <c r="Z805" s="53">
        <f t="shared" si="717"/>
        <v>0</v>
      </c>
      <c r="AA805" s="53">
        <f t="shared" si="718"/>
        <v>0</v>
      </c>
    </row>
    <row r="806" spans="1:27" ht="18.75" customHeight="1" outlineLevel="6" x14ac:dyDescent="0.3">
      <c r="B806" s="44"/>
      <c r="C806" s="18"/>
      <c r="D806" s="24"/>
      <c r="E806" s="29"/>
      <c r="F806" s="34"/>
      <c r="G806" s="39"/>
      <c r="H806" s="46" t="s">
        <v>826</v>
      </c>
      <c r="I806" s="46" t="s">
        <v>296</v>
      </c>
      <c r="J806" s="47" t="s">
        <v>293</v>
      </c>
      <c r="K806" s="48">
        <v>0.15</v>
      </c>
      <c r="L806" s="49">
        <f>VLOOKUP(H806,[4]Sheet2!K:P,6,0)</f>
        <v>3.1499999999999996E-4</v>
      </c>
      <c r="M806" s="50">
        <f>VLOOKUP(H806,[4]Sheet2!K:Q,7,0)</f>
        <v>36260</v>
      </c>
      <c r="N806" s="51"/>
      <c r="O806" s="51"/>
      <c r="P806" s="51"/>
      <c r="Q806" s="51"/>
      <c r="R806" s="51"/>
      <c r="S806" s="51"/>
      <c r="T806" s="51"/>
      <c r="U806" s="51"/>
      <c r="V806" s="52">
        <f>VLOOKUP(H806,[4]Sheet2!K:N,4,0)</f>
        <v>0</v>
      </c>
      <c r="W806" s="52">
        <f t="shared" si="715"/>
        <v>0</v>
      </c>
      <c r="X806" s="52">
        <f>VLOOKUP(H806,[4]Sheet2!K:N,4,0)</f>
        <v>0</v>
      </c>
      <c r="Y806" s="53">
        <f t="shared" si="716"/>
        <v>0</v>
      </c>
      <c r="Z806" s="53">
        <f t="shared" si="717"/>
        <v>0</v>
      </c>
      <c r="AA806" s="53">
        <f t="shared" si="718"/>
        <v>0</v>
      </c>
    </row>
    <row r="807" spans="1:27" ht="18.75" customHeight="1" outlineLevel="6" x14ac:dyDescent="0.3">
      <c r="B807" s="44"/>
      <c r="C807" s="18"/>
      <c r="D807" s="24"/>
      <c r="E807" s="29"/>
      <c r="F807" s="34"/>
      <c r="G807" s="39"/>
      <c r="H807" s="46" t="s">
        <v>827</v>
      </c>
      <c r="I807" s="46" t="s">
        <v>298</v>
      </c>
      <c r="J807" s="47" t="s">
        <v>293</v>
      </c>
      <c r="K807" s="48">
        <v>0.1</v>
      </c>
      <c r="L807" s="49">
        <f>VLOOKUP(H807,[4]Sheet2!K:P,6,0)</f>
        <v>2.0999999999999998E-4</v>
      </c>
      <c r="M807" s="50">
        <f>VLOOKUP(H807,[4]Sheet2!K:Q,7,0)</f>
        <v>36260</v>
      </c>
      <c r="N807" s="51"/>
      <c r="O807" s="51"/>
      <c r="P807" s="51"/>
      <c r="Q807" s="51"/>
      <c r="R807" s="51"/>
      <c r="S807" s="51"/>
      <c r="T807" s="51"/>
      <c r="U807" s="51"/>
      <c r="V807" s="52">
        <f>VLOOKUP(H807,[4]Sheet2!K:N,4,0)</f>
        <v>0</v>
      </c>
      <c r="W807" s="52">
        <f t="shared" si="715"/>
        <v>0</v>
      </c>
      <c r="X807" s="52">
        <f>VLOOKUP(H807,[4]Sheet2!K:N,4,0)</f>
        <v>0</v>
      </c>
      <c r="Y807" s="53">
        <f t="shared" si="716"/>
        <v>0</v>
      </c>
      <c r="Z807" s="53">
        <f t="shared" si="717"/>
        <v>0</v>
      </c>
      <c r="AA807" s="53">
        <f t="shared" si="718"/>
        <v>0</v>
      </c>
    </row>
    <row r="808" spans="1:27" ht="18.75" customHeight="1" outlineLevel="6" x14ac:dyDescent="0.3">
      <c r="B808" s="44"/>
      <c r="C808" s="18"/>
      <c r="D808" s="24"/>
      <c r="E808" s="29"/>
      <c r="F808" s="34"/>
      <c r="G808" s="39"/>
      <c r="H808" s="46" t="s">
        <v>828</v>
      </c>
      <c r="I808" s="46" t="s">
        <v>56</v>
      </c>
      <c r="J808" s="47" t="s">
        <v>293</v>
      </c>
      <c r="K808" s="48">
        <v>0.05</v>
      </c>
      <c r="L808" s="49">
        <f>VLOOKUP(H808,[4]Sheet2!K:P,6,0)</f>
        <v>1.0499999999999999E-4</v>
      </c>
      <c r="M808" s="50">
        <f>VLOOKUP(H808,[4]Sheet2!K:Q,7,0)</f>
        <v>36260</v>
      </c>
      <c r="N808" s="51"/>
      <c r="O808" s="51"/>
      <c r="P808" s="51"/>
      <c r="Q808" s="51"/>
      <c r="R808" s="51"/>
      <c r="S808" s="51"/>
      <c r="T808" s="51"/>
      <c r="U808" s="51"/>
      <c r="V808" s="52">
        <f>VLOOKUP(H808,[4]Sheet2!K:N,4,0)</f>
        <v>0</v>
      </c>
      <c r="W808" s="52">
        <f t="shared" si="715"/>
        <v>0</v>
      </c>
      <c r="X808" s="52">
        <f>VLOOKUP(H808,[4]Sheet2!K:N,4,0)</f>
        <v>0</v>
      </c>
      <c r="Y808" s="53">
        <f t="shared" si="716"/>
        <v>0</v>
      </c>
      <c r="Z808" s="53">
        <f t="shared" si="717"/>
        <v>0</v>
      </c>
      <c r="AA808" s="53">
        <f t="shared" si="718"/>
        <v>0</v>
      </c>
    </row>
    <row r="809" spans="1:27" ht="18.75" customHeight="1" outlineLevel="5" x14ac:dyDescent="0.3">
      <c r="B809" s="12"/>
      <c r="C809" s="18"/>
      <c r="D809" s="24"/>
      <c r="E809" s="29"/>
      <c r="F809" s="34"/>
      <c r="G809" s="39" t="s">
        <v>306</v>
      </c>
      <c r="H809" s="58"/>
      <c r="I809" s="58"/>
      <c r="J809" s="58"/>
      <c r="K809" s="58"/>
      <c r="L809" s="41">
        <f>SUM(L810:L814)</f>
        <v>1E-3</v>
      </c>
      <c r="M809" s="42">
        <f>M810</f>
        <v>9550</v>
      </c>
      <c r="N809" s="40"/>
      <c r="O809" s="40"/>
      <c r="P809" s="40"/>
      <c r="Q809" s="40"/>
      <c r="R809" s="40"/>
      <c r="S809" s="40"/>
      <c r="T809" s="40"/>
      <c r="U809" s="40"/>
      <c r="V809" s="62">
        <f t="shared" ref="V809:X809" si="719">SUMPRODUCT(V810:V814,$K810:$K814)</f>
        <v>0</v>
      </c>
      <c r="W809" s="62">
        <f t="shared" si="719"/>
        <v>0</v>
      </c>
      <c r="X809" s="62">
        <f t="shared" si="719"/>
        <v>0</v>
      </c>
      <c r="Y809" s="43">
        <f>SUMPRODUCT(Y810:Y814,$K810:$K814)</f>
        <v>0</v>
      </c>
      <c r="Z809" s="43">
        <f t="shared" ref="Z809:AA809" si="720">SUMPRODUCT(Z810:Z814,$K810:$K814)</f>
        <v>0</v>
      </c>
      <c r="AA809" s="43">
        <f t="shared" si="720"/>
        <v>0</v>
      </c>
    </row>
    <row r="810" spans="1:27" ht="18.75" customHeight="1" outlineLevel="6" x14ac:dyDescent="0.3">
      <c r="B810" s="44"/>
      <c r="C810" s="18"/>
      <c r="D810" s="24"/>
      <c r="E810" s="29"/>
      <c r="F810" s="34"/>
      <c r="G810" s="39"/>
      <c r="H810" s="46" t="s">
        <v>829</v>
      </c>
      <c r="I810" s="46" t="s">
        <v>45</v>
      </c>
      <c r="J810" s="47" t="s">
        <v>293</v>
      </c>
      <c r="K810" s="48">
        <v>0.1</v>
      </c>
      <c r="L810" s="49">
        <f>VLOOKUP(H810,[4]Sheet2!K:P,6,0)</f>
        <v>1E-4</v>
      </c>
      <c r="M810" s="50">
        <f>VLOOKUP(H810,[4]Sheet2!K:Q,7,0)</f>
        <v>9550</v>
      </c>
      <c r="N810" s="51"/>
      <c r="O810" s="51"/>
      <c r="P810" s="51"/>
      <c r="Q810" s="51"/>
      <c r="R810" s="51"/>
      <c r="S810" s="51"/>
      <c r="T810" s="51"/>
      <c r="U810" s="51"/>
      <c r="V810" s="52">
        <f>VLOOKUP(H810,[4]Sheet2!K:N,4,0)</f>
        <v>0</v>
      </c>
      <c r="W810" s="52">
        <f t="shared" ref="W810:W814" si="721">X810-V810</f>
        <v>0</v>
      </c>
      <c r="X810" s="52">
        <f>VLOOKUP(H810,[4]Sheet2!K:N,4,0)</f>
        <v>0</v>
      </c>
      <c r="Y810" s="53">
        <f t="shared" ref="Y810:Y814" si="722">IFERROR(V810/M810,1)</f>
        <v>0</v>
      </c>
      <c r="Z810" s="53">
        <f t="shared" ref="Z810:Z814" si="723">IFERROR(W810/M810,1)</f>
        <v>0</v>
      </c>
      <c r="AA810" s="53">
        <f t="shared" ref="AA810:AA814" si="724">IFERROR(X810/M810,1)</f>
        <v>0</v>
      </c>
    </row>
    <row r="811" spans="1:27" ht="18.75" customHeight="1" outlineLevel="6" x14ac:dyDescent="0.3">
      <c r="A811" s="1" t="s">
        <v>813</v>
      </c>
      <c r="B811" s="44"/>
      <c r="C811" s="18"/>
      <c r="D811" s="24"/>
      <c r="E811" s="29"/>
      <c r="F811" s="34"/>
      <c r="G811" s="39"/>
      <c r="H811" s="46" t="s">
        <v>830</v>
      </c>
      <c r="I811" s="46" t="s">
        <v>48</v>
      </c>
      <c r="J811" s="47" t="s">
        <v>293</v>
      </c>
      <c r="K811" s="48">
        <v>0.6</v>
      </c>
      <c r="L811" s="49">
        <f>VLOOKUP(H811,[4]Sheet2!K:P,6,0)</f>
        <v>6.0000000000000006E-4</v>
      </c>
      <c r="M811" s="50">
        <f>VLOOKUP(H811,[4]Sheet2!K:Q,7,0)</f>
        <v>9550</v>
      </c>
      <c r="N811" s="51"/>
      <c r="O811" s="51"/>
      <c r="P811" s="51"/>
      <c r="Q811" s="51"/>
      <c r="R811" s="51"/>
      <c r="S811" s="51"/>
      <c r="T811" s="51"/>
      <c r="U811" s="51"/>
      <c r="V811" s="52">
        <f>VLOOKUP(H811,[4]Sheet2!K:N,4,0)</f>
        <v>0</v>
      </c>
      <c r="W811" s="52">
        <f t="shared" si="721"/>
        <v>0</v>
      </c>
      <c r="X811" s="52">
        <f>VLOOKUP(H811,[4]Sheet2!K:N,4,0)</f>
        <v>0</v>
      </c>
      <c r="Y811" s="53">
        <f t="shared" si="722"/>
        <v>0</v>
      </c>
      <c r="Z811" s="53">
        <f t="shared" si="723"/>
        <v>0</v>
      </c>
      <c r="AA811" s="53">
        <f t="shared" si="724"/>
        <v>0</v>
      </c>
    </row>
    <row r="812" spans="1:27" ht="18.75" customHeight="1" outlineLevel="6" x14ac:dyDescent="0.3">
      <c r="B812" s="44"/>
      <c r="C812" s="18"/>
      <c r="D812" s="24"/>
      <c r="E812" s="29"/>
      <c r="F812" s="34"/>
      <c r="G812" s="39"/>
      <c r="H812" s="46" t="s">
        <v>831</v>
      </c>
      <c r="I812" s="46" t="s">
        <v>296</v>
      </c>
      <c r="J812" s="47" t="s">
        <v>293</v>
      </c>
      <c r="K812" s="48">
        <v>0.15</v>
      </c>
      <c r="L812" s="49">
        <f>VLOOKUP(H812,[4]Sheet2!K:P,6,0)</f>
        <v>1.5000000000000001E-4</v>
      </c>
      <c r="M812" s="50">
        <f>VLOOKUP(H812,[4]Sheet2!K:Q,7,0)</f>
        <v>9550</v>
      </c>
      <c r="N812" s="51"/>
      <c r="O812" s="51"/>
      <c r="P812" s="51"/>
      <c r="Q812" s="51"/>
      <c r="R812" s="51"/>
      <c r="S812" s="51"/>
      <c r="T812" s="51"/>
      <c r="U812" s="51"/>
      <c r="V812" s="52">
        <f>VLOOKUP(H812,[4]Sheet2!K:N,4,0)</f>
        <v>0</v>
      </c>
      <c r="W812" s="52">
        <f t="shared" si="721"/>
        <v>0</v>
      </c>
      <c r="X812" s="52">
        <f>VLOOKUP(H812,[4]Sheet2!K:N,4,0)</f>
        <v>0</v>
      </c>
      <c r="Y812" s="53">
        <f t="shared" si="722"/>
        <v>0</v>
      </c>
      <c r="Z812" s="53">
        <f t="shared" si="723"/>
        <v>0</v>
      </c>
      <c r="AA812" s="53">
        <f t="shared" si="724"/>
        <v>0</v>
      </c>
    </row>
    <row r="813" spans="1:27" ht="18.75" customHeight="1" outlineLevel="6" x14ac:dyDescent="0.3">
      <c r="B813" s="44"/>
      <c r="C813" s="18"/>
      <c r="D813" s="24"/>
      <c r="E813" s="29"/>
      <c r="F813" s="34"/>
      <c r="G813" s="39"/>
      <c r="H813" s="46" t="s">
        <v>832</v>
      </c>
      <c r="I813" s="46" t="s">
        <v>298</v>
      </c>
      <c r="J813" s="47" t="s">
        <v>293</v>
      </c>
      <c r="K813" s="48">
        <v>0.1</v>
      </c>
      <c r="L813" s="49">
        <f>VLOOKUP(H813,[4]Sheet2!K:P,6,0)</f>
        <v>1E-4</v>
      </c>
      <c r="M813" s="50">
        <f>VLOOKUP(H813,[4]Sheet2!K:Q,7,0)</f>
        <v>9550</v>
      </c>
      <c r="N813" s="51"/>
      <c r="O813" s="51"/>
      <c r="P813" s="51"/>
      <c r="Q813" s="51"/>
      <c r="R813" s="51"/>
      <c r="S813" s="51"/>
      <c r="T813" s="51"/>
      <c r="U813" s="51"/>
      <c r="V813" s="52">
        <f>VLOOKUP(H813,[4]Sheet2!K:N,4,0)</f>
        <v>0</v>
      </c>
      <c r="W813" s="52">
        <f t="shared" si="721"/>
        <v>0</v>
      </c>
      <c r="X813" s="52">
        <f>VLOOKUP(H813,[4]Sheet2!K:N,4,0)</f>
        <v>0</v>
      </c>
      <c r="Y813" s="53">
        <f t="shared" si="722"/>
        <v>0</v>
      </c>
      <c r="Z813" s="53">
        <f t="shared" si="723"/>
        <v>0</v>
      </c>
      <c r="AA813" s="53">
        <f t="shared" si="724"/>
        <v>0</v>
      </c>
    </row>
    <row r="814" spans="1:27" ht="18.75" customHeight="1" outlineLevel="6" x14ac:dyDescent="0.3">
      <c r="B814" s="44"/>
      <c r="C814" s="18"/>
      <c r="D814" s="24"/>
      <c r="E814" s="29"/>
      <c r="F814" s="34"/>
      <c r="G814" s="39"/>
      <c r="H814" s="46" t="s">
        <v>833</v>
      </c>
      <c r="I814" s="46" t="s">
        <v>56</v>
      </c>
      <c r="J814" s="47" t="s">
        <v>293</v>
      </c>
      <c r="K814" s="48">
        <v>0.05</v>
      </c>
      <c r="L814" s="49">
        <f>VLOOKUP(H814,[4]Sheet2!K:P,6,0)</f>
        <v>5.0000000000000002E-5</v>
      </c>
      <c r="M814" s="50">
        <f>VLOOKUP(H814,[4]Sheet2!K:Q,7,0)</f>
        <v>9550</v>
      </c>
      <c r="N814" s="51"/>
      <c r="O814" s="51"/>
      <c r="P814" s="51"/>
      <c r="Q814" s="51"/>
      <c r="R814" s="51"/>
      <c r="S814" s="51"/>
      <c r="T814" s="51"/>
      <c r="U814" s="51"/>
      <c r="V814" s="52">
        <f>VLOOKUP(H814,[4]Sheet2!K:N,4,0)</f>
        <v>0</v>
      </c>
      <c r="W814" s="52">
        <f t="shared" si="721"/>
        <v>0</v>
      </c>
      <c r="X814" s="52">
        <f>VLOOKUP(H814,[4]Sheet2!K:N,4,0)</f>
        <v>0</v>
      </c>
      <c r="Y814" s="53">
        <f t="shared" si="722"/>
        <v>0</v>
      </c>
      <c r="Z814" s="53">
        <f t="shared" si="723"/>
        <v>0</v>
      </c>
      <c r="AA814" s="53">
        <f t="shared" si="724"/>
        <v>0</v>
      </c>
    </row>
    <row r="815" spans="1:27" ht="18.75" customHeight="1" outlineLevel="5" x14ac:dyDescent="0.3">
      <c r="B815" s="12"/>
      <c r="C815" s="18"/>
      <c r="D815" s="24"/>
      <c r="E815" s="29"/>
      <c r="F815" s="34"/>
      <c r="G815" s="39" t="s">
        <v>312</v>
      </c>
      <c r="H815" s="58"/>
      <c r="I815" s="58"/>
      <c r="J815" s="58"/>
      <c r="K815" s="58"/>
      <c r="L815" s="41">
        <f>SUM(L816:L820)</f>
        <v>9.0000000000000008E-4</v>
      </c>
      <c r="M815" s="42">
        <f>M816</f>
        <v>7000</v>
      </c>
      <c r="N815" s="40"/>
      <c r="O815" s="40"/>
      <c r="P815" s="40"/>
      <c r="Q815" s="40"/>
      <c r="R815" s="40"/>
      <c r="S815" s="40"/>
      <c r="T815" s="40"/>
      <c r="U815" s="40"/>
      <c r="V815" s="62">
        <f t="shared" ref="V815:X815" si="725">SUMPRODUCT(V816:V820,$K816:$K820)</f>
        <v>0</v>
      </c>
      <c r="W815" s="62">
        <f t="shared" si="725"/>
        <v>0</v>
      </c>
      <c r="X815" s="62">
        <f t="shared" si="725"/>
        <v>0</v>
      </c>
      <c r="Y815" s="43">
        <f>SUMPRODUCT(Y816:Y820,$K816:$K820)</f>
        <v>0</v>
      </c>
      <c r="Z815" s="43">
        <f t="shared" ref="Z815:AA815" si="726">SUMPRODUCT(Z816:Z820,$K816:$K820)</f>
        <v>0</v>
      </c>
      <c r="AA815" s="43">
        <f t="shared" si="726"/>
        <v>0</v>
      </c>
    </row>
    <row r="816" spans="1:27" ht="18.75" customHeight="1" outlineLevel="6" x14ac:dyDescent="0.3">
      <c r="B816" s="44"/>
      <c r="C816" s="18"/>
      <c r="D816" s="24"/>
      <c r="E816" s="29"/>
      <c r="F816" s="34"/>
      <c r="G816" s="39"/>
      <c r="H816" s="46" t="s">
        <v>834</v>
      </c>
      <c r="I816" s="46" t="s">
        <v>45</v>
      </c>
      <c r="J816" s="47" t="s">
        <v>293</v>
      </c>
      <c r="K816" s="48">
        <v>0.1</v>
      </c>
      <c r="L816" s="49">
        <f>VLOOKUP(H816,[4]Sheet2!K:P,6,0)</f>
        <v>8.9999999999999992E-5</v>
      </c>
      <c r="M816" s="50">
        <f>VLOOKUP(H816,[4]Sheet2!K:Q,7,0)</f>
        <v>7000</v>
      </c>
      <c r="N816" s="51"/>
      <c r="O816" s="51"/>
      <c r="P816" s="51"/>
      <c r="Q816" s="51"/>
      <c r="R816" s="51"/>
      <c r="S816" s="51"/>
      <c r="T816" s="51"/>
      <c r="U816" s="51"/>
      <c r="V816" s="52">
        <f>VLOOKUP(H816,[4]Sheet2!K:N,4,0)</f>
        <v>0</v>
      </c>
      <c r="W816" s="52">
        <f t="shared" ref="W816:W820" si="727">X816-V816</f>
        <v>0</v>
      </c>
      <c r="X816" s="52">
        <f>VLOOKUP(H816,[4]Sheet2!K:N,4,0)</f>
        <v>0</v>
      </c>
      <c r="Y816" s="53">
        <f t="shared" ref="Y816:Y820" si="728">IFERROR(V816/M816,1)</f>
        <v>0</v>
      </c>
      <c r="Z816" s="53">
        <f t="shared" ref="Z816:Z820" si="729">IFERROR(W816/M816,1)</f>
        <v>0</v>
      </c>
      <c r="AA816" s="53">
        <f t="shared" ref="AA816:AA820" si="730">IFERROR(X816/M816,1)</f>
        <v>0</v>
      </c>
    </row>
    <row r="817" spans="1:27" ht="18.75" customHeight="1" outlineLevel="6" x14ac:dyDescent="0.3">
      <c r="A817" s="1" t="s">
        <v>813</v>
      </c>
      <c r="B817" s="44"/>
      <c r="C817" s="18"/>
      <c r="D817" s="24"/>
      <c r="E817" s="29"/>
      <c r="F817" s="34"/>
      <c r="G817" s="39"/>
      <c r="H817" s="46" t="s">
        <v>835</v>
      </c>
      <c r="I817" s="46" t="s">
        <v>48</v>
      </c>
      <c r="J817" s="47" t="s">
        <v>293</v>
      </c>
      <c r="K817" s="48">
        <v>0.6</v>
      </c>
      <c r="L817" s="49">
        <f>VLOOKUP(H817,[4]Sheet2!K:P,6,0)</f>
        <v>5.4000000000000001E-4</v>
      </c>
      <c r="M817" s="50">
        <f>VLOOKUP(H817,[4]Sheet2!K:Q,7,0)</f>
        <v>7000</v>
      </c>
      <c r="N817" s="51"/>
      <c r="O817" s="51"/>
      <c r="P817" s="51"/>
      <c r="Q817" s="51"/>
      <c r="R817" s="51"/>
      <c r="S817" s="51"/>
      <c r="T817" s="51"/>
      <c r="U817" s="51"/>
      <c r="V817" s="52">
        <f>VLOOKUP(H817,[4]Sheet2!K:N,4,0)</f>
        <v>0</v>
      </c>
      <c r="W817" s="52">
        <f t="shared" si="727"/>
        <v>0</v>
      </c>
      <c r="X817" s="52">
        <f>VLOOKUP(H817,[4]Sheet2!K:N,4,0)</f>
        <v>0</v>
      </c>
      <c r="Y817" s="53">
        <f t="shared" si="728"/>
        <v>0</v>
      </c>
      <c r="Z817" s="53">
        <f t="shared" si="729"/>
        <v>0</v>
      </c>
      <c r="AA817" s="53">
        <f t="shared" si="730"/>
        <v>0</v>
      </c>
    </row>
    <row r="818" spans="1:27" ht="18.75" customHeight="1" outlineLevel="6" x14ac:dyDescent="0.3">
      <c r="B818" s="44"/>
      <c r="C818" s="18"/>
      <c r="D818" s="24"/>
      <c r="E818" s="29"/>
      <c r="F818" s="34"/>
      <c r="G818" s="39"/>
      <c r="H818" s="46" t="s">
        <v>836</v>
      </c>
      <c r="I818" s="46" t="s">
        <v>296</v>
      </c>
      <c r="J818" s="47" t="s">
        <v>293</v>
      </c>
      <c r="K818" s="48">
        <v>0.15</v>
      </c>
      <c r="L818" s="49">
        <f>VLOOKUP(H818,[4]Sheet2!K:P,6,0)</f>
        <v>1.35E-4</v>
      </c>
      <c r="M818" s="50">
        <f>VLOOKUP(H818,[4]Sheet2!K:Q,7,0)</f>
        <v>7000</v>
      </c>
      <c r="N818" s="51"/>
      <c r="O818" s="51"/>
      <c r="P818" s="51"/>
      <c r="Q818" s="51"/>
      <c r="R818" s="51"/>
      <c r="S818" s="51"/>
      <c r="T818" s="51"/>
      <c r="U818" s="51"/>
      <c r="V818" s="52">
        <f>VLOOKUP(H818,[4]Sheet2!K:N,4,0)</f>
        <v>0</v>
      </c>
      <c r="W818" s="52">
        <f t="shared" si="727"/>
        <v>0</v>
      </c>
      <c r="X818" s="52">
        <f>VLOOKUP(H818,[4]Sheet2!K:N,4,0)</f>
        <v>0</v>
      </c>
      <c r="Y818" s="53">
        <f t="shared" si="728"/>
        <v>0</v>
      </c>
      <c r="Z818" s="53">
        <f t="shared" si="729"/>
        <v>0</v>
      </c>
      <c r="AA818" s="53">
        <f t="shared" si="730"/>
        <v>0</v>
      </c>
    </row>
    <row r="819" spans="1:27" ht="18.75" customHeight="1" outlineLevel="6" x14ac:dyDescent="0.3">
      <c r="B819" s="44"/>
      <c r="C819" s="18"/>
      <c r="D819" s="24"/>
      <c r="E819" s="29"/>
      <c r="F819" s="34"/>
      <c r="G819" s="39"/>
      <c r="H819" s="46" t="s">
        <v>837</v>
      </c>
      <c r="I819" s="46" t="s">
        <v>298</v>
      </c>
      <c r="J819" s="47" t="s">
        <v>293</v>
      </c>
      <c r="K819" s="48">
        <v>0.1</v>
      </c>
      <c r="L819" s="49">
        <f>VLOOKUP(H819,[4]Sheet2!K:P,6,0)</f>
        <v>8.9999999999999992E-5</v>
      </c>
      <c r="M819" s="50">
        <f>VLOOKUP(H819,[4]Sheet2!K:Q,7,0)</f>
        <v>7000</v>
      </c>
      <c r="N819" s="51"/>
      <c r="O819" s="51"/>
      <c r="P819" s="51"/>
      <c r="Q819" s="51"/>
      <c r="R819" s="51"/>
      <c r="S819" s="51"/>
      <c r="T819" s="51"/>
      <c r="U819" s="51"/>
      <c r="V819" s="52">
        <f>VLOOKUP(H819,[4]Sheet2!K:N,4,0)</f>
        <v>0</v>
      </c>
      <c r="W819" s="52">
        <f t="shared" si="727"/>
        <v>0</v>
      </c>
      <c r="X819" s="52">
        <f>VLOOKUP(H819,[4]Sheet2!K:N,4,0)</f>
        <v>0</v>
      </c>
      <c r="Y819" s="53">
        <f t="shared" si="728"/>
        <v>0</v>
      </c>
      <c r="Z819" s="53">
        <f t="shared" si="729"/>
        <v>0</v>
      </c>
      <c r="AA819" s="53">
        <f t="shared" si="730"/>
        <v>0</v>
      </c>
    </row>
    <row r="820" spans="1:27" ht="18.75" customHeight="1" outlineLevel="6" x14ac:dyDescent="0.3">
      <c r="B820" s="44"/>
      <c r="C820" s="18"/>
      <c r="D820" s="24"/>
      <c r="E820" s="29"/>
      <c r="F820" s="34"/>
      <c r="G820" s="39"/>
      <c r="H820" s="46" t="s">
        <v>838</v>
      </c>
      <c r="I820" s="46" t="s">
        <v>56</v>
      </c>
      <c r="J820" s="47" t="s">
        <v>293</v>
      </c>
      <c r="K820" s="48">
        <v>0.05</v>
      </c>
      <c r="L820" s="49">
        <f>VLOOKUP(H820,[4]Sheet2!K:P,6,0)</f>
        <v>4.4999999999999996E-5</v>
      </c>
      <c r="M820" s="50">
        <f>VLOOKUP(H820,[4]Sheet2!K:Q,7,0)</f>
        <v>7000</v>
      </c>
      <c r="N820" s="51"/>
      <c r="O820" s="51"/>
      <c r="P820" s="51"/>
      <c r="Q820" s="51"/>
      <c r="R820" s="51"/>
      <c r="S820" s="51"/>
      <c r="T820" s="51"/>
      <c r="U820" s="51"/>
      <c r="V820" s="52">
        <f>VLOOKUP(H820,[4]Sheet2!K:N,4,0)</f>
        <v>0</v>
      </c>
      <c r="W820" s="52">
        <f t="shared" si="727"/>
        <v>0</v>
      </c>
      <c r="X820" s="52">
        <f>VLOOKUP(H820,[4]Sheet2!K:N,4,0)</f>
        <v>0</v>
      </c>
      <c r="Y820" s="53">
        <f t="shared" si="728"/>
        <v>0</v>
      </c>
      <c r="Z820" s="53">
        <f t="shared" si="729"/>
        <v>0</v>
      </c>
      <c r="AA820" s="53">
        <f t="shared" si="730"/>
        <v>0</v>
      </c>
    </row>
    <row r="821" spans="1:27" ht="18.75" customHeight="1" outlineLevel="5" x14ac:dyDescent="0.3">
      <c r="B821" s="12"/>
      <c r="C821" s="18"/>
      <c r="D821" s="24"/>
      <c r="E821" s="29"/>
      <c r="F821" s="34"/>
      <c r="G821" s="39" t="s">
        <v>318</v>
      </c>
      <c r="H821" s="58"/>
      <c r="I821" s="58"/>
      <c r="J821" s="58"/>
      <c r="K821" s="58"/>
      <c r="L821" s="41">
        <f>SUM(L822:L826)</f>
        <v>2.5000000000000005E-3</v>
      </c>
      <c r="M821" s="42">
        <f>M822</f>
        <v>26550</v>
      </c>
      <c r="N821" s="40"/>
      <c r="O821" s="40"/>
      <c r="P821" s="40"/>
      <c r="Q821" s="40"/>
      <c r="R821" s="40"/>
      <c r="S821" s="40"/>
      <c r="T821" s="40"/>
      <c r="U821" s="40"/>
      <c r="V821" s="62">
        <f t="shared" ref="V821:X821" si="731">SUMPRODUCT(V822:V826,$K822:$K826)</f>
        <v>0</v>
      </c>
      <c r="W821" s="62">
        <f t="shared" si="731"/>
        <v>0</v>
      </c>
      <c r="X821" s="62">
        <f t="shared" si="731"/>
        <v>0</v>
      </c>
      <c r="Y821" s="43">
        <f>SUMPRODUCT(Y822:Y826,$K822:$K826)</f>
        <v>0</v>
      </c>
      <c r="Z821" s="43">
        <f t="shared" ref="Z821:AA821" si="732">SUMPRODUCT(Z822:Z826,$K822:$K826)</f>
        <v>0</v>
      </c>
      <c r="AA821" s="43">
        <f t="shared" si="732"/>
        <v>0</v>
      </c>
    </row>
    <row r="822" spans="1:27" ht="18.75" customHeight="1" outlineLevel="6" x14ac:dyDescent="0.3">
      <c r="B822" s="44"/>
      <c r="C822" s="18"/>
      <c r="D822" s="24"/>
      <c r="E822" s="29"/>
      <c r="F822" s="34"/>
      <c r="G822" s="39"/>
      <c r="H822" s="46" t="s">
        <v>839</v>
      </c>
      <c r="I822" s="46" t="s">
        <v>45</v>
      </c>
      <c r="J822" s="47" t="s">
        <v>293</v>
      </c>
      <c r="K822" s="48">
        <v>0.1</v>
      </c>
      <c r="L822" s="49">
        <f>VLOOKUP(H822,[4]Sheet2!K:P,6,0)</f>
        <v>2.5000000000000001E-4</v>
      </c>
      <c r="M822" s="50">
        <f>VLOOKUP(H822,[4]Sheet2!K:Q,7,0)</f>
        <v>26550</v>
      </c>
      <c r="N822" s="51"/>
      <c r="O822" s="51"/>
      <c r="P822" s="51"/>
      <c r="Q822" s="51"/>
      <c r="R822" s="51"/>
      <c r="S822" s="51"/>
      <c r="T822" s="51"/>
      <c r="U822" s="51"/>
      <c r="V822" s="52">
        <f>VLOOKUP(H822,[4]Sheet2!K:N,4,0)</f>
        <v>0</v>
      </c>
      <c r="W822" s="52">
        <f t="shared" ref="W822:W826" si="733">X822-V822</f>
        <v>0</v>
      </c>
      <c r="X822" s="52">
        <f>VLOOKUP(H822,[4]Sheet2!K:N,4,0)</f>
        <v>0</v>
      </c>
      <c r="Y822" s="53">
        <f t="shared" ref="Y822:Y826" si="734">IFERROR(V822/M822,1)</f>
        <v>0</v>
      </c>
      <c r="Z822" s="53">
        <f t="shared" ref="Z822:Z826" si="735">IFERROR(W822/M822,1)</f>
        <v>0</v>
      </c>
      <c r="AA822" s="53">
        <f t="shared" ref="AA822:AA826" si="736">IFERROR(X822/M822,1)</f>
        <v>0</v>
      </c>
    </row>
    <row r="823" spans="1:27" ht="18.75" customHeight="1" outlineLevel="6" x14ac:dyDescent="0.3">
      <c r="A823" s="1" t="s">
        <v>813</v>
      </c>
      <c r="B823" s="44"/>
      <c r="C823" s="18"/>
      <c r="D823" s="24"/>
      <c r="E823" s="29"/>
      <c r="F823" s="34"/>
      <c r="G823" s="39"/>
      <c r="H823" s="46" t="s">
        <v>840</v>
      </c>
      <c r="I823" s="46" t="s">
        <v>48</v>
      </c>
      <c r="J823" s="47" t="s">
        <v>293</v>
      </c>
      <c r="K823" s="48">
        <v>0.6</v>
      </c>
      <c r="L823" s="49">
        <f>VLOOKUP(H823,[4]Sheet2!K:P,6,0)</f>
        <v>1.5E-3</v>
      </c>
      <c r="M823" s="50">
        <f>VLOOKUP(H823,[4]Sheet2!K:Q,7,0)</f>
        <v>26550</v>
      </c>
      <c r="N823" s="51"/>
      <c r="O823" s="51"/>
      <c r="P823" s="51"/>
      <c r="Q823" s="51"/>
      <c r="R823" s="51"/>
      <c r="S823" s="51"/>
      <c r="T823" s="51"/>
      <c r="U823" s="51"/>
      <c r="V823" s="52">
        <f>VLOOKUP(H823,[4]Sheet2!K:N,4,0)</f>
        <v>0</v>
      </c>
      <c r="W823" s="52">
        <f t="shared" si="733"/>
        <v>0</v>
      </c>
      <c r="X823" s="52">
        <f>VLOOKUP(H823,[4]Sheet2!K:N,4,0)</f>
        <v>0</v>
      </c>
      <c r="Y823" s="53">
        <f t="shared" si="734"/>
        <v>0</v>
      </c>
      <c r="Z823" s="53">
        <f t="shared" si="735"/>
        <v>0</v>
      </c>
      <c r="AA823" s="53">
        <f t="shared" si="736"/>
        <v>0</v>
      </c>
    </row>
    <row r="824" spans="1:27" ht="18.75" customHeight="1" outlineLevel="6" x14ac:dyDescent="0.3">
      <c r="B824" s="44"/>
      <c r="C824" s="18"/>
      <c r="D824" s="24"/>
      <c r="E824" s="29"/>
      <c r="F824" s="34"/>
      <c r="G824" s="39"/>
      <c r="H824" s="46" t="s">
        <v>841</v>
      </c>
      <c r="I824" s="46" t="s">
        <v>296</v>
      </c>
      <c r="J824" s="47" t="s">
        <v>293</v>
      </c>
      <c r="K824" s="48">
        <v>0.15</v>
      </c>
      <c r="L824" s="49">
        <f>VLOOKUP(H824,[4]Sheet2!K:P,6,0)</f>
        <v>3.7500000000000001E-4</v>
      </c>
      <c r="M824" s="50">
        <f>VLOOKUP(H824,[4]Sheet2!K:Q,7,0)</f>
        <v>26550</v>
      </c>
      <c r="N824" s="51"/>
      <c r="O824" s="51"/>
      <c r="P824" s="51"/>
      <c r="Q824" s="51"/>
      <c r="R824" s="51"/>
      <c r="S824" s="51"/>
      <c r="T824" s="51"/>
      <c r="U824" s="51"/>
      <c r="V824" s="52">
        <f>VLOOKUP(H824,[4]Sheet2!K:N,4,0)</f>
        <v>0</v>
      </c>
      <c r="W824" s="52">
        <f t="shared" si="733"/>
        <v>0</v>
      </c>
      <c r="X824" s="52">
        <f>VLOOKUP(H824,[4]Sheet2!K:N,4,0)</f>
        <v>0</v>
      </c>
      <c r="Y824" s="53">
        <f t="shared" si="734"/>
        <v>0</v>
      </c>
      <c r="Z824" s="53">
        <f t="shared" si="735"/>
        <v>0</v>
      </c>
      <c r="AA824" s="53">
        <f t="shared" si="736"/>
        <v>0</v>
      </c>
    </row>
    <row r="825" spans="1:27" ht="18.75" customHeight="1" outlineLevel="6" x14ac:dyDescent="0.3">
      <c r="B825" s="44"/>
      <c r="C825" s="18"/>
      <c r="D825" s="24"/>
      <c r="E825" s="29"/>
      <c r="F825" s="34"/>
      <c r="G825" s="39"/>
      <c r="H825" s="46" t="s">
        <v>842</v>
      </c>
      <c r="I825" s="46" t="s">
        <v>298</v>
      </c>
      <c r="J825" s="47" t="s">
        <v>293</v>
      </c>
      <c r="K825" s="48">
        <v>0.1</v>
      </c>
      <c r="L825" s="49">
        <f>VLOOKUP(H825,[4]Sheet2!K:P,6,0)</f>
        <v>2.5000000000000001E-4</v>
      </c>
      <c r="M825" s="50">
        <f>VLOOKUP(H825,[4]Sheet2!K:Q,7,0)</f>
        <v>26550</v>
      </c>
      <c r="N825" s="51"/>
      <c r="O825" s="51"/>
      <c r="P825" s="51"/>
      <c r="Q825" s="51"/>
      <c r="R825" s="51"/>
      <c r="S825" s="51"/>
      <c r="T825" s="51"/>
      <c r="U825" s="51"/>
      <c r="V825" s="52">
        <f>VLOOKUP(H825,[4]Sheet2!K:N,4,0)</f>
        <v>0</v>
      </c>
      <c r="W825" s="52">
        <f t="shared" si="733"/>
        <v>0</v>
      </c>
      <c r="X825" s="52">
        <f>VLOOKUP(H825,[4]Sheet2!K:N,4,0)</f>
        <v>0</v>
      </c>
      <c r="Y825" s="53">
        <f t="shared" si="734"/>
        <v>0</v>
      </c>
      <c r="Z825" s="53">
        <f t="shared" si="735"/>
        <v>0</v>
      </c>
      <c r="AA825" s="53">
        <f t="shared" si="736"/>
        <v>0</v>
      </c>
    </row>
    <row r="826" spans="1:27" ht="18.75" customHeight="1" outlineLevel="6" x14ac:dyDescent="0.3">
      <c r="B826" s="44"/>
      <c r="C826" s="18"/>
      <c r="D826" s="24"/>
      <c r="E826" s="29"/>
      <c r="F826" s="34"/>
      <c r="G826" s="39"/>
      <c r="H826" s="46" t="s">
        <v>843</v>
      </c>
      <c r="I826" s="46" t="s">
        <v>56</v>
      </c>
      <c r="J826" s="47" t="s">
        <v>293</v>
      </c>
      <c r="K826" s="48">
        <v>0.05</v>
      </c>
      <c r="L826" s="49">
        <f>VLOOKUP(H826,[4]Sheet2!K:P,6,0)</f>
        <v>1.25E-4</v>
      </c>
      <c r="M826" s="50">
        <f>VLOOKUP(H826,[4]Sheet2!K:Q,7,0)</f>
        <v>26550</v>
      </c>
      <c r="N826" s="51"/>
      <c r="O826" s="51"/>
      <c r="P826" s="51"/>
      <c r="Q826" s="51"/>
      <c r="R826" s="51"/>
      <c r="S826" s="51"/>
      <c r="T826" s="51"/>
      <c r="U826" s="51"/>
      <c r="V826" s="52">
        <f>VLOOKUP(H826,[4]Sheet2!K:N,4,0)</f>
        <v>0</v>
      </c>
      <c r="W826" s="52">
        <f t="shared" si="733"/>
        <v>0</v>
      </c>
      <c r="X826" s="52">
        <f>VLOOKUP(H826,[4]Sheet2!K:N,4,0)</f>
        <v>0</v>
      </c>
      <c r="Y826" s="53">
        <f t="shared" si="734"/>
        <v>0</v>
      </c>
      <c r="Z826" s="53">
        <f t="shared" si="735"/>
        <v>0</v>
      </c>
      <c r="AA826" s="53">
        <f t="shared" si="736"/>
        <v>0</v>
      </c>
    </row>
    <row r="827" spans="1:27" ht="18.75" customHeight="1" outlineLevel="5" x14ac:dyDescent="0.3">
      <c r="B827" s="12"/>
      <c r="C827" s="18"/>
      <c r="D827" s="24"/>
      <c r="E827" s="29"/>
      <c r="F827" s="34"/>
      <c r="G827" s="39" t="s">
        <v>324</v>
      </c>
      <c r="H827" s="58"/>
      <c r="I827" s="58"/>
      <c r="J827" s="58"/>
      <c r="K827" s="58"/>
      <c r="L827" s="41">
        <f>SUM(L828:L832)</f>
        <v>2E-3</v>
      </c>
      <c r="M827" s="42">
        <f>M828</f>
        <v>20120</v>
      </c>
      <c r="N827" s="40"/>
      <c r="O827" s="40"/>
      <c r="P827" s="40"/>
      <c r="Q827" s="40"/>
      <c r="R827" s="40"/>
      <c r="S827" s="40"/>
      <c r="T827" s="40"/>
      <c r="U827" s="40"/>
      <c r="V827" s="62">
        <f t="shared" ref="V827:X827" si="737">SUMPRODUCT(V828:V832,$K828:$K832)</f>
        <v>0</v>
      </c>
      <c r="W827" s="62">
        <f t="shared" si="737"/>
        <v>0</v>
      </c>
      <c r="X827" s="62">
        <f t="shared" si="737"/>
        <v>0</v>
      </c>
      <c r="Y827" s="43">
        <f>SUMPRODUCT(Y828:Y832,$K828:$K832)</f>
        <v>0</v>
      </c>
      <c r="Z827" s="43">
        <f t="shared" ref="Z827:AA827" si="738">SUMPRODUCT(Z828:Z832,$K828:$K832)</f>
        <v>0</v>
      </c>
      <c r="AA827" s="43">
        <f t="shared" si="738"/>
        <v>0</v>
      </c>
    </row>
    <row r="828" spans="1:27" ht="18.75" customHeight="1" outlineLevel="6" x14ac:dyDescent="0.3">
      <c r="B828" s="44"/>
      <c r="C828" s="18"/>
      <c r="D828" s="24"/>
      <c r="E828" s="29"/>
      <c r="F828" s="34"/>
      <c r="G828" s="39"/>
      <c r="H828" s="46" t="s">
        <v>844</v>
      </c>
      <c r="I828" s="46" t="s">
        <v>45</v>
      </c>
      <c r="J828" s="47" t="s">
        <v>293</v>
      </c>
      <c r="K828" s="48">
        <v>0.1</v>
      </c>
      <c r="L828" s="49">
        <f>VLOOKUP(H828,[4]Sheet2!K:P,6,0)</f>
        <v>2.0000000000000001E-4</v>
      </c>
      <c r="M828" s="50">
        <f>VLOOKUP(H828,[4]Sheet2!K:Q,7,0)</f>
        <v>20120</v>
      </c>
      <c r="N828" s="51"/>
      <c r="O828" s="51"/>
      <c r="P828" s="51"/>
      <c r="Q828" s="51"/>
      <c r="R828" s="51"/>
      <c r="S828" s="51"/>
      <c r="T828" s="51"/>
      <c r="U828" s="51"/>
      <c r="V828" s="52">
        <f>VLOOKUP(H828,[4]Sheet2!K:N,4,0)</f>
        <v>0</v>
      </c>
      <c r="W828" s="52">
        <f t="shared" ref="W828:W832" si="739">X828-V828</f>
        <v>0</v>
      </c>
      <c r="X828" s="52">
        <f>VLOOKUP(H828,[4]Sheet2!K:N,4,0)</f>
        <v>0</v>
      </c>
      <c r="Y828" s="53">
        <f t="shared" ref="Y828:Y832" si="740">IFERROR(V828/M828,1)</f>
        <v>0</v>
      </c>
      <c r="Z828" s="53">
        <f t="shared" ref="Z828:Z832" si="741">IFERROR(W828/M828,1)</f>
        <v>0</v>
      </c>
      <c r="AA828" s="53">
        <f t="shared" ref="AA828:AA832" si="742">IFERROR(X828/M828,1)</f>
        <v>0</v>
      </c>
    </row>
    <row r="829" spans="1:27" ht="18.75" customHeight="1" outlineLevel="6" x14ac:dyDescent="0.3">
      <c r="A829" s="1" t="s">
        <v>813</v>
      </c>
      <c r="B829" s="44"/>
      <c r="C829" s="18"/>
      <c r="D829" s="24"/>
      <c r="E829" s="29"/>
      <c r="F829" s="34"/>
      <c r="G829" s="39"/>
      <c r="H829" s="46" t="s">
        <v>845</v>
      </c>
      <c r="I829" s="46" t="s">
        <v>48</v>
      </c>
      <c r="J829" s="47" t="s">
        <v>293</v>
      </c>
      <c r="K829" s="48">
        <v>0.6</v>
      </c>
      <c r="L829" s="49">
        <f>VLOOKUP(H829,[4]Sheet2!K:P,6,0)</f>
        <v>1.2000000000000001E-3</v>
      </c>
      <c r="M829" s="50">
        <f>VLOOKUP(H829,[4]Sheet2!K:Q,7,0)</f>
        <v>20120</v>
      </c>
      <c r="N829" s="51"/>
      <c r="O829" s="51"/>
      <c r="P829" s="51"/>
      <c r="Q829" s="51"/>
      <c r="R829" s="51"/>
      <c r="S829" s="51"/>
      <c r="T829" s="51"/>
      <c r="U829" s="51"/>
      <c r="V829" s="52">
        <f>VLOOKUP(H829,[4]Sheet2!K:N,4,0)</f>
        <v>0</v>
      </c>
      <c r="W829" s="52">
        <f t="shared" si="739"/>
        <v>0</v>
      </c>
      <c r="X829" s="52">
        <f>VLOOKUP(H829,[4]Sheet2!K:N,4,0)</f>
        <v>0</v>
      </c>
      <c r="Y829" s="53">
        <f t="shared" si="740"/>
        <v>0</v>
      </c>
      <c r="Z829" s="53">
        <f t="shared" si="741"/>
        <v>0</v>
      </c>
      <c r="AA829" s="53">
        <f t="shared" si="742"/>
        <v>0</v>
      </c>
    </row>
    <row r="830" spans="1:27" ht="18.75" customHeight="1" outlineLevel="6" x14ac:dyDescent="0.3">
      <c r="B830" s="44"/>
      <c r="C830" s="18"/>
      <c r="D830" s="24"/>
      <c r="E830" s="29"/>
      <c r="F830" s="34"/>
      <c r="G830" s="39"/>
      <c r="H830" s="46" t="s">
        <v>846</v>
      </c>
      <c r="I830" s="46" t="s">
        <v>296</v>
      </c>
      <c r="J830" s="47" t="s">
        <v>293</v>
      </c>
      <c r="K830" s="48">
        <v>0.15</v>
      </c>
      <c r="L830" s="49">
        <f>VLOOKUP(H830,[4]Sheet2!K:P,6,0)</f>
        <v>3.0000000000000003E-4</v>
      </c>
      <c r="M830" s="50">
        <f>VLOOKUP(H830,[4]Sheet2!K:Q,7,0)</f>
        <v>20120</v>
      </c>
      <c r="N830" s="51"/>
      <c r="O830" s="51"/>
      <c r="P830" s="51"/>
      <c r="Q830" s="51"/>
      <c r="R830" s="51"/>
      <c r="S830" s="51"/>
      <c r="T830" s="51"/>
      <c r="U830" s="51"/>
      <c r="V830" s="52">
        <f>VLOOKUP(H830,[4]Sheet2!K:N,4,0)</f>
        <v>0</v>
      </c>
      <c r="W830" s="52">
        <f t="shared" si="739"/>
        <v>0</v>
      </c>
      <c r="X830" s="52">
        <f>VLOOKUP(H830,[4]Sheet2!K:N,4,0)</f>
        <v>0</v>
      </c>
      <c r="Y830" s="53">
        <f t="shared" si="740"/>
        <v>0</v>
      </c>
      <c r="Z830" s="53">
        <f t="shared" si="741"/>
        <v>0</v>
      </c>
      <c r="AA830" s="53">
        <f t="shared" si="742"/>
        <v>0</v>
      </c>
    </row>
    <row r="831" spans="1:27" ht="18.75" customHeight="1" outlineLevel="6" x14ac:dyDescent="0.3">
      <c r="B831" s="44"/>
      <c r="C831" s="18"/>
      <c r="D831" s="24"/>
      <c r="E831" s="29"/>
      <c r="F831" s="34"/>
      <c r="G831" s="39"/>
      <c r="H831" s="46" t="s">
        <v>847</v>
      </c>
      <c r="I831" s="46" t="s">
        <v>298</v>
      </c>
      <c r="J831" s="47" t="s">
        <v>293</v>
      </c>
      <c r="K831" s="48">
        <v>0.1</v>
      </c>
      <c r="L831" s="49">
        <f>VLOOKUP(H831,[4]Sheet2!K:P,6,0)</f>
        <v>2.0000000000000001E-4</v>
      </c>
      <c r="M831" s="50">
        <f>VLOOKUP(H831,[4]Sheet2!K:Q,7,0)</f>
        <v>20120</v>
      </c>
      <c r="N831" s="51"/>
      <c r="O831" s="51"/>
      <c r="P831" s="51"/>
      <c r="Q831" s="51"/>
      <c r="R831" s="51"/>
      <c r="S831" s="51"/>
      <c r="T831" s="51"/>
      <c r="U831" s="51"/>
      <c r="V831" s="52">
        <f>VLOOKUP(H831,[4]Sheet2!K:N,4,0)</f>
        <v>0</v>
      </c>
      <c r="W831" s="52">
        <f t="shared" si="739"/>
        <v>0</v>
      </c>
      <c r="X831" s="52">
        <f>VLOOKUP(H831,[4]Sheet2!K:N,4,0)</f>
        <v>0</v>
      </c>
      <c r="Y831" s="53">
        <f t="shared" si="740"/>
        <v>0</v>
      </c>
      <c r="Z831" s="53">
        <f t="shared" si="741"/>
        <v>0</v>
      </c>
      <c r="AA831" s="53">
        <f t="shared" si="742"/>
        <v>0</v>
      </c>
    </row>
    <row r="832" spans="1:27" ht="18.75" customHeight="1" outlineLevel="6" x14ac:dyDescent="0.3">
      <c r="B832" s="44"/>
      <c r="C832" s="18"/>
      <c r="D832" s="24"/>
      <c r="E832" s="29"/>
      <c r="F832" s="34"/>
      <c r="G832" s="39"/>
      <c r="H832" s="46" t="s">
        <v>848</v>
      </c>
      <c r="I832" s="46" t="s">
        <v>56</v>
      </c>
      <c r="J832" s="47" t="s">
        <v>293</v>
      </c>
      <c r="K832" s="48">
        <v>0.05</v>
      </c>
      <c r="L832" s="49">
        <f>VLOOKUP(H832,[4]Sheet2!K:P,6,0)</f>
        <v>1E-4</v>
      </c>
      <c r="M832" s="50">
        <f>VLOOKUP(H832,[4]Sheet2!K:Q,7,0)</f>
        <v>20120</v>
      </c>
      <c r="N832" s="51"/>
      <c r="O832" s="51"/>
      <c r="P832" s="51"/>
      <c r="Q832" s="51"/>
      <c r="R832" s="51"/>
      <c r="S832" s="51"/>
      <c r="T832" s="51"/>
      <c r="U832" s="51"/>
      <c r="V832" s="52">
        <f>VLOOKUP(H832,[4]Sheet2!K:N,4,0)</f>
        <v>0</v>
      </c>
      <c r="W832" s="52">
        <f t="shared" si="739"/>
        <v>0</v>
      </c>
      <c r="X832" s="52">
        <f>VLOOKUP(H832,[4]Sheet2!K:N,4,0)</f>
        <v>0</v>
      </c>
      <c r="Y832" s="53">
        <f t="shared" si="740"/>
        <v>0</v>
      </c>
      <c r="Z832" s="53">
        <f t="shared" si="741"/>
        <v>0</v>
      </c>
      <c r="AA832" s="53">
        <f t="shared" si="742"/>
        <v>0</v>
      </c>
    </row>
    <row r="833" spans="1:27" ht="18.75" customHeight="1" outlineLevel="5" x14ac:dyDescent="0.3">
      <c r="B833" s="12"/>
      <c r="C833" s="18"/>
      <c r="D833" s="24"/>
      <c r="E833" s="29"/>
      <c r="F833" s="34"/>
      <c r="G833" s="39" t="s">
        <v>330</v>
      </c>
      <c r="H833" s="58"/>
      <c r="I833" s="58"/>
      <c r="J833" s="58"/>
      <c r="K833" s="58"/>
      <c r="L833" s="41">
        <f>SUM(L834:L838)</f>
        <v>9.0000000000000008E-4</v>
      </c>
      <c r="M833" s="42">
        <f>M834</f>
        <v>2100</v>
      </c>
      <c r="N833" s="40"/>
      <c r="O833" s="40"/>
      <c r="P833" s="40"/>
      <c r="Q833" s="40"/>
      <c r="R833" s="40"/>
      <c r="S833" s="40"/>
      <c r="T833" s="40"/>
      <c r="U833" s="40"/>
      <c r="V833" s="62">
        <f t="shared" ref="V833:X833" si="743">SUMPRODUCT(V834:V838,$K834:$K838)</f>
        <v>0</v>
      </c>
      <c r="W833" s="62">
        <f t="shared" si="743"/>
        <v>0</v>
      </c>
      <c r="X833" s="62">
        <f t="shared" si="743"/>
        <v>0</v>
      </c>
      <c r="Y833" s="43">
        <f>SUMPRODUCT(Y834:Y838,$K834:$K838)</f>
        <v>0</v>
      </c>
      <c r="Z833" s="43">
        <f t="shared" ref="Z833:AA833" si="744">SUMPRODUCT(Z834:Z838,$K834:$K838)</f>
        <v>0</v>
      </c>
      <c r="AA833" s="43">
        <f t="shared" si="744"/>
        <v>0</v>
      </c>
    </row>
    <row r="834" spans="1:27" ht="18.75" customHeight="1" outlineLevel="6" x14ac:dyDescent="0.3">
      <c r="B834" s="44"/>
      <c r="C834" s="18"/>
      <c r="D834" s="24"/>
      <c r="E834" s="29"/>
      <c r="F834" s="34"/>
      <c r="G834" s="39"/>
      <c r="H834" s="46" t="s">
        <v>849</v>
      </c>
      <c r="I834" s="46" t="s">
        <v>45</v>
      </c>
      <c r="J834" s="47" t="s">
        <v>293</v>
      </c>
      <c r="K834" s="48">
        <v>0.1</v>
      </c>
      <c r="L834" s="49">
        <f>VLOOKUP(H834,[4]Sheet2!K:P,6,0)</f>
        <v>8.9999999999999992E-5</v>
      </c>
      <c r="M834" s="50">
        <f>VLOOKUP(H834,[4]Sheet2!K:Q,7,0)</f>
        <v>2100</v>
      </c>
      <c r="N834" s="51"/>
      <c r="O834" s="51"/>
      <c r="P834" s="51"/>
      <c r="Q834" s="51"/>
      <c r="R834" s="51"/>
      <c r="S834" s="51"/>
      <c r="T834" s="51"/>
      <c r="U834" s="51"/>
      <c r="V834" s="52">
        <f>VLOOKUP(H834,[4]Sheet2!K:N,4,0)</f>
        <v>0</v>
      </c>
      <c r="W834" s="52">
        <f t="shared" ref="W834:W838" si="745">X834-V834</f>
        <v>0</v>
      </c>
      <c r="X834" s="52">
        <f>VLOOKUP(H834,[4]Sheet2!K:N,4,0)</f>
        <v>0</v>
      </c>
      <c r="Y834" s="53">
        <f t="shared" ref="Y834:Y838" si="746">IFERROR(V834/M834,1)</f>
        <v>0</v>
      </c>
      <c r="Z834" s="53">
        <f t="shared" ref="Z834:Z838" si="747">IFERROR(W834/M834,1)</f>
        <v>0</v>
      </c>
      <c r="AA834" s="53">
        <f t="shared" ref="AA834:AA838" si="748">IFERROR(X834/M834,1)</f>
        <v>0</v>
      </c>
    </row>
    <row r="835" spans="1:27" ht="18.75" customHeight="1" outlineLevel="6" x14ac:dyDescent="0.3">
      <c r="A835" s="1" t="s">
        <v>813</v>
      </c>
      <c r="B835" s="44"/>
      <c r="C835" s="18"/>
      <c r="D835" s="24"/>
      <c r="E835" s="29"/>
      <c r="F835" s="34"/>
      <c r="G835" s="39"/>
      <c r="H835" s="46" t="s">
        <v>850</v>
      </c>
      <c r="I835" s="46" t="s">
        <v>48</v>
      </c>
      <c r="J835" s="47" t="s">
        <v>293</v>
      </c>
      <c r="K835" s="48">
        <v>0.6</v>
      </c>
      <c r="L835" s="49">
        <f>VLOOKUP(H835,[4]Sheet2!K:P,6,0)</f>
        <v>5.4000000000000001E-4</v>
      </c>
      <c r="M835" s="50">
        <f>VLOOKUP(H835,[4]Sheet2!K:Q,7,0)</f>
        <v>2100</v>
      </c>
      <c r="N835" s="51"/>
      <c r="O835" s="51"/>
      <c r="P835" s="51"/>
      <c r="Q835" s="51"/>
      <c r="R835" s="51"/>
      <c r="S835" s="51"/>
      <c r="T835" s="51"/>
      <c r="U835" s="51"/>
      <c r="V835" s="52">
        <f>VLOOKUP(H835,[4]Sheet2!K:N,4,0)</f>
        <v>0</v>
      </c>
      <c r="W835" s="52">
        <f t="shared" si="745"/>
        <v>0</v>
      </c>
      <c r="X835" s="52">
        <f>VLOOKUP(H835,[4]Sheet2!K:N,4,0)</f>
        <v>0</v>
      </c>
      <c r="Y835" s="53">
        <f t="shared" si="746"/>
        <v>0</v>
      </c>
      <c r="Z835" s="53">
        <f t="shared" si="747"/>
        <v>0</v>
      </c>
      <c r="AA835" s="53">
        <f t="shared" si="748"/>
        <v>0</v>
      </c>
    </row>
    <row r="836" spans="1:27" ht="18.75" customHeight="1" outlineLevel="6" x14ac:dyDescent="0.3">
      <c r="B836" s="44"/>
      <c r="C836" s="18"/>
      <c r="D836" s="24"/>
      <c r="E836" s="29"/>
      <c r="F836" s="34"/>
      <c r="G836" s="39"/>
      <c r="H836" s="46" t="s">
        <v>851</v>
      </c>
      <c r="I836" s="46" t="s">
        <v>296</v>
      </c>
      <c r="J836" s="47" t="s">
        <v>293</v>
      </c>
      <c r="K836" s="48">
        <v>0.15</v>
      </c>
      <c r="L836" s="49">
        <f>VLOOKUP(H836,[4]Sheet2!K:P,6,0)</f>
        <v>1.35E-4</v>
      </c>
      <c r="M836" s="50">
        <f>VLOOKUP(H836,[4]Sheet2!K:Q,7,0)</f>
        <v>2100</v>
      </c>
      <c r="N836" s="51"/>
      <c r="O836" s="51"/>
      <c r="P836" s="51"/>
      <c r="Q836" s="51"/>
      <c r="R836" s="51"/>
      <c r="S836" s="51"/>
      <c r="T836" s="51"/>
      <c r="U836" s="51"/>
      <c r="V836" s="52">
        <f>VLOOKUP(H836,[4]Sheet2!K:N,4,0)</f>
        <v>0</v>
      </c>
      <c r="W836" s="52">
        <f t="shared" si="745"/>
        <v>0</v>
      </c>
      <c r="X836" s="52">
        <f>VLOOKUP(H836,[4]Sheet2!K:N,4,0)</f>
        <v>0</v>
      </c>
      <c r="Y836" s="53">
        <f t="shared" si="746"/>
        <v>0</v>
      </c>
      <c r="Z836" s="53">
        <f t="shared" si="747"/>
        <v>0</v>
      </c>
      <c r="AA836" s="53">
        <f t="shared" si="748"/>
        <v>0</v>
      </c>
    </row>
    <row r="837" spans="1:27" ht="18.75" customHeight="1" outlineLevel="6" x14ac:dyDescent="0.3">
      <c r="B837" s="44"/>
      <c r="C837" s="18"/>
      <c r="D837" s="24"/>
      <c r="E837" s="29"/>
      <c r="F837" s="34"/>
      <c r="G837" s="39"/>
      <c r="H837" s="46" t="s">
        <v>852</v>
      </c>
      <c r="I837" s="46" t="s">
        <v>298</v>
      </c>
      <c r="J837" s="47" t="s">
        <v>293</v>
      </c>
      <c r="K837" s="48">
        <v>0.1</v>
      </c>
      <c r="L837" s="49">
        <f>VLOOKUP(H837,[4]Sheet2!K:P,6,0)</f>
        <v>8.9999999999999992E-5</v>
      </c>
      <c r="M837" s="50">
        <f>VLOOKUP(H837,[4]Sheet2!K:Q,7,0)</f>
        <v>2100</v>
      </c>
      <c r="N837" s="51"/>
      <c r="O837" s="51"/>
      <c r="P837" s="51"/>
      <c r="Q837" s="51"/>
      <c r="R837" s="51"/>
      <c r="S837" s="51"/>
      <c r="T837" s="51"/>
      <c r="U837" s="51"/>
      <c r="V837" s="52">
        <f>VLOOKUP(H837,[4]Sheet2!K:N,4,0)</f>
        <v>0</v>
      </c>
      <c r="W837" s="52">
        <f t="shared" si="745"/>
        <v>0</v>
      </c>
      <c r="X837" s="52">
        <f>VLOOKUP(H837,[4]Sheet2!K:N,4,0)</f>
        <v>0</v>
      </c>
      <c r="Y837" s="53">
        <f t="shared" si="746"/>
        <v>0</v>
      </c>
      <c r="Z837" s="53">
        <f t="shared" si="747"/>
        <v>0</v>
      </c>
      <c r="AA837" s="53">
        <f t="shared" si="748"/>
        <v>0</v>
      </c>
    </row>
    <row r="838" spans="1:27" ht="18.75" customHeight="1" outlineLevel="6" x14ac:dyDescent="0.3">
      <c r="B838" s="44"/>
      <c r="C838" s="18"/>
      <c r="D838" s="24"/>
      <c r="E838" s="29"/>
      <c r="F838" s="34"/>
      <c r="G838" s="39"/>
      <c r="H838" s="46" t="s">
        <v>853</v>
      </c>
      <c r="I838" s="46" t="s">
        <v>56</v>
      </c>
      <c r="J838" s="47" t="s">
        <v>293</v>
      </c>
      <c r="K838" s="48">
        <v>0.05</v>
      </c>
      <c r="L838" s="49">
        <f>VLOOKUP(H838,[4]Sheet2!K:P,6,0)</f>
        <v>4.4999999999999996E-5</v>
      </c>
      <c r="M838" s="50">
        <f>VLOOKUP(H838,[4]Sheet2!K:Q,7,0)</f>
        <v>2100</v>
      </c>
      <c r="N838" s="51"/>
      <c r="O838" s="51"/>
      <c r="P838" s="51"/>
      <c r="Q838" s="51"/>
      <c r="R838" s="51"/>
      <c r="S838" s="51"/>
      <c r="T838" s="51"/>
      <c r="U838" s="51"/>
      <c r="V838" s="52">
        <f>VLOOKUP(H838,[4]Sheet2!K:N,4,0)</f>
        <v>0</v>
      </c>
      <c r="W838" s="52">
        <f t="shared" si="745"/>
        <v>0</v>
      </c>
      <c r="X838" s="52">
        <f>VLOOKUP(H838,[4]Sheet2!K:N,4,0)</f>
        <v>0</v>
      </c>
      <c r="Y838" s="53">
        <f t="shared" si="746"/>
        <v>0</v>
      </c>
      <c r="Z838" s="53">
        <f t="shared" si="747"/>
        <v>0</v>
      </c>
      <c r="AA838" s="53">
        <f t="shared" si="748"/>
        <v>0</v>
      </c>
    </row>
    <row r="839" spans="1:27" ht="18.75" customHeight="1" outlineLevel="5" x14ac:dyDescent="0.3">
      <c r="B839" s="12"/>
      <c r="C839" s="18"/>
      <c r="D839" s="24"/>
      <c r="E839" s="29"/>
      <c r="F839" s="34"/>
      <c r="G839" s="39" t="s">
        <v>336</v>
      </c>
      <c r="H839" s="58"/>
      <c r="I839" s="58"/>
      <c r="J839" s="58"/>
      <c r="K839" s="58"/>
      <c r="L839" s="41">
        <f>SUM(L840:L844)</f>
        <v>9.0000000000000008E-4</v>
      </c>
      <c r="M839" s="42">
        <f>M840</f>
        <v>2000</v>
      </c>
      <c r="N839" s="40"/>
      <c r="O839" s="40"/>
      <c r="P839" s="40"/>
      <c r="Q839" s="40"/>
      <c r="R839" s="40"/>
      <c r="S839" s="40"/>
      <c r="T839" s="40"/>
      <c r="U839" s="40"/>
      <c r="V839" s="62">
        <f t="shared" ref="V839:X839" si="749">SUMPRODUCT(V840:V844,$K840:$K844)</f>
        <v>0</v>
      </c>
      <c r="W839" s="62">
        <f t="shared" si="749"/>
        <v>0</v>
      </c>
      <c r="X839" s="62">
        <f t="shared" si="749"/>
        <v>0</v>
      </c>
      <c r="Y839" s="43">
        <f>SUMPRODUCT(Y840:Y844,$K840:$K844)</f>
        <v>0</v>
      </c>
      <c r="Z839" s="43">
        <f t="shared" ref="Z839:AA839" si="750">SUMPRODUCT(Z840:Z844,$K840:$K844)</f>
        <v>0</v>
      </c>
      <c r="AA839" s="43">
        <f t="shared" si="750"/>
        <v>0</v>
      </c>
    </row>
    <row r="840" spans="1:27" ht="18.75" customHeight="1" outlineLevel="6" x14ac:dyDescent="0.3">
      <c r="B840" s="44"/>
      <c r="C840" s="18"/>
      <c r="D840" s="24"/>
      <c r="E840" s="29"/>
      <c r="F840" s="34"/>
      <c r="G840" s="39"/>
      <c r="H840" s="46" t="s">
        <v>854</v>
      </c>
      <c r="I840" s="46" t="s">
        <v>45</v>
      </c>
      <c r="J840" s="47" t="s">
        <v>293</v>
      </c>
      <c r="K840" s="48">
        <v>0.1</v>
      </c>
      <c r="L840" s="49">
        <f>VLOOKUP(H840,[4]Sheet2!K:P,6,0)</f>
        <v>8.9999999999999992E-5</v>
      </c>
      <c r="M840" s="50">
        <f>VLOOKUP(H840,[4]Sheet2!K:Q,7,0)</f>
        <v>2000</v>
      </c>
      <c r="N840" s="51"/>
      <c r="O840" s="51"/>
      <c r="P840" s="51"/>
      <c r="Q840" s="51"/>
      <c r="R840" s="51"/>
      <c r="S840" s="51"/>
      <c r="T840" s="51"/>
      <c r="U840" s="51"/>
      <c r="V840" s="52">
        <f>VLOOKUP(H840,[4]Sheet2!K:N,4,0)</f>
        <v>0</v>
      </c>
      <c r="W840" s="52">
        <f t="shared" ref="W840:W844" si="751">X840-V840</f>
        <v>0</v>
      </c>
      <c r="X840" s="52">
        <f>VLOOKUP(H840,[4]Sheet2!K:N,4,0)</f>
        <v>0</v>
      </c>
      <c r="Y840" s="53">
        <f t="shared" ref="Y840:Y844" si="752">IFERROR(V840/M840,1)</f>
        <v>0</v>
      </c>
      <c r="Z840" s="53">
        <f t="shared" ref="Z840:Z844" si="753">IFERROR(W840/M840,1)</f>
        <v>0</v>
      </c>
      <c r="AA840" s="53">
        <f t="shared" ref="AA840:AA844" si="754">IFERROR(X840/M840,1)</f>
        <v>0</v>
      </c>
    </row>
    <row r="841" spans="1:27" ht="18.75" customHeight="1" outlineLevel="6" x14ac:dyDescent="0.3">
      <c r="A841" s="1" t="s">
        <v>813</v>
      </c>
      <c r="B841" s="44"/>
      <c r="C841" s="18"/>
      <c r="D841" s="24"/>
      <c r="E841" s="29"/>
      <c r="F841" s="34"/>
      <c r="G841" s="39"/>
      <c r="H841" s="46" t="s">
        <v>855</v>
      </c>
      <c r="I841" s="46" t="s">
        <v>48</v>
      </c>
      <c r="J841" s="47" t="s">
        <v>293</v>
      </c>
      <c r="K841" s="48">
        <v>0.6</v>
      </c>
      <c r="L841" s="49">
        <f>VLOOKUP(H841,[4]Sheet2!K:P,6,0)</f>
        <v>5.4000000000000001E-4</v>
      </c>
      <c r="M841" s="50">
        <f>VLOOKUP(H841,[4]Sheet2!K:Q,7,0)</f>
        <v>2000</v>
      </c>
      <c r="N841" s="51"/>
      <c r="O841" s="51"/>
      <c r="P841" s="51"/>
      <c r="Q841" s="51"/>
      <c r="R841" s="51"/>
      <c r="S841" s="51"/>
      <c r="T841" s="51"/>
      <c r="U841" s="51"/>
      <c r="V841" s="52">
        <f>VLOOKUP(H841,[4]Sheet2!K:N,4,0)</f>
        <v>0</v>
      </c>
      <c r="W841" s="52">
        <f t="shared" si="751"/>
        <v>0</v>
      </c>
      <c r="X841" s="52">
        <f>VLOOKUP(H841,[4]Sheet2!K:N,4,0)</f>
        <v>0</v>
      </c>
      <c r="Y841" s="53">
        <f t="shared" si="752"/>
        <v>0</v>
      </c>
      <c r="Z841" s="53">
        <f t="shared" si="753"/>
        <v>0</v>
      </c>
      <c r="AA841" s="53">
        <f t="shared" si="754"/>
        <v>0</v>
      </c>
    </row>
    <row r="842" spans="1:27" ht="18.75" customHeight="1" outlineLevel="6" x14ac:dyDescent="0.3">
      <c r="B842" s="44"/>
      <c r="C842" s="18"/>
      <c r="D842" s="24"/>
      <c r="E842" s="29"/>
      <c r="F842" s="34"/>
      <c r="G842" s="39"/>
      <c r="H842" s="46" t="s">
        <v>856</v>
      </c>
      <c r="I842" s="46" t="s">
        <v>296</v>
      </c>
      <c r="J842" s="47" t="s">
        <v>293</v>
      </c>
      <c r="K842" s="48">
        <v>0.15</v>
      </c>
      <c r="L842" s="49">
        <f>VLOOKUP(H842,[4]Sheet2!K:P,6,0)</f>
        <v>1.35E-4</v>
      </c>
      <c r="M842" s="50">
        <f>VLOOKUP(H842,[4]Sheet2!K:Q,7,0)</f>
        <v>2000</v>
      </c>
      <c r="N842" s="51"/>
      <c r="O842" s="51"/>
      <c r="P842" s="51"/>
      <c r="Q842" s="51"/>
      <c r="R842" s="51"/>
      <c r="S842" s="51"/>
      <c r="T842" s="51"/>
      <c r="U842" s="51"/>
      <c r="V842" s="52">
        <f>VLOOKUP(H842,[4]Sheet2!K:N,4,0)</f>
        <v>0</v>
      </c>
      <c r="W842" s="52">
        <f t="shared" si="751"/>
        <v>0</v>
      </c>
      <c r="X842" s="52">
        <f>VLOOKUP(H842,[4]Sheet2!K:N,4,0)</f>
        <v>0</v>
      </c>
      <c r="Y842" s="53">
        <f t="shared" si="752"/>
        <v>0</v>
      </c>
      <c r="Z842" s="53">
        <f t="shared" si="753"/>
        <v>0</v>
      </c>
      <c r="AA842" s="53">
        <f t="shared" si="754"/>
        <v>0</v>
      </c>
    </row>
    <row r="843" spans="1:27" ht="18.75" customHeight="1" outlineLevel="6" x14ac:dyDescent="0.3">
      <c r="B843" s="44"/>
      <c r="C843" s="18"/>
      <c r="D843" s="24"/>
      <c r="E843" s="29"/>
      <c r="F843" s="34"/>
      <c r="G843" s="39"/>
      <c r="H843" s="46" t="s">
        <v>857</v>
      </c>
      <c r="I843" s="46" t="s">
        <v>298</v>
      </c>
      <c r="J843" s="47" t="s">
        <v>293</v>
      </c>
      <c r="K843" s="48">
        <v>0.1</v>
      </c>
      <c r="L843" s="49">
        <f>VLOOKUP(H843,[4]Sheet2!K:P,6,0)</f>
        <v>8.9999999999999992E-5</v>
      </c>
      <c r="M843" s="50">
        <f>VLOOKUP(H843,[4]Sheet2!K:Q,7,0)</f>
        <v>2000</v>
      </c>
      <c r="N843" s="51"/>
      <c r="O843" s="51"/>
      <c r="P843" s="51"/>
      <c r="Q843" s="51"/>
      <c r="R843" s="51"/>
      <c r="S843" s="51"/>
      <c r="T843" s="51"/>
      <c r="U843" s="51"/>
      <c r="V843" s="52">
        <f>VLOOKUP(H843,[4]Sheet2!K:N,4,0)</f>
        <v>0</v>
      </c>
      <c r="W843" s="52">
        <f t="shared" si="751"/>
        <v>0</v>
      </c>
      <c r="X843" s="52">
        <f>VLOOKUP(H843,[4]Sheet2!K:N,4,0)</f>
        <v>0</v>
      </c>
      <c r="Y843" s="53">
        <f t="shared" si="752"/>
        <v>0</v>
      </c>
      <c r="Z843" s="53">
        <f t="shared" si="753"/>
        <v>0</v>
      </c>
      <c r="AA843" s="53">
        <f t="shared" si="754"/>
        <v>0</v>
      </c>
    </row>
    <row r="844" spans="1:27" ht="18.75" customHeight="1" outlineLevel="6" x14ac:dyDescent="0.3">
      <c r="B844" s="44"/>
      <c r="C844" s="18"/>
      <c r="D844" s="24"/>
      <c r="E844" s="29"/>
      <c r="F844" s="34"/>
      <c r="G844" s="39"/>
      <c r="H844" s="46" t="s">
        <v>858</v>
      </c>
      <c r="I844" s="46" t="s">
        <v>56</v>
      </c>
      <c r="J844" s="47" t="s">
        <v>293</v>
      </c>
      <c r="K844" s="48">
        <v>0.05</v>
      </c>
      <c r="L844" s="49">
        <f>VLOOKUP(H844,[4]Sheet2!K:P,6,0)</f>
        <v>4.4999999999999996E-5</v>
      </c>
      <c r="M844" s="50">
        <f>VLOOKUP(H844,[4]Sheet2!K:Q,7,0)</f>
        <v>2000</v>
      </c>
      <c r="N844" s="51"/>
      <c r="O844" s="51"/>
      <c r="P844" s="51"/>
      <c r="Q844" s="51"/>
      <c r="R844" s="51"/>
      <c r="S844" s="51"/>
      <c r="T844" s="51"/>
      <c r="U844" s="51"/>
      <c r="V844" s="52">
        <f>VLOOKUP(H844,[4]Sheet2!K:N,4,0)</f>
        <v>0</v>
      </c>
      <c r="W844" s="52">
        <f t="shared" si="751"/>
        <v>0</v>
      </c>
      <c r="X844" s="52">
        <f>VLOOKUP(H844,[4]Sheet2!K:N,4,0)</f>
        <v>0</v>
      </c>
      <c r="Y844" s="53">
        <f t="shared" si="752"/>
        <v>0</v>
      </c>
      <c r="Z844" s="53">
        <f t="shared" si="753"/>
        <v>0</v>
      </c>
      <c r="AA844" s="53">
        <f t="shared" si="754"/>
        <v>0</v>
      </c>
    </row>
    <row r="845" spans="1:27" ht="18.75" customHeight="1" outlineLevel="5" x14ac:dyDescent="0.3">
      <c r="B845" s="12"/>
      <c r="C845" s="18"/>
      <c r="D845" s="24"/>
      <c r="E845" s="29"/>
      <c r="F845" s="34"/>
      <c r="G845" s="39" t="s">
        <v>342</v>
      </c>
      <c r="H845" s="58"/>
      <c r="I845" s="58"/>
      <c r="J845" s="58"/>
      <c r="K845" s="58"/>
      <c r="L845" s="41">
        <f>SUM(L846:L850)</f>
        <v>5.9999999999999995E-4</v>
      </c>
      <c r="M845" s="42">
        <f>M846</f>
        <v>1000</v>
      </c>
      <c r="N845" s="40"/>
      <c r="O845" s="40"/>
      <c r="P845" s="40"/>
      <c r="Q845" s="40"/>
      <c r="R845" s="40"/>
      <c r="S845" s="40"/>
      <c r="T845" s="40"/>
      <c r="U845" s="40"/>
      <c r="V845" s="62">
        <f t="shared" ref="V845:X845" si="755">SUMPRODUCT(V846:V850,$K846:$K850)</f>
        <v>0</v>
      </c>
      <c r="W845" s="62">
        <f t="shared" si="755"/>
        <v>0</v>
      </c>
      <c r="X845" s="62">
        <f t="shared" si="755"/>
        <v>0</v>
      </c>
      <c r="Y845" s="43">
        <f>SUMPRODUCT(Y846:Y850,$K846:$K850)</f>
        <v>0</v>
      </c>
      <c r="Z845" s="43">
        <f t="shared" ref="Z845:AA845" si="756">SUMPRODUCT(Z846:Z850,$K846:$K850)</f>
        <v>0</v>
      </c>
      <c r="AA845" s="43">
        <f t="shared" si="756"/>
        <v>0</v>
      </c>
    </row>
    <row r="846" spans="1:27" ht="18.75" customHeight="1" outlineLevel="6" x14ac:dyDescent="0.3">
      <c r="B846" s="44"/>
      <c r="C846" s="18"/>
      <c r="D846" s="24"/>
      <c r="E846" s="29"/>
      <c r="F846" s="34"/>
      <c r="G846" s="39"/>
      <c r="H846" s="46" t="s">
        <v>859</v>
      </c>
      <c r="I846" s="46" t="s">
        <v>45</v>
      </c>
      <c r="J846" s="47" t="s">
        <v>293</v>
      </c>
      <c r="K846" s="48">
        <v>0.1</v>
      </c>
      <c r="L846" s="49">
        <f>VLOOKUP(H846,[4]Sheet2!K:P,6,0)</f>
        <v>5.9999999999999995E-5</v>
      </c>
      <c r="M846" s="50">
        <f>VLOOKUP(H846,[4]Sheet2!K:Q,7,0)</f>
        <v>1000</v>
      </c>
      <c r="N846" s="51"/>
      <c r="O846" s="51"/>
      <c r="P846" s="51"/>
      <c r="Q846" s="51"/>
      <c r="R846" s="51"/>
      <c r="S846" s="51"/>
      <c r="T846" s="51"/>
      <c r="U846" s="51"/>
      <c r="V846" s="52">
        <f>VLOOKUP(H846,[4]Sheet2!K:N,4,0)</f>
        <v>0</v>
      </c>
      <c r="W846" s="52">
        <f t="shared" ref="W846:W850" si="757">X846-V846</f>
        <v>0</v>
      </c>
      <c r="X846" s="52">
        <f>VLOOKUP(H846,[4]Sheet2!K:N,4,0)</f>
        <v>0</v>
      </c>
      <c r="Y846" s="53">
        <f t="shared" ref="Y846:Y850" si="758">IFERROR(V846/M846,1)</f>
        <v>0</v>
      </c>
      <c r="Z846" s="53">
        <f t="shared" ref="Z846:Z850" si="759">IFERROR(W846/M846,1)</f>
        <v>0</v>
      </c>
      <c r="AA846" s="53">
        <f t="shared" ref="AA846:AA850" si="760">IFERROR(X846/M846,1)</f>
        <v>0</v>
      </c>
    </row>
    <row r="847" spans="1:27" ht="18.75" customHeight="1" outlineLevel="6" x14ac:dyDescent="0.3">
      <c r="A847" s="1" t="s">
        <v>813</v>
      </c>
      <c r="B847" s="44"/>
      <c r="C847" s="18"/>
      <c r="D847" s="24"/>
      <c r="E847" s="29"/>
      <c r="F847" s="34"/>
      <c r="G847" s="39"/>
      <c r="H847" s="46" t="s">
        <v>860</v>
      </c>
      <c r="I847" s="46" t="s">
        <v>48</v>
      </c>
      <c r="J847" s="47" t="s">
        <v>293</v>
      </c>
      <c r="K847" s="48">
        <v>0.6</v>
      </c>
      <c r="L847" s="49">
        <f>VLOOKUP(H847,[4]Sheet2!K:P,6,0)</f>
        <v>3.5999999999999997E-4</v>
      </c>
      <c r="M847" s="50">
        <f>VLOOKUP(H847,[4]Sheet2!K:Q,7,0)</f>
        <v>1000</v>
      </c>
      <c r="N847" s="51"/>
      <c r="O847" s="51"/>
      <c r="P847" s="51"/>
      <c r="Q847" s="51"/>
      <c r="R847" s="51"/>
      <c r="S847" s="51"/>
      <c r="T847" s="51"/>
      <c r="U847" s="51"/>
      <c r="V847" s="52">
        <f>VLOOKUP(H847,[4]Sheet2!K:N,4,0)</f>
        <v>0</v>
      </c>
      <c r="W847" s="52">
        <f t="shared" si="757"/>
        <v>0</v>
      </c>
      <c r="X847" s="52">
        <f>VLOOKUP(H847,[4]Sheet2!K:N,4,0)</f>
        <v>0</v>
      </c>
      <c r="Y847" s="53">
        <f t="shared" si="758"/>
        <v>0</v>
      </c>
      <c r="Z847" s="53">
        <f t="shared" si="759"/>
        <v>0</v>
      </c>
      <c r="AA847" s="53">
        <f t="shared" si="760"/>
        <v>0</v>
      </c>
    </row>
    <row r="848" spans="1:27" ht="18.75" customHeight="1" outlineLevel="6" x14ac:dyDescent="0.3">
      <c r="B848" s="44"/>
      <c r="C848" s="18"/>
      <c r="D848" s="24"/>
      <c r="E848" s="29"/>
      <c r="F848" s="34"/>
      <c r="G848" s="39"/>
      <c r="H848" s="46" t="s">
        <v>861</v>
      </c>
      <c r="I848" s="46" t="s">
        <v>296</v>
      </c>
      <c r="J848" s="47" t="s">
        <v>293</v>
      </c>
      <c r="K848" s="48">
        <v>0.15</v>
      </c>
      <c r="L848" s="49">
        <f>VLOOKUP(H848,[4]Sheet2!K:P,6,0)</f>
        <v>8.9999999999999992E-5</v>
      </c>
      <c r="M848" s="50">
        <f>VLOOKUP(H848,[4]Sheet2!K:Q,7,0)</f>
        <v>1000</v>
      </c>
      <c r="N848" s="51"/>
      <c r="O848" s="51"/>
      <c r="P848" s="51"/>
      <c r="Q848" s="51"/>
      <c r="R848" s="51"/>
      <c r="S848" s="51"/>
      <c r="T848" s="51"/>
      <c r="U848" s="51"/>
      <c r="V848" s="52">
        <f>VLOOKUP(H848,[4]Sheet2!K:N,4,0)</f>
        <v>0</v>
      </c>
      <c r="W848" s="52">
        <f t="shared" si="757"/>
        <v>0</v>
      </c>
      <c r="X848" s="52">
        <f>VLOOKUP(H848,[4]Sheet2!K:N,4,0)</f>
        <v>0</v>
      </c>
      <c r="Y848" s="53">
        <f t="shared" si="758"/>
        <v>0</v>
      </c>
      <c r="Z848" s="53">
        <f t="shared" si="759"/>
        <v>0</v>
      </c>
      <c r="AA848" s="53">
        <f t="shared" si="760"/>
        <v>0</v>
      </c>
    </row>
    <row r="849" spans="1:27" ht="18.75" customHeight="1" outlineLevel="6" x14ac:dyDescent="0.3">
      <c r="B849" s="44"/>
      <c r="C849" s="18"/>
      <c r="D849" s="24"/>
      <c r="E849" s="29"/>
      <c r="F849" s="34"/>
      <c r="G849" s="39"/>
      <c r="H849" s="46" t="s">
        <v>862</v>
      </c>
      <c r="I849" s="46" t="s">
        <v>298</v>
      </c>
      <c r="J849" s="47" t="s">
        <v>293</v>
      </c>
      <c r="K849" s="48">
        <v>0.1</v>
      </c>
      <c r="L849" s="49">
        <f>VLOOKUP(H849,[4]Sheet2!K:P,6,0)</f>
        <v>5.9999999999999995E-5</v>
      </c>
      <c r="M849" s="50">
        <f>VLOOKUP(H849,[4]Sheet2!K:Q,7,0)</f>
        <v>1000</v>
      </c>
      <c r="N849" s="51"/>
      <c r="O849" s="51"/>
      <c r="P849" s="51"/>
      <c r="Q849" s="51"/>
      <c r="R849" s="51"/>
      <c r="S849" s="51"/>
      <c r="T849" s="51"/>
      <c r="U849" s="51"/>
      <c r="V849" s="52">
        <f>VLOOKUP(H849,[4]Sheet2!K:N,4,0)</f>
        <v>0</v>
      </c>
      <c r="W849" s="52">
        <f t="shared" si="757"/>
        <v>0</v>
      </c>
      <c r="X849" s="52">
        <f>VLOOKUP(H849,[4]Sheet2!K:N,4,0)</f>
        <v>0</v>
      </c>
      <c r="Y849" s="53">
        <f t="shared" si="758"/>
        <v>0</v>
      </c>
      <c r="Z849" s="53">
        <f t="shared" si="759"/>
        <v>0</v>
      </c>
      <c r="AA849" s="53">
        <f t="shared" si="760"/>
        <v>0</v>
      </c>
    </row>
    <row r="850" spans="1:27" ht="18.75" customHeight="1" outlineLevel="6" x14ac:dyDescent="0.3">
      <c r="B850" s="44"/>
      <c r="C850" s="18"/>
      <c r="D850" s="24"/>
      <c r="E850" s="29"/>
      <c r="F850" s="34"/>
      <c r="G850" s="39"/>
      <c r="H850" s="46" t="s">
        <v>863</v>
      </c>
      <c r="I850" s="46" t="s">
        <v>56</v>
      </c>
      <c r="J850" s="47" t="s">
        <v>293</v>
      </c>
      <c r="K850" s="48">
        <v>0.05</v>
      </c>
      <c r="L850" s="49">
        <f>VLOOKUP(H850,[4]Sheet2!K:P,6,0)</f>
        <v>2.9999999999999997E-5</v>
      </c>
      <c r="M850" s="50">
        <f>VLOOKUP(H850,[4]Sheet2!K:Q,7,0)</f>
        <v>1000</v>
      </c>
      <c r="N850" s="51"/>
      <c r="O850" s="51"/>
      <c r="P850" s="51"/>
      <c r="Q850" s="51"/>
      <c r="R850" s="51"/>
      <c r="S850" s="51"/>
      <c r="T850" s="51"/>
      <c r="U850" s="51"/>
      <c r="V850" s="52">
        <f>VLOOKUP(H850,[4]Sheet2!K:N,4,0)</f>
        <v>0</v>
      </c>
      <c r="W850" s="52">
        <f t="shared" si="757"/>
        <v>0</v>
      </c>
      <c r="X850" s="52">
        <f>VLOOKUP(H850,[4]Sheet2!K:N,4,0)</f>
        <v>0</v>
      </c>
      <c r="Y850" s="53">
        <f t="shared" si="758"/>
        <v>0</v>
      </c>
      <c r="Z850" s="53">
        <f t="shared" si="759"/>
        <v>0</v>
      </c>
      <c r="AA850" s="53">
        <f t="shared" si="760"/>
        <v>0</v>
      </c>
    </row>
    <row r="851" spans="1:27" ht="18.75" customHeight="1" outlineLevel="5" x14ac:dyDescent="0.3">
      <c r="B851" s="12"/>
      <c r="C851" s="18"/>
      <c r="D851" s="24"/>
      <c r="E851" s="29"/>
      <c r="F851" s="34"/>
      <c r="G851" s="39" t="s">
        <v>348</v>
      </c>
      <c r="H851" s="58"/>
      <c r="I851" s="58"/>
      <c r="J851" s="58"/>
      <c r="K851" s="58"/>
      <c r="L851" s="41">
        <f>SUM(L852:L856)</f>
        <v>1E-3</v>
      </c>
      <c r="M851" s="42">
        <f>M852</f>
        <v>1</v>
      </c>
      <c r="N851" s="40"/>
      <c r="O851" s="40"/>
      <c r="P851" s="40"/>
      <c r="Q851" s="40"/>
      <c r="R851" s="40"/>
      <c r="S851" s="40"/>
      <c r="T851" s="40"/>
      <c r="U851" s="40"/>
      <c r="V851" s="62">
        <f t="shared" ref="V851:X851" si="761">SUMPRODUCT(V852:V856,$K852:$K856)</f>
        <v>0</v>
      </c>
      <c r="W851" s="62">
        <f t="shared" si="761"/>
        <v>0</v>
      </c>
      <c r="X851" s="62">
        <f t="shared" si="761"/>
        <v>0</v>
      </c>
      <c r="Y851" s="43">
        <f>SUMPRODUCT(Y852:Y856,$K852:$K856)</f>
        <v>0</v>
      </c>
      <c r="Z851" s="43">
        <f t="shared" ref="Z851:AA851" si="762">SUMPRODUCT(Z852:Z856,$K852:$K856)</f>
        <v>0</v>
      </c>
      <c r="AA851" s="43">
        <f t="shared" si="762"/>
        <v>0</v>
      </c>
    </row>
    <row r="852" spans="1:27" ht="18.75" customHeight="1" outlineLevel="6" x14ac:dyDescent="0.3">
      <c r="B852" s="44"/>
      <c r="C852" s="18"/>
      <c r="D852" s="24"/>
      <c r="E852" s="29"/>
      <c r="F852" s="34"/>
      <c r="G852" s="39"/>
      <c r="H852" s="46" t="s">
        <v>864</v>
      </c>
      <c r="I852" s="46" t="s">
        <v>45</v>
      </c>
      <c r="J852" s="47" t="s">
        <v>293</v>
      </c>
      <c r="K852" s="48">
        <v>0.1</v>
      </c>
      <c r="L852" s="49">
        <f>VLOOKUP(H852,[4]Sheet2!K:P,6,0)</f>
        <v>1E-4</v>
      </c>
      <c r="M852" s="50">
        <f>VLOOKUP(H852,[4]Sheet2!K:Q,7,0)</f>
        <v>1</v>
      </c>
      <c r="N852" s="51"/>
      <c r="O852" s="51"/>
      <c r="P852" s="51"/>
      <c r="Q852" s="51"/>
      <c r="R852" s="51"/>
      <c r="S852" s="51"/>
      <c r="T852" s="51"/>
      <c r="U852" s="51"/>
      <c r="V852" s="52">
        <f>VLOOKUP(H852,[4]Sheet2!K:N,4,0)</f>
        <v>0</v>
      </c>
      <c r="W852" s="52">
        <f t="shared" ref="W852:W856" si="763">X852-V852</f>
        <v>0</v>
      </c>
      <c r="X852" s="52">
        <f>VLOOKUP(H852,[4]Sheet2!K:N,4,0)</f>
        <v>0</v>
      </c>
      <c r="Y852" s="53">
        <f t="shared" ref="Y852:Y856" si="764">IFERROR(V852/M852,1)</f>
        <v>0</v>
      </c>
      <c r="Z852" s="53">
        <f t="shared" ref="Z852:Z856" si="765">IFERROR(W852/M852,1)</f>
        <v>0</v>
      </c>
      <c r="AA852" s="53">
        <f t="shared" ref="AA852:AA856" si="766">IFERROR(X852/M852,1)</f>
        <v>0</v>
      </c>
    </row>
    <row r="853" spans="1:27" ht="18.75" customHeight="1" outlineLevel="6" x14ac:dyDescent="0.3">
      <c r="A853" s="1" t="s">
        <v>813</v>
      </c>
      <c r="B853" s="44"/>
      <c r="C853" s="18"/>
      <c r="D853" s="24"/>
      <c r="E853" s="29"/>
      <c r="F853" s="34"/>
      <c r="G853" s="39"/>
      <c r="H853" s="46" t="s">
        <v>865</v>
      </c>
      <c r="I853" s="46" t="s">
        <v>48</v>
      </c>
      <c r="J853" s="47" t="s">
        <v>293</v>
      </c>
      <c r="K853" s="48">
        <v>0.6</v>
      </c>
      <c r="L853" s="49">
        <f>VLOOKUP(H853,[4]Sheet2!K:P,6,0)</f>
        <v>6.0000000000000006E-4</v>
      </c>
      <c r="M853" s="50">
        <f>VLOOKUP(H853,[4]Sheet2!K:Q,7,0)</f>
        <v>1</v>
      </c>
      <c r="N853" s="51"/>
      <c r="O853" s="51"/>
      <c r="P853" s="51"/>
      <c r="Q853" s="51"/>
      <c r="R853" s="51"/>
      <c r="S853" s="51"/>
      <c r="T853" s="51"/>
      <c r="U853" s="51"/>
      <c r="V853" s="52">
        <f>VLOOKUP(H853,[4]Sheet2!K:N,4,0)</f>
        <v>0</v>
      </c>
      <c r="W853" s="52">
        <f t="shared" si="763"/>
        <v>0</v>
      </c>
      <c r="X853" s="52">
        <f>VLOOKUP(H853,[4]Sheet2!K:N,4,0)</f>
        <v>0</v>
      </c>
      <c r="Y853" s="53">
        <f t="shared" si="764"/>
        <v>0</v>
      </c>
      <c r="Z853" s="53">
        <f t="shared" si="765"/>
        <v>0</v>
      </c>
      <c r="AA853" s="53">
        <f t="shared" si="766"/>
        <v>0</v>
      </c>
    </row>
    <row r="854" spans="1:27" ht="18.75" customHeight="1" outlineLevel="6" x14ac:dyDescent="0.3">
      <c r="B854" s="44"/>
      <c r="C854" s="18"/>
      <c r="D854" s="24"/>
      <c r="E854" s="29"/>
      <c r="F854" s="34"/>
      <c r="G854" s="39"/>
      <c r="H854" s="46" t="s">
        <v>866</v>
      </c>
      <c r="I854" s="46" t="s">
        <v>296</v>
      </c>
      <c r="J854" s="47" t="s">
        <v>293</v>
      </c>
      <c r="K854" s="48">
        <v>0.15</v>
      </c>
      <c r="L854" s="49">
        <f>VLOOKUP(H854,[4]Sheet2!K:P,6,0)</f>
        <v>1.5000000000000001E-4</v>
      </c>
      <c r="M854" s="50">
        <f>VLOOKUP(H854,[4]Sheet2!K:Q,7,0)</f>
        <v>1</v>
      </c>
      <c r="N854" s="51"/>
      <c r="O854" s="51"/>
      <c r="P854" s="51"/>
      <c r="Q854" s="51"/>
      <c r="R854" s="51"/>
      <c r="S854" s="51"/>
      <c r="T854" s="51"/>
      <c r="U854" s="51"/>
      <c r="V854" s="52">
        <f>VLOOKUP(H854,[4]Sheet2!K:N,4,0)</f>
        <v>0</v>
      </c>
      <c r="W854" s="52">
        <f t="shared" si="763"/>
        <v>0</v>
      </c>
      <c r="X854" s="52">
        <f>VLOOKUP(H854,[4]Sheet2!K:N,4,0)</f>
        <v>0</v>
      </c>
      <c r="Y854" s="53">
        <f t="shared" si="764"/>
        <v>0</v>
      </c>
      <c r="Z854" s="53">
        <f t="shared" si="765"/>
        <v>0</v>
      </c>
      <c r="AA854" s="53">
        <f t="shared" si="766"/>
        <v>0</v>
      </c>
    </row>
    <row r="855" spans="1:27" ht="18.75" customHeight="1" outlineLevel="6" x14ac:dyDescent="0.3">
      <c r="B855" s="44"/>
      <c r="C855" s="18"/>
      <c r="D855" s="24"/>
      <c r="E855" s="29"/>
      <c r="F855" s="34"/>
      <c r="G855" s="39"/>
      <c r="H855" s="46" t="s">
        <v>867</v>
      </c>
      <c r="I855" s="46" t="s">
        <v>298</v>
      </c>
      <c r="J855" s="47" t="s">
        <v>293</v>
      </c>
      <c r="K855" s="48">
        <v>0.1</v>
      </c>
      <c r="L855" s="49">
        <f>VLOOKUP(H855,[4]Sheet2!K:P,6,0)</f>
        <v>1E-4</v>
      </c>
      <c r="M855" s="50">
        <f>VLOOKUP(H855,[4]Sheet2!K:Q,7,0)</f>
        <v>1</v>
      </c>
      <c r="N855" s="51"/>
      <c r="O855" s="51"/>
      <c r="P855" s="51"/>
      <c r="Q855" s="51"/>
      <c r="R855" s="51"/>
      <c r="S855" s="51"/>
      <c r="T855" s="51"/>
      <c r="U855" s="51"/>
      <c r="V855" s="52">
        <f>VLOOKUP(H855,[4]Sheet2!K:N,4,0)</f>
        <v>0</v>
      </c>
      <c r="W855" s="52">
        <f t="shared" si="763"/>
        <v>0</v>
      </c>
      <c r="X855" s="52">
        <f>VLOOKUP(H855,[4]Sheet2!K:N,4,0)</f>
        <v>0</v>
      </c>
      <c r="Y855" s="53">
        <f t="shared" si="764"/>
        <v>0</v>
      </c>
      <c r="Z855" s="53">
        <f t="shared" si="765"/>
        <v>0</v>
      </c>
      <c r="AA855" s="53">
        <f t="shared" si="766"/>
        <v>0</v>
      </c>
    </row>
    <row r="856" spans="1:27" ht="18.75" customHeight="1" outlineLevel="6" x14ac:dyDescent="0.3">
      <c r="B856" s="44"/>
      <c r="C856" s="18"/>
      <c r="D856" s="24"/>
      <c r="E856" s="29"/>
      <c r="F856" s="34"/>
      <c r="G856" s="39"/>
      <c r="H856" s="46" t="s">
        <v>868</v>
      </c>
      <c r="I856" s="46" t="s">
        <v>56</v>
      </c>
      <c r="J856" s="47" t="s">
        <v>293</v>
      </c>
      <c r="K856" s="48">
        <v>0.05</v>
      </c>
      <c r="L856" s="49">
        <f>VLOOKUP(H856,[4]Sheet2!K:P,6,0)</f>
        <v>5.0000000000000002E-5</v>
      </c>
      <c r="M856" s="50">
        <f>VLOOKUP(H856,[4]Sheet2!K:Q,7,0)</f>
        <v>1</v>
      </c>
      <c r="N856" s="51"/>
      <c r="O856" s="51"/>
      <c r="P856" s="51"/>
      <c r="Q856" s="51"/>
      <c r="R856" s="51"/>
      <c r="S856" s="51"/>
      <c r="T856" s="51"/>
      <c r="U856" s="51"/>
      <c r="V856" s="52">
        <f>VLOOKUP(H856,[4]Sheet2!K:N,4,0)</f>
        <v>0</v>
      </c>
      <c r="W856" s="52">
        <f t="shared" si="763"/>
        <v>0</v>
      </c>
      <c r="X856" s="52">
        <f>VLOOKUP(H856,[4]Sheet2!K:N,4,0)</f>
        <v>0</v>
      </c>
      <c r="Y856" s="53">
        <f t="shared" si="764"/>
        <v>0</v>
      </c>
      <c r="Z856" s="53">
        <f t="shared" si="765"/>
        <v>0</v>
      </c>
      <c r="AA856" s="53">
        <f t="shared" si="766"/>
        <v>0</v>
      </c>
    </row>
    <row r="857" spans="1:27" ht="18.75" customHeight="1" outlineLevel="5" x14ac:dyDescent="0.3">
      <c r="B857" s="12"/>
      <c r="C857" s="18"/>
      <c r="D857" s="24"/>
      <c r="E857" s="29"/>
      <c r="F857" s="34"/>
      <c r="G857" s="39" t="s">
        <v>354</v>
      </c>
      <c r="H857" s="58"/>
      <c r="I857" s="58"/>
      <c r="J857" s="58"/>
      <c r="K857" s="58"/>
      <c r="L857" s="41">
        <f>SUM(L858:L862)</f>
        <v>8.0000000000000004E-4</v>
      </c>
      <c r="M857" s="42">
        <f>M858</f>
        <v>1789.2</v>
      </c>
      <c r="N857" s="40"/>
      <c r="O857" s="40"/>
      <c r="P857" s="40"/>
      <c r="Q857" s="40"/>
      <c r="R857" s="40"/>
      <c r="S857" s="40"/>
      <c r="T857" s="40"/>
      <c r="U857" s="40"/>
      <c r="V857" s="62">
        <f t="shared" ref="V857:X857" si="767">SUMPRODUCT(V858:V862,$K858:$K862)</f>
        <v>0</v>
      </c>
      <c r="W857" s="62">
        <f t="shared" si="767"/>
        <v>0</v>
      </c>
      <c r="X857" s="62">
        <f t="shared" si="767"/>
        <v>0</v>
      </c>
      <c r="Y857" s="43">
        <f>SUMPRODUCT(Y858:Y862,$K858:$K862)</f>
        <v>0</v>
      </c>
      <c r="Z857" s="43">
        <f t="shared" ref="Z857:AA857" si="768">SUMPRODUCT(Z858:Z862,$K858:$K862)</f>
        <v>0</v>
      </c>
      <c r="AA857" s="43">
        <f t="shared" si="768"/>
        <v>0</v>
      </c>
    </row>
    <row r="858" spans="1:27" ht="18.75" customHeight="1" outlineLevel="6" x14ac:dyDescent="0.3">
      <c r="B858" s="44"/>
      <c r="C858" s="18"/>
      <c r="D858" s="24"/>
      <c r="E858" s="29"/>
      <c r="F858" s="34"/>
      <c r="G858" s="39"/>
      <c r="H858" s="46" t="s">
        <v>869</v>
      </c>
      <c r="I858" s="46" t="s">
        <v>45</v>
      </c>
      <c r="J858" s="47" t="s">
        <v>293</v>
      </c>
      <c r="K858" s="48">
        <v>0.1</v>
      </c>
      <c r="L858" s="49">
        <f>VLOOKUP(H858,[4]Sheet2!K:P,6,0)</f>
        <v>8.0000000000000007E-5</v>
      </c>
      <c r="M858" s="50">
        <f>VLOOKUP(H858,[4]Sheet2!K:Q,7,0)</f>
        <v>1789.2</v>
      </c>
      <c r="N858" s="51"/>
      <c r="O858" s="51"/>
      <c r="P858" s="51"/>
      <c r="Q858" s="51"/>
      <c r="R858" s="51"/>
      <c r="S858" s="51"/>
      <c r="T858" s="51"/>
      <c r="U858" s="51"/>
      <c r="V858" s="52">
        <f>VLOOKUP(H858,[4]Sheet2!K:N,4,0)</f>
        <v>0</v>
      </c>
      <c r="W858" s="52">
        <f t="shared" ref="W858:W862" si="769">X858-V858</f>
        <v>0</v>
      </c>
      <c r="X858" s="52">
        <f>VLOOKUP(H858,[4]Sheet2!K:N,4,0)</f>
        <v>0</v>
      </c>
      <c r="Y858" s="53">
        <f t="shared" ref="Y858:Y862" si="770">IFERROR(V858/M858,1)</f>
        <v>0</v>
      </c>
      <c r="Z858" s="53">
        <f t="shared" ref="Z858:Z862" si="771">IFERROR(W858/M858,1)</f>
        <v>0</v>
      </c>
      <c r="AA858" s="53">
        <f t="shared" ref="AA858:AA862" si="772">IFERROR(X858/M858,1)</f>
        <v>0</v>
      </c>
    </row>
    <row r="859" spans="1:27" ht="18.75" customHeight="1" outlineLevel="6" x14ac:dyDescent="0.3">
      <c r="A859" s="1" t="s">
        <v>813</v>
      </c>
      <c r="B859" s="44"/>
      <c r="C859" s="18"/>
      <c r="D859" s="24"/>
      <c r="E859" s="29"/>
      <c r="F859" s="34"/>
      <c r="G859" s="39"/>
      <c r="H859" s="46" t="s">
        <v>870</v>
      </c>
      <c r="I859" s="46" t="s">
        <v>48</v>
      </c>
      <c r="J859" s="47" t="s">
        <v>293</v>
      </c>
      <c r="K859" s="48">
        <v>0.6</v>
      </c>
      <c r="L859" s="49">
        <f>VLOOKUP(H859,[4]Sheet2!K:P,6,0)</f>
        <v>4.8000000000000001E-4</v>
      </c>
      <c r="M859" s="50">
        <f>VLOOKUP(H859,[4]Sheet2!K:Q,7,0)</f>
        <v>1789.2</v>
      </c>
      <c r="N859" s="51"/>
      <c r="O859" s="51"/>
      <c r="P859" s="51"/>
      <c r="Q859" s="51"/>
      <c r="R859" s="51"/>
      <c r="S859" s="51"/>
      <c r="T859" s="51"/>
      <c r="U859" s="51"/>
      <c r="V859" s="52">
        <f>VLOOKUP(H859,[4]Sheet2!K:N,4,0)</f>
        <v>0</v>
      </c>
      <c r="W859" s="52">
        <f t="shared" si="769"/>
        <v>0</v>
      </c>
      <c r="X859" s="52">
        <f>VLOOKUP(H859,[4]Sheet2!K:N,4,0)</f>
        <v>0</v>
      </c>
      <c r="Y859" s="53">
        <f t="shared" si="770"/>
        <v>0</v>
      </c>
      <c r="Z859" s="53">
        <f t="shared" si="771"/>
        <v>0</v>
      </c>
      <c r="AA859" s="53">
        <f t="shared" si="772"/>
        <v>0</v>
      </c>
    </row>
    <row r="860" spans="1:27" ht="18.75" customHeight="1" outlineLevel="6" x14ac:dyDescent="0.3">
      <c r="B860" s="44"/>
      <c r="C860" s="18"/>
      <c r="D860" s="24"/>
      <c r="E860" s="29"/>
      <c r="F860" s="34"/>
      <c r="G860" s="39"/>
      <c r="H860" s="46" t="s">
        <v>871</v>
      </c>
      <c r="I860" s="46" t="s">
        <v>296</v>
      </c>
      <c r="J860" s="47" t="s">
        <v>293</v>
      </c>
      <c r="K860" s="48">
        <v>0.15</v>
      </c>
      <c r="L860" s="49">
        <f>VLOOKUP(H860,[4]Sheet2!K:P,6,0)</f>
        <v>1.2E-4</v>
      </c>
      <c r="M860" s="50">
        <f>VLOOKUP(H860,[4]Sheet2!K:Q,7,0)</f>
        <v>1789.2</v>
      </c>
      <c r="N860" s="51"/>
      <c r="O860" s="51"/>
      <c r="P860" s="51"/>
      <c r="Q860" s="51"/>
      <c r="R860" s="51"/>
      <c r="S860" s="51"/>
      <c r="T860" s="51"/>
      <c r="U860" s="51"/>
      <c r="V860" s="52">
        <f>VLOOKUP(H860,[4]Sheet2!K:N,4,0)</f>
        <v>0</v>
      </c>
      <c r="W860" s="52">
        <f t="shared" si="769"/>
        <v>0</v>
      </c>
      <c r="X860" s="52">
        <f>VLOOKUP(H860,[4]Sheet2!K:N,4,0)</f>
        <v>0</v>
      </c>
      <c r="Y860" s="53">
        <f t="shared" si="770"/>
        <v>0</v>
      </c>
      <c r="Z860" s="53">
        <f t="shared" si="771"/>
        <v>0</v>
      </c>
      <c r="AA860" s="53">
        <f t="shared" si="772"/>
        <v>0</v>
      </c>
    </row>
    <row r="861" spans="1:27" ht="18.75" customHeight="1" outlineLevel="6" x14ac:dyDescent="0.3">
      <c r="B861" s="44"/>
      <c r="C861" s="18"/>
      <c r="D861" s="24"/>
      <c r="E861" s="29"/>
      <c r="F861" s="34"/>
      <c r="G861" s="39"/>
      <c r="H861" s="46" t="s">
        <v>872</v>
      </c>
      <c r="I861" s="46" t="s">
        <v>298</v>
      </c>
      <c r="J861" s="47" t="s">
        <v>293</v>
      </c>
      <c r="K861" s="48">
        <v>0.1</v>
      </c>
      <c r="L861" s="49">
        <f>VLOOKUP(H861,[4]Sheet2!K:P,6,0)</f>
        <v>8.0000000000000007E-5</v>
      </c>
      <c r="M861" s="50">
        <f>VLOOKUP(H861,[4]Sheet2!K:Q,7,0)</f>
        <v>1789.2</v>
      </c>
      <c r="N861" s="51"/>
      <c r="O861" s="51"/>
      <c r="P861" s="51"/>
      <c r="Q861" s="51"/>
      <c r="R861" s="51"/>
      <c r="S861" s="51"/>
      <c r="T861" s="51"/>
      <c r="U861" s="51"/>
      <c r="V861" s="52">
        <f>VLOOKUP(H861,[4]Sheet2!K:N,4,0)</f>
        <v>0</v>
      </c>
      <c r="W861" s="52">
        <f t="shared" si="769"/>
        <v>0</v>
      </c>
      <c r="X861" s="52">
        <f>VLOOKUP(H861,[4]Sheet2!K:N,4,0)</f>
        <v>0</v>
      </c>
      <c r="Y861" s="53">
        <f t="shared" si="770"/>
        <v>0</v>
      </c>
      <c r="Z861" s="53">
        <f t="shared" si="771"/>
        <v>0</v>
      </c>
      <c r="AA861" s="53">
        <f t="shared" si="772"/>
        <v>0</v>
      </c>
    </row>
    <row r="862" spans="1:27" ht="18.75" customHeight="1" outlineLevel="6" x14ac:dyDescent="0.3">
      <c r="B862" s="44"/>
      <c r="C862" s="18"/>
      <c r="D862" s="24"/>
      <c r="E862" s="29"/>
      <c r="F862" s="34"/>
      <c r="G862" s="39"/>
      <c r="H862" s="46" t="s">
        <v>873</v>
      </c>
      <c r="I862" s="46" t="s">
        <v>56</v>
      </c>
      <c r="J862" s="47" t="s">
        <v>293</v>
      </c>
      <c r="K862" s="48">
        <v>0.05</v>
      </c>
      <c r="L862" s="49">
        <f>VLOOKUP(H862,[4]Sheet2!K:P,6,0)</f>
        <v>4.0000000000000003E-5</v>
      </c>
      <c r="M862" s="50">
        <f>VLOOKUP(H862,[4]Sheet2!K:Q,7,0)</f>
        <v>1789.2</v>
      </c>
      <c r="N862" s="51"/>
      <c r="O862" s="51"/>
      <c r="P862" s="51"/>
      <c r="Q862" s="51"/>
      <c r="R862" s="51"/>
      <c r="S862" s="51"/>
      <c r="T862" s="51"/>
      <c r="U862" s="51"/>
      <c r="V862" s="52">
        <f>VLOOKUP(H862,[4]Sheet2!K:N,4,0)</f>
        <v>0</v>
      </c>
      <c r="W862" s="52">
        <f t="shared" si="769"/>
        <v>0</v>
      </c>
      <c r="X862" s="52">
        <f>VLOOKUP(H862,[4]Sheet2!K:N,4,0)</f>
        <v>0</v>
      </c>
      <c r="Y862" s="53">
        <f t="shared" si="770"/>
        <v>0</v>
      </c>
      <c r="Z862" s="53">
        <f t="shared" si="771"/>
        <v>0</v>
      </c>
      <c r="AA862" s="53">
        <f t="shared" si="772"/>
        <v>0</v>
      </c>
    </row>
    <row r="863" spans="1:27" ht="18.75" customHeight="1" outlineLevel="5" x14ac:dyDescent="0.3">
      <c r="B863" s="12"/>
      <c r="C863" s="18"/>
      <c r="D863" s="24"/>
      <c r="E863" s="29"/>
      <c r="F863" s="34"/>
      <c r="G863" s="39" t="s">
        <v>360</v>
      </c>
      <c r="H863" s="58"/>
      <c r="I863" s="58"/>
      <c r="J863" s="58"/>
      <c r="K863" s="58"/>
      <c r="L863" s="41">
        <f>SUM(L864:L868)</f>
        <v>1.4999999999999998E-3</v>
      </c>
      <c r="M863" s="42">
        <f>M864</f>
        <v>13550</v>
      </c>
      <c r="N863" s="40"/>
      <c r="O863" s="40"/>
      <c r="P863" s="40"/>
      <c r="Q863" s="40"/>
      <c r="R863" s="40"/>
      <c r="S863" s="40"/>
      <c r="T863" s="40"/>
      <c r="U863" s="40"/>
      <c r="V863" s="62">
        <f t="shared" ref="V863:X863" si="773">SUMPRODUCT(V864:V868,$K864:$K868)</f>
        <v>0</v>
      </c>
      <c r="W863" s="62">
        <f t="shared" si="773"/>
        <v>0</v>
      </c>
      <c r="X863" s="62">
        <f t="shared" si="773"/>
        <v>0</v>
      </c>
      <c r="Y863" s="43">
        <f>SUMPRODUCT(Y864:Y868,$K864:$K868)</f>
        <v>0</v>
      </c>
      <c r="Z863" s="43">
        <f t="shared" ref="Z863:AA863" si="774">SUMPRODUCT(Z864:Z868,$K864:$K868)</f>
        <v>0</v>
      </c>
      <c r="AA863" s="43">
        <f t="shared" si="774"/>
        <v>0</v>
      </c>
    </row>
    <row r="864" spans="1:27" ht="18.75" customHeight="1" outlineLevel="6" x14ac:dyDescent="0.3">
      <c r="B864" s="44"/>
      <c r="C864" s="18"/>
      <c r="D864" s="24"/>
      <c r="E864" s="29"/>
      <c r="F864" s="34"/>
      <c r="G864" s="39"/>
      <c r="H864" s="46" t="s">
        <v>874</v>
      </c>
      <c r="I864" s="46" t="s">
        <v>45</v>
      </c>
      <c r="J864" s="47" t="s">
        <v>293</v>
      </c>
      <c r="K864" s="48">
        <v>0.1</v>
      </c>
      <c r="L864" s="49">
        <f>VLOOKUP(H864,[4]Sheet2!K:P,6,0)</f>
        <v>1.5000000000000001E-4</v>
      </c>
      <c r="M864" s="50">
        <f>VLOOKUP(H864,[4]Sheet2!K:Q,7,0)</f>
        <v>13550</v>
      </c>
      <c r="N864" s="51"/>
      <c r="O864" s="51"/>
      <c r="P864" s="51"/>
      <c r="Q864" s="51"/>
      <c r="R864" s="51"/>
      <c r="S864" s="51"/>
      <c r="T864" s="51"/>
      <c r="U864" s="51"/>
      <c r="V864" s="52">
        <f>VLOOKUP(H864,[4]Sheet2!K:N,4,0)</f>
        <v>0</v>
      </c>
      <c r="W864" s="52">
        <f t="shared" ref="W864:W868" si="775">X864-V864</f>
        <v>0</v>
      </c>
      <c r="X864" s="52">
        <f>VLOOKUP(H864,[4]Sheet2!K:N,4,0)</f>
        <v>0</v>
      </c>
      <c r="Y864" s="53">
        <f t="shared" ref="Y864:Y868" si="776">IFERROR(V864/M864,1)</f>
        <v>0</v>
      </c>
      <c r="Z864" s="53">
        <f t="shared" ref="Z864:Z868" si="777">IFERROR(W864/M864,1)</f>
        <v>0</v>
      </c>
      <c r="AA864" s="53">
        <f t="shared" ref="AA864:AA868" si="778">IFERROR(X864/M864,1)</f>
        <v>0</v>
      </c>
    </row>
    <row r="865" spans="1:27" ht="18.75" customHeight="1" outlineLevel="6" x14ac:dyDescent="0.3">
      <c r="A865" s="1" t="s">
        <v>813</v>
      </c>
      <c r="B865" s="44"/>
      <c r="C865" s="18"/>
      <c r="D865" s="24"/>
      <c r="E865" s="29"/>
      <c r="F865" s="34"/>
      <c r="G865" s="39"/>
      <c r="H865" s="46" t="s">
        <v>875</v>
      </c>
      <c r="I865" s="46" t="s">
        <v>48</v>
      </c>
      <c r="J865" s="47" t="s">
        <v>293</v>
      </c>
      <c r="K865" s="48">
        <v>0.6</v>
      </c>
      <c r="L865" s="49">
        <f>VLOOKUP(H865,[4]Sheet2!K:P,6,0)</f>
        <v>8.9999999999999998E-4</v>
      </c>
      <c r="M865" s="50">
        <f>VLOOKUP(H865,[4]Sheet2!K:Q,7,0)</f>
        <v>13550</v>
      </c>
      <c r="N865" s="51"/>
      <c r="O865" s="51"/>
      <c r="P865" s="51"/>
      <c r="Q865" s="51"/>
      <c r="R865" s="51"/>
      <c r="S865" s="51"/>
      <c r="T865" s="51"/>
      <c r="U865" s="51"/>
      <c r="V865" s="52">
        <f>VLOOKUP(H865,[4]Sheet2!K:N,4,0)</f>
        <v>0</v>
      </c>
      <c r="W865" s="52">
        <f t="shared" si="775"/>
        <v>0</v>
      </c>
      <c r="X865" s="52">
        <f>VLOOKUP(H865,[4]Sheet2!K:N,4,0)</f>
        <v>0</v>
      </c>
      <c r="Y865" s="53">
        <f t="shared" si="776"/>
        <v>0</v>
      </c>
      <c r="Z865" s="53">
        <f t="shared" si="777"/>
        <v>0</v>
      </c>
      <c r="AA865" s="53">
        <f t="shared" si="778"/>
        <v>0</v>
      </c>
    </row>
    <row r="866" spans="1:27" ht="18.75" customHeight="1" outlineLevel="6" x14ac:dyDescent="0.3">
      <c r="B866" s="44"/>
      <c r="C866" s="18"/>
      <c r="D866" s="24"/>
      <c r="E866" s="29"/>
      <c r="F866" s="34"/>
      <c r="G866" s="39"/>
      <c r="H866" s="46" t="s">
        <v>876</v>
      </c>
      <c r="I866" s="46" t="s">
        <v>296</v>
      </c>
      <c r="J866" s="47" t="s">
        <v>293</v>
      </c>
      <c r="K866" s="48">
        <v>0.15</v>
      </c>
      <c r="L866" s="49">
        <f>VLOOKUP(H866,[4]Sheet2!K:P,6,0)</f>
        <v>2.2499999999999999E-4</v>
      </c>
      <c r="M866" s="50">
        <f>VLOOKUP(H866,[4]Sheet2!K:Q,7,0)</f>
        <v>13550</v>
      </c>
      <c r="N866" s="51"/>
      <c r="O866" s="51"/>
      <c r="P866" s="51"/>
      <c r="Q866" s="51"/>
      <c r="R866" s="51"/>
      <c r="S866" s="51"/>
      <c r="T866" s="51"/>
      <c r="U866" s="51"/>
      <c r="V866" s="52">
        <f>VLOOKUP(H866,[4]Sheet2!K:N,4,0)</f>
        <v>0</v>
      </c>
      <c r="W866" s="52">
        <f t="shared" si="775"/>
        <v>0</v>
      </c>
      <c r="X866" s="52">
        <f>VLOOKUP(H866,[4]Sheet2!K:N,4,0)</f>
        <v>0</v>
      </c>
      <c r="Y866" s="53">
        <f t="shared" si="776"/>
        <v>0</v>
      </c>
      <c r="Z866" s="53">
        <f t="shared" si="777"/>
        <v>0</v>
      </c>
      <c r="AA866" s="53">
        <f t="shared" si="778"/>
        <v>0</v>
      </c>
    </row>
    <row r="867" spans="1:27" ht="18.75" customHeight="1" outlineLevel="6" x14ac:dyDescent="0.3">
      <c r="B867" s="44"/>
      <c r="C867" s="18"/>
      <c r="D867" s="24"/>
      <c r="E867" s="29"/>
      <c r="F867" s="34"/>
      <c r="G867" s="39"/>
      <c r="H867" s="46" t="s">
        <v>877</v>
      </c>
      <c r="I867" s="46" t="s">
        <v>298</v>
      </c>
      <c r="J867" s="47" t="s">
        <v>293</v>
      </c>
      <c r="K867" s="48">
        <v>0.1</v>
      </c>
      <c r="L867" s="49">
        <f>VLOOKUP(H867,[4]Sheet2!K:P,6,0)</f>
        <v>1.5000000000000001E-4</v>
      </c>
      <c r="M867" s="50">
        <f>VLOOKUP(H867,[4]Sheet2!K:Q,7,0)</f>
        <v>13550</v>
      </c>
      <c r="N867" s="51"/>
      <c r="O867" s="51"/>
      <c r="P867" s="51"/>
      <c r="Q867" s="51"/>
      <c r="R867" s="51"/>
      <c r="S867" s="51"/>
      <c r="T867" s="51"/>
      <c r="U867" s="51"/>
      <c r="V867" s="52">
        <f>VLOOKUP(H867,[4]Sheet2!K:N,4,0)</f>
        <v>0</v>
      </c>
      <c r="W867" s="52">
        <f t="shared" si="775"/>
        <v>0</v>
      </c>
      <c r="X867" s="52">
        <f>VLOOKUP(H867,[4]Sheet2!K:N,4,0)</f>
        <v>0</v>
      </c>
      <c r="Y867" s="53">
        <f t="shared" si="776"/>
        <v>0</v>
      </c>
      <c r="Z867" s="53">
        <f t="shared" si="777"/>
        <v>0</v>
      </c>
      <c r="AA867" s="53">
        <f t="shared" si="778"/>
        <v>0</v>
      </c>
    </row>
    <row r="868" spans="1:27" ht="18.75" customHeight="1" outlineLevel="6" x14ac:dyDescent="0.3">
      <c r="B868" s="44"/>
      <c r="C868" s="18"/>
      <c r="D868" s="24"/>
      <c r="E868" s="29"/>
      <c r="F868" s="34"/>
      <c r="G868" s="39"/>
      <c r="H868" s="46" t="s">
        <v>878</v>
      </c>
      <c r="I868" s="46" t="s">
        <v>56</v>
      </c>
      <c r="J868" s="47" t="s">
        <v>293</v>
      </c>
      <c r="K868" s="48">
        <v>0.05</v>
      </c>
      <c r="L868" s="49">
        <f>VLOOKUP(H868,[4]Sheet2!K:P,6,0)</f>
        <v>7.5000000000000007E-5</v>
      </c>
      <c r="M868" s="50">
        <f>VLOOKUP(H868,[4]Sheet2!K:Q,7,0)</f>
        <v>13550</v>
      </c>
      <c r="N868" s="51"/>
      <c r="O868" s="51"/>
      <c r="P868" s="51"/>
      <c r="Q868" s="51"/>
      <c r="R868" s="51"/>
      <c r="S868" s="51"/>
      <c r="T868" s="51"/>
      <c r="U868" s="51"/>
      <c r="V868" s="52">
        <f>VLOOKUP(H868,[4]Sheet2!K:N,4,0)</f>
        <v>0</v>
      </c>
      <c r="W868" s="52">
        <f t="shared" si="775"/>
        <v>0</v>
      </c>
      <c r="X868" s="52">
        <f>VLOOKUP(H868,[4]Sheet2!K:N,4,0)</f>
        <v>0</v>
      </c>
      <c r="Y868" s="53">
        <f t="shared" si="776"/>
        <v>0</v>
      </c>
      <c r="Z868" s="53">
        <f t="shared" si="777"/>
        <v>0</v>
      </c>
      <c r="AA868" s="53">
        <f t="shared" si="778"/>
        <v>0</v>
      </c>
    </row>
    <row r="869" spans="1:27" ht="18.75" customHeight="1" outlineLevel="5" x14ac:dyDescent="0.3">
      <c r="B869" s="12"/>
      <c r="C869" s="18"/>
      <c r="D869" s="24"/>
      <c r="E869" s="29"/>
      <c r="F869" s="34"/>
      <c r="G869" s="39" t="s">
        <v>366</v>
      </c>
      <c r="H869" s="58"/>
      <c r="I869" s="58"/>
      <c r="J869" s="58"/>
      <c r="K869" s="58"/>
      <c r="L869" s="41">
        <f>SUM(L870:L874)</f>
        <v>8.0000000000000004E-4</v>
      </c>
      <c r="M869" s="42">
        <f>M870</f>
        <v>1840</v>
      </c>
      <c r="N869" s="40"/>
      <c r="O869" s="40"/>
      <c r="P869" s="40"/>
      <c r="Q869" s="40"/>
      <c r="R869" s="40"/>
      <c r="S869" s="40"/>
      <c r="T869" s="40"/>
      <c r="U869" s="40"/>
      <c r="V869" s="62">
        <f t="shared" ref="V869:X869" si="779">SUMPRODUCT(V870:V874,$K870:$K874)</f>
        <v>0</v>
      </c>
      <c r="W869" s="62">
        <f t="shared" si="779"/>
        <v>0</v>
      </c>
      <c r="X869" s="62">
        <f t="shared" si="779"/>
        <v>0</v>
      </c>
      <c r="Y869" s="43">
        <f>SUMPRODUCT(Y870:Y874,$K870:$K874)</f>
        <v>0</v>
      </c>
      <c r="Z869" s="43">
        <f t="shared" ref="Z869:AA869" si="780">SUMPRODUCT(Z870:Z874,$K870:$K874)</f>
        <v>0</v>
      </c>
      <c r="AA869" s="43">
        <f t="shared" si="780"/>
        <v>0</v>
      </c>
    </row>
    <row r="870" spans="1:27" ht="18.75" customHeight="1" outlineLevel="6" x14ac:dyDescent="0.3">
      <c r="B870" s="44"/>
      <c r="C870" s="18"/>
      <c r="D870" s="24"/>
      <c r="E870" s="29"/>
      <c r="F870" s="34"/>
      <c r="G870" s="39"/>
      <c r="H870" s="46" t="s">
        <v>879</v>
      </c>
      <c r="I870" s="46" t="s">
        <v>45</v>
      </c>
      <c r="J870" s="47" t="s">
        <v>293</v>
      </c>
      <c r="K870" s="48">
        <v>0.1</v>
      </c>
      <c r="L870" s="49">
        <f>VLOOKUP(H870,[4]Sheet2!K:P,6,0)</f>
        <v>8.0000000000000007E-5</v>
      </c>
      <c r="M870" s="50">
        <f>VLOOKUP(H870,[4]Sheet2!K:Q,7,0)</f>
        <v>1840</v>
      </c>
      <c r="N870" s="51"/>
      <c r="O870" s="51"/>
      <c r="P870" s="51"/>
      <c r="Q870" s="51"/>
      <c r="R870" s="51"/>
      <c r="S870" s="51"/>
      <c r="T870" s="51"/>
      <c r="U870" s="51"/>
      <c r="V870" s="52">
        <f>VLOOKUP(H870,[4]Sheet2!K:N,4,0)</f>
        <v>0</v>
      </c>
      <c r="W870" s="52">
        <f t="shared" ref="W870:W874" si="781">X870-V870</f>
        <v>0</v>
      </c>
      <c r="X870" s="52">
        <f>VLOOKUP(H870,[4]Sheet2!K:N,4,0)</f>
        <v>0</v>
      </c>
      <c r="Y870" s="53">
        <f t="shared" ref="Y870:Y874" si="782">IFERROR(V870/M870,1)</f>
        <v>0</v>
      </c>
      <c r="Z870" s="53">
        <f t="shared" ref="Z870:Z874" si="783">IFERROR(W870/M870,1)</f>
        <v>0</v>
      </c>
      <c r="AA870" s="53">
        <f t="shared" ref="AA870:AA874" si="784">IFERROR(X870/M870,1)</f>
        <v>0</v>
      </c>
    </row>
    <row r="871" spans="1:27" ht="18.75" customHeight="1" outlineLevel="6" x14ac:dyDescent="0.3">
      <c r="A871" s="1" t="s">
        <v>813</v>
      </c>
      <c r="B871" s="44"/>
      <c r="C871" s="18"/>
      <c r="D871" s="24"/>
      <c r="E871" s="29"/>
      <c r="F871" s="34"/>
      <c r="G871" s="39"/>
      <c r="H871" s="46" t="s">
        <v>880</v>
      </c>
      <c r="I871" s="46" t="s">
        <v>48</v>
      </c>
      <c r="J871" s="47" t="s">
        <v>293</v>
      </c>
      <c r="K871" s="48">
        <v>0.6</v>
      </c>
      <c r="L871" s="49">
        <f>VLOOKUP(H871,[4]Sheet2!K:P,6,0)</f>
        <v>4.8000000000000001E-4</v>
      </c>
      <c r="M871" s="50">
        <f>VLOOKUP(H871,[4]Sheet2!K:Q,7,0)</f>
        <v>1840</v>
      </c>
      <c r="N871" s="51"/>
      <c r="O871" s="51"/>
      <c r="P871" s="51"/>
      <c r="Q871" s="51"/>
      <c r="R871" s="51"/>
      <c r="S871" s="51"/>
      <c r="T871" s="51"/>
      <c r="U871" s="51"/>
      <c r="V871" s="52">
        <f>VLOOKUP(H871,[4]Sheet2!K:N,4,0)</f>
        <v>0</v>
      </c>
      <c r="W871" s="52">
        <f t="shared" si="781"/>
        <v>0</v>
      </c>
      <c r="X871" s="52">
        <f>VLOOKUP(H871,[4]Sheet2!K:N,4,0)</f>
        <v>0</v>
      </c>
      <c r="Y871" s="53">
        <f t="shared" si="782"/>
        <v>0</v>
      </c>
      <c r="Z871" s="53">
        <f t="shared" si="783"/>
        <v>0</v>
      </c>
      <c r="AA871" s="53">
        <f t="shared" si="784"/>
        <v>0</v>
      </c>
    </row>
    <row r="872" spans="1:27" ht="18.75" customHeight="1" outlineLevel="6" x14ac:dyDescent="0.3">
      <c r="B872" s="44"/>
      <c r="C872" s="18"/>
      <c r="D872" s="24"/>
      <c r="E872" s="29"/>
      <c r="F872" s="34"/>
      <c r="G872" s="39"/>
      <c r="H872" s="46" t="s">
        <v>881</v>
      </c>
      <c r="I872" s="46" t="s">
        <v>296</v>
      </c>
      <c r="J872" s="47" t="s">
        <v>293</v>
      </c>
      <c r="K872" s="48">
        <v>0.15</v>
      </c>
      <c r="L872" s="49">
        <f>VLOOKUP(H872,[4]Sheet2!K:P,6,0)</f>
        <v>1.2E-4</v>
      </c>
      <c r="M872" s="50">
        <f>VLOOKUP(H872,[4]Sheet2!K:Q,7,0)</f>
        <v>1840</v>
      </c>
      <c r="N872" s="51"/>
      <c r="O872" s="51"/>
      <c r="P872" s="51"/>
      <c r="Q872" s="51"/>
      <c r="R872" s="51"/>
      <c r="S872" s="51"/>
      <c r="T872" s="51"/>
      <c r="U872" s="51"/>
      <c r="V872" s="52">
        <f>VLOOKUP(H872,[4]Sheet2!K:N,4,0)</f>
        <v>0</v>
      </c>
      <c r="W872" s="52">
        <f t="shared" si="781"/>
        <v>0</v>
      </c>
      <c r="X872" s="52">
        <f>VLOOKUP(H872,[4]Sheet2!K:N,4,0)</f>
        <v>0</v>
      </c>
      <c r="Y872" s="53">
        <f t="shared" si="782"/>
        <v>0</v>
      </c>
      <c r="Z872" s="53">
        <f t="shared" si="783"/>
        <v>0</v>
      </c>
      <c r="AA872" s="53">
        <f t="shared" si="784"/>
        <v>0</v>
      </c>
    </row>
    <row r="873" spans="1:27" ht="18.75" customHeight="1" outlineLevel="6" x14ac:dyDescent="0.3">
      <c r="B873" s="44"/>
      <c r="C873" s="18"/>
      <c r="D873" s="24"/>
      <c r="E873" s="29"/>
      <c r="F873" s="34"/>
      <c r="G873" s="39"/>
      <c r="H873" s="46" t="s">
        <v>882</v>
      </c>
      <c r="I873" s="46" t="s">
        <v>298</v>
      </c>
      <c r="J873" s="47" t="s">
        <v>293</v>
      </c>
      <c r="K873" s="48">
        <v>0.1</v>
      </c>
      <c r="L873" s="49">
        <f>VLOOKUP(H873,[4]Sheet2!K:P,6,0)</f>
        <v>8.0000000000000007E-5</v>
      </c>
      <c r="M873" s="50">
        <f>VLOOKUP(H873,[4]Sheet2!K:Q,7,0)</f>
        <v>1840</v>
      </c>
      <c r="N873" s="51"/>
      <c r="O873" s="51"/>
      <c r="P873" s="51"/>
      <c r="Q873" s="51"/>
      <c r="R873" s="51"/>
      <c r="S873" s="51"/>
      <c r="T873" s="51"/>
      <c r="U873" s="51"/>
      <c r="V873" s="52">
        <f>VLOOKUP(H873,[4]Sheet2!K:N,4,0)</f>
        <v>0</v>
      </c>
      <c r="W873" s="52">
        <f t="shared" si="781"/>
        <v>0</v>
      </c>
      <c r="X873" s="52">
        <f>VLOOKUP(H873,[4]Sheet2!K:N,4,0)</f>
        <v>0</v>
      </c>
      <c r="Y873" s="53">
        <f t="shared" si="782"/>
        <v>0</v>
      </c>
      <c r="Z873" s="53">
        <f t="shared" si="783"/>
        <v>0</v>
      </c>
      <c r="AA873" s="53">
        <f t="shared" si="784"/>
        <v>0</v>
      </c>
    </row>
    <row r="874" spans="1:27" ht="18.75" customHeight="1" outlineLevel="6" x14ac:dyDescent="0.3">
      <c r="B874" s="44"/>
      <c r="C874" s="18"/>
      <c r="D874" s="24"/>
      <c r="E874" s="29"/>
      <c r="F874" s="34"/>
      <c r="G874" s="39"/>
      <c r="H874" s="46" t="s">
        <v>883</v>
      </c>
      <c r="I874" s="46" t="s">
        <v>56</v>
      </c>
      <c r="J874" s="47" t="s">
        <v>293</v>
      </c>
      <c r="K874" s="48">
        <v>0.05</v>
      </c>
      <c r="L874" s="49">
        <f>VLOOKUP(H874,[4]Sheet2!K:P,6,0)</f>
        <v>4.0000000000000003E-5</v>
      </c>
      <c r="M874" s="50">
        <f>VLOOKUP(H874,[4]Sheet2!K:Q,7,0)</f>
        <v>1840</v>
      </c>
      <c r="N874" s="51"/>
      <c r="O874" s="51"/>
      <c r="P874" s="51"/>
      <c r="Q874" s="51"/>
      <c r="R874" s="51"/>
      <c r="S874" s="51"/>
      <c r="T874" s="51"/>
      <c r="U874" s="51"/>
      <c r="V874" s="52">
        <f>VLOOKUP(H874,[4]Sheet2!K:N,4,0)</f>
        <v>0</v>
      </c>
      <c r="W874" s="52">
        <f t="shared" si="781"/>
        <v>0</v>
      </c>
      <c r="X874" s="52">
        <f>VLOOKUP(H874,[4]Sheet2!K:N,4,0)</f>
        <v>0</v>
      </c>
      <c r="Y874" s="53">
        <f t="shared" si="782"/>
        <v>0</v>
      </c>
      <c r="Z874" s="53">
        <f t="shared" si="783"/>
        <v>0</v>
      </c>
      <c r="AA874" s="53">
        <f t="shared" si="784"/>
        <v>0</v>
      </c>
    </row>
    <row r="875" spans="1:27" ht="18.75" customHeight="1" outlineLevel="4" x14ac:dyDescent="0.3">
      <c r="B875" s="12"/>
      <c r="C875" s="18"/>
      <c r="D875" s="24"/>
      <c r="E875" s="29"/>
      <c r="F875" s="34" t="s">
        <v>372</v>
      </c>
      <c r="G875" s="34"/>
      <c r="H875" s="57"/>
      <c r="I875" s="57"/>
      <c r="J875" s="57"/>
      <c r="K875" s="57"/>
      <c r="L875" s="36">
        <f>L876</f>
        <v>8.0000000000000002E-3</v>
      </c>
      <c r="M875" s="37">
        <f>M876</f>
        <v>5068</v>
      </c>
      <c r="N875" s="35"/>
      <c r="O875" s="35"/>
      <c r="P875" s="35"/>
      <c r="Q875" s="35"/>
      <c r="R875" s="35"/>
      <c r="S875" s="35"/>
      <c r="T875" s="35"/>
      <c r="U875" s="35"/>
      <c r="V875" s="61">
        <f t="shared" ref="V875:X875" si="785">(V876*$L876)/$L875</f>
        <v>1393.8200000000002</v>
      </c>
      <c r="W875" s="61">
        <f t="shared" si="785"/>
        <v>0</v>
      </c>
      <c r="X875" s="61">
        <f t="shared" si="785"/>
        <v>1393.8200000000002</v>
      </c>
      <c r="Y875" s="38">
        <f>(Y876*$L876)/$L875</f>
        <v>0.27502367797947913</v>
      </c>
      <c r="Z875" s="38">
        <f t="shared" ref="Z875:AA875" si="786">(Z876*$L876)/$L875</f>
        <v>0</v>
      </c>
      <c r="AA875" s="38">
        <f t="shared" si="786"/>
        <v>0.27502367797947913</v>
      </c>
    </row>
    <row r="876" spans="1:27" ht="18.75" customHeight="1" outlineLevel="5" x14ac:dyDescent="0.3">
      <c r="B876" s="12"/>
      <c r="C876" s="18"/>
      <c r="D876" s="24"/>
      <c r="E876" s="29"/>
      <c r="F876" s="34"/>
      <c r="G876" s="39" t="s">
        <v>373</v>
      </c>
      <c r="H876" s="58"/>
      <c r="I876" s="58"/>
      <c r="J876" s="58"/>
      <c r="K876" s="58"/>
      <c r="L876" s="41">
        <f>SUM(L877:L881)</f>
        <v>8.0000000000000002E-3</v>
      </c>
      <c r="M876" s="42">
        <f>M877</f>
        <v>5068</v>
      </c>
      <c r="N876" s="40"/>
      <c r="O876" s="40"/>
      <c r="P876" s="40"/>
      <c r="Q876" s="40"/>
      <c r="R876" s="40"/>
      <c r="S876" s="40"/>
      <c r="T876" s="40"/>
      <c r="U876" s="40"/>
      <c r="V876" s="62">
        <f t="shared" ref="V876:X876" si="787">SUMPRODUCT(V877:V881,$K877:$K881)</f>
        <v>1393.8200000000002</v>
      </c>
      <c r="W876" s="62">
        <f t="shared" si="787"/>
        <v>0</v>
      </c>
      <c r="X876" s="62">
        <f t="shared" si="787"/>
        <v>1393.8200000000002</v>
      </c>
      <c r="Y876" s="43">
        <f>SUMPRODUCT(Y877:Y881,$K877:$K881)</f>
        <v>0.27502367797947913</v>
      </c>
      <c r="Z876" s="43">
        <f t="shared" ref="Z876:AA876" si="788">SUMPRODUCT(Z877:Z881,$K877:$K881)</f>
        <v>0</v>
      </c>
      <c r="AA876" s="43">
        <f t="shared" si="788"/>
        <v>0.27502367797947913</v>
      </c>
    </row>
    <row r="877" spans="1:27" ht="18.75" customHeight="1" outlineLevel="6" x14ac:dyDescent="0.3">
      <c r="B877" s="44"/>
      <c r="C877" s="18"/>
      <c r="D877" s="24"/>
      <c r="E877" s="29"/>
      <c r="F877" s="34"/>
      <c r="G877" s="39"/>
      <c r="H877" s="46" t="s">
        <v>884</v>
      </c>
      <c r="I877" s="46" t="s">
        <v>45</v>
      </c>
      <c r="J877" s="47" t="s">
        <v>30</v>
      </c>
      <c r="K877" s="48">
        <v>0.05</v>
      </c>
      <c r="L877" s="49">
        <f>VLOOKUP(H877,[4]Sheet2!K:P,6,0)</f>
        <v>4.0000000000000002E-4</v>
      </c>
      <c r="M877" s="50">
        <f>VLOOKUP(H877,[4]Sheet2!K:Q,7,0)</f>
        <v>5068</v>
      </c>
      <c r="N877" s="51"/>
      <c r="O877" s="51"/>
      <c r="P877" s="51"/>
      <c r="Q877" s="51"/>
      <c r="R877" s="51"/>
      <c r="S877" s="51"/>
      <c r="T877" s="51"/>
      <c r="U877" s="51"/>
      <c r="V877" s="52">
        <f>VLOOKUP(H877,[4]Sheet2!K:N,4,0)</f>
        <v>2027.2</v>
      </c>
      <c r="W877" s="52">
        <f t="shared" ref="W877:W881" si="789">X877-V877</f>
        <v>0</v>
      </c>
      <c r="X877" s="52">
        <f>VLOOKUP(H877,[4]Sheet2!K:N,4,0)</f>
        <v>2027.2</v>
      </c>
      <c r="Y877" s="53">
        <f t="shared" ref="Y877:Y881" si="790">IFERROR(V877/M877,1)</f>
        <v>0.4</v>
      </c>
      <c r="Z877" s="53">
        <f t="shared" ref="Z877:Z881" si="791">IFERROR(W877/M877,1)</f>
        <v>0</v>
      </c>
      <c r="AA877" s="53">
        <f t="shared" ref="AA877:AA881" si="792">IFERROR(X877/M877,1)</f>
        <v>0.4</v>
      </c>
    </row>
    <row r="878" spans="1:27" ht="18.75" customHeight="1" outlineLevel="6" x14ac:dyDescent="0.3">
      <c r="A878" s="1" t="s">
        <v>885</v>
      </c>
      <c r="B878" s="44"/>
      <c r="C878" s="18"/>
      <c r="D878" s="24"/>
      <c r="E878" s="29"/>
      <c r="F878" s="34"/>
      <c r="G878" s="39"/>
      <c r="H878" s="46" t="s">
        <v>886</v>
      </c>
      <c r="I878" s="46" t="s">
        <v>283</v>
      </c>
      <c r="J878" s="47" t="s">
        <v>30</v>
      </c>
      <c r="K878" s="48">
        <v>0.55000000000000004</v>
      </c>
      <c r="L878" s="49">
        <f>VLOOKUP(H878,[4]Sheet2!K:P,6,0)</f>
        <v>4.4000000000000003E-3</v>
      </c>
      <c r="M878" s="50">
        <f>VLOOKUP(H878,[4]Sheet2!K:Q,7,0)</f>
        <v>5068</v>
      </c>
      <c r="N878" s="51"/>
      <c r="O878" s="51"/>
      <c r="P878" s="51"/>
      <c r="Q878" s="51"/>
      <c r="R878" s="51"/>
      <c r="S878" s="51"/>
      <c r="T878" s="51"/>
      <c r="U878" s="51"/>
      <c r="V878" s="52">
        <f>VLOOKUP(H878,[4]Sheet2!K:N,4,0)</f>
        <v>2027.2</v>
      </c>
      <c r="W878" s="52">
        <f t="shared" si="789"/>
        <v>0</v>
      </c>
      <c r="X878" s="52">
        <f>VLOOKUP(H878,[4]Sheet2!K:N,4,0)</f>
        <v>2027.2</v>
      </c>
      <c r="Y878" s="53">
        <f t="shared" si="790"/>
        <v>0.4</v>
      </c>
      <c r="Z878" s="53">
        <f t="shared" si="791"/>
        <v>0</v>
      </c>
      <c r="AA878" s="53">
        <f t="shared" si="792"/>
        <v>0.4</v>
      </c>
    </row>
    <row r="879" spans="1:27" ht="18.75" customHeight="1" outlineLevel="6" x14ac:dyDescent="0.3">
      <c r="B879" s="44"/>
      <c r="C879" s="18"/>
      <c r="D879" s="24"/>
      <c r="E879" s="29"/>
      <c r="F879" s="34"/>
      <c r="G879" s="39"/>
      <c r="H879" s="46" t="s">
        <v>887</v>
      </c>
      <c r="I879" s="46" t="s">
        <v>296</v>
      </c>
      <c r="J879" s="47" t="s">
        <v>30</v>
      </c>
      <c r="K879" s="48">
        <v>0.25</v>
      </c>
      <c r="L879" s="49">
        <f>VLOOKUP(H879,[4]Sheet2!K:P,6,0)</f>
        <v>2E-3</v>
      </c>
      <c r="M879" s="50">
        <f>VLOOKUP(H879,[4]Sheet2!K:Q,7,0)</f>
        <v>5068</v>
      </c>
      <c r="N879" s="51"/>
      <c r="O879" s="51"/>
      <c r="P879" s="51"/>
      <c r="Q879" s="51"/>
      <c r="R879" s="51"/>
      <c r="S879" s="51"/>
      <c r="T879" s="51"/>
      <c r="U879" s="51"/>
      <c r="V879" s="52">
        <f>VLOOKUP(H879,[4]Sheet2!K:N,4,0)</f>
        <v>710</v>
      </c>
      <c r="W879" s="52">
        <f t="shared" si="789"/>
        <v>0</v>
      </c>
      <c r="X879" s="52">
        <f>VLOOKUP(H879,[4]Sheet2!K:N,4,0)</f>
        <v>710</v>
      </c>
      <c r="Y879" s="53">
        <f t="shared" si="790"/>
        <v>0.14009471191791634</v>
      </c>
      <c r="Z879" s="53">
        <f t="shared" si="791"/>
        <v>0</v>
      </c>
      <c r="AA879" s="53">
        <f t="shared" si="792"/>
        <v>0.14009471191791634</v>
      </c>
    </row>
    <row r="880" spans="1:27" ht="18.75" customHeight="1" outlineLevel="6" x14ac:dyDescent="0.3">
      <c r="B880" s="44"/>
      <c r="C880" s="18"/>
      <c r="D880" s="24"/>
      <c r="E880" s="29"/>
      <c r="F880" s="34"/>
      <c r="G880" s="39"/>
      <c r="H880" s="46" t="s">
        <v>888</v>
      </c>
      <c r="I880" s="46" t="s">
        <v>71</v>
      </c>
      <c r="J880" s="47" t="s">
        <v>30</v>
      </c>
      <c r="K880" s="48">
        <v>0.1</v>
      </c>
      <c r="L880" s="49">
        <f>VLOOKUP(H880,[4]Sheet2!K:P,6,0)</f>
        <v>8.0000000000000004E-4</v>
      </c>
      <c r="M880" s="50">
        <f>VLOOKUP(H880,[4]Sheet2!K:Q,7,0)</f>
        <v>5068</v>
      </c>
      <c r="N880" s="51"/>
      <c r="O880" s="51"/>
      <c r="P880" s="51"/>
      <c r="Q880" s="51"/>
      <c r="R880" s="51"/>
      <c r="S880" s="51"/>
      <c r="T880" s="51"/>
      <c r="U880" s="51"/>
      <c r="V880" s="52">
        <f>VLOOKUP(H880,[4]Sheet2!K:N,4,0)</f>
        <v>0</v>
      </c>
      <c r="W880" s="52">
        <f t="shared" si="789"/>
        <v>0</v>
      </c>
      <c r="X880" s="52">
        <f>VLOOKUP(H880,[4]Sheet2!K:N,4,0)</f>
        <v>0</v>
      </c>
      <c r="Y880" s="53">
        <f t="shared" si="790"/>
        <v>0</v>
      </c>
      <c r="Z880" s="53">
        <f t="shared" si="791"/>
        <v>0</v>
      </c>
      <c r="AA880" s="53">
        <f t="shared" si="792"/>
        <v>0</v>
      </c>
    </row>
    <row r="881" spans="1:27" ht="18.75" customHeight="1" outlineLevel="6" x14ac:dyDescent="0.3">
      <c r="B881" s="44"/>
      <c r="C881" s="18"/>
      <c r="D881" s="24"/>
      <c r="E881" s="29"/>
      <c r="F881" s="34"/>
      <c r="G881" s="39"/>
      <c r="H881" s="46" t="s">
        <v>889</v>
      </c>
      <c r="I881" s="46" t="s">
        <v>56</v>
      </c>
      <c r="J881" s="47" t="s">
        <v>30</v>
      </c>
      <c r="K881" s="48">
        <v>0.05</v>
      </c>
      <c r="L881" s="49">
        <f>VLOOKUP(H881,[4]Sheet2!K:P,6,0)</f>
        <v>4.0000000000000002E-4</v>
      </c>
      <c r="M881" s="50">
        <f>VLOOKUP(H881,[4]Sheet2!K:Q,7,0)</f>
        <v>5068</v>
      </c>
      <c r="N881" s="51"/>
      <c r="O881" s="51"/>
      <c r="P881" s="51"/>
      <c r="Q881" s="51"/>
      <c r="R881" s="51"/>
      <c r="S881" s="51"/>
      <c r="T881" s="51"/>
      <c r="U881" s="51"/>
      <c r="V881" s="52">
        <f>VLOOKUP(H881,[4]Sheet2!K:N,4,0)</f>
        <v>0</v>
      </c>
      <c r="W881" s="52">
        <f t="shared" si="789"/>
        <v>0</v>
      </c>
      <c r="X881" s="52">
        <f>VLOOKUP(H881,[4]Sheet2!K:N,4,0)</f>
        <v>0</v>
      </c>
      <c r="Y881" s="53">
        <f t="shared" si="790"/>
        <v>0</v>
      </c>
      <c r="Z881" s="53">
        <f t="shared" si="791"/>
        <v>0</v>
      </c>
      <c r="AA881" s="53">
        <f t="shared" si="792"/>
        <v>0</v>
      </c>
    </row>
    <row r="882" spans="1:27" ht="18.75" customHeight="1" outlineLevel="3" x14ac:dyDescent="0.3">
      <c r="B882" s="12"/>
      <c r="C882" s="18"/>
      <c r="D882" s="24"/>
      <c r="E882" s="29" t="s">
        <v>380</v>
      </c>
      <c r="F882" s="29"/>
      <c r="G882" s="29"/>
      <c r="H882" s="56"/>
      <c r="I882" s="56"/>
      <c r="J882" s="56"/>
      <c r="K882" s="56"/>
      <c r="L882" s="31">
        <f>L883</f>
        <v>5.4999999999999993E-2</v>
      </c>
      <c r="M882" s="32">
        <f>M883</f>
        <v>230164.2</v>
      </c>
      <c r="N882" s="30"/>
      <c r="O882" s="30"/>
      <c r="P882" s="30"/>
      <c r="Q882" s="30"/>
      <c r="R882" s="30"/>
      <c r="S882" s="30"/>
      <c r="T882" s="30"/>
      <c r="U882" s="30"/>
      <c r="V882" s="63">
        <f>V883</f>
        <v>117856.30100000001</v>
      </c>
      <c r="W882" s="63">
        <f t="shared" ref="W882:AA882" si="793">W883</f>
        <v>0</v>
      </c>
      <c r="X882" s="63">
        <f t="shared" si="793"/>
        <v>117856.30100000001</v>
      </c>
      <c r="Y882" s="33">
        <f t="shared" si="793"/>
        <v>0.45152144252777027</v>
      </c>
      <c r="Z882" s="33">
        <f t="shared" si="793"/>
        <v>0</v>
      </c>
      <c r="AA882" s="33">
        <f t="shared" si="793"/>
        <v>0.45152144252777027</v>
      </c>
    </row>
    <row r="883" spans="1:27" ht="18.75" customHeight="1" outlineLevel="4" x14ac:dyDescent="0.3">
      <c r="B883" s="12"/>
      <c r="C883" s="18"/>
      <c r="D883" s="24"/>
      <c r="E883" s="29"/>
      <c r="F883" s="34" t="s">
        <v>381</v>
      </c>
      <c r="G883" s="34"/>
      <c r="H883" s="57"/>
      <c r="I883" s="57"/>
      <c r="J883" s="57"/>
      <c r="K883" s="57"/>
      <c r="L883" s="36">
        <f>L884+L890+L896+L902+L908+L914+L920+L926+L932+L938+L944+L950</f>
        <v>5.4999999999999993E-2</v>
      </c>
      <c r="M883" s="37">
        <f>M884+M890+M896+M902+M908+M914+M920+M926+M932+M938+M944+M950</f>
        <v>230164.2</v>
      </c>
      <c r="N883" s="35"/>
      <c r="O883" s="35"/>
      <c r="P883" s="35"/>
      <c r="Q883" s="35"/>
      <c r="R883" s="35"/>
      <c r="S883" s="35"/>
      <c r="T883" s="35"/>
      <c r="U883" s="35"/>
      <c r="V883" s="61">
        <f>(V884+V890+V896+V902+V908+V914+V920+V926+V932+V938+V944+V950)</f>
        <v>117856.30100000001</v>
      </c>
      <c r="W883" s="61">
        <f t="shared" ref="W883" si="794">(W884*$L884+W890*$L890+W896*$L896+W902*$L902+W908*$L908+W914*$L914+W920*$L920+W926*$L926+W932*$L932+W938*$L938+W944*$L944+W950*$L950)/$L883</f>
        <v>0</v>
      </c>
      <c r="X883" s="61">
        <f>(X884+X890+X896+X902+X908+X914+X920+X926+X932+X938+X944+X950)</f>
        <v>117856.30100000001</v>
      </c>
      <c r="Y883" s="59">
        <f>(Y884*$L884+Y890*$L890+Y896*$L896+Y902*$L902+Y908*$L908+Y914*$L914+Y920*$L920+Y926*$L926+Y932*$L932+Y938*$L938+Y944*$L944+Y950*$L950)/$L883</f>
        <v>0.45152144252777027</v>
      </c>
      <c r="Z883" s="59">
        <f t="shared" ref="Z883:AA883" si="795">(Z884*$L884+Z890*$L890+Z896*$L896+Z902*$L902+Z908*$L908+Z914*$L914+Z920*$L920+Z926*$L926+Z932*$L932+Z938*$L938+Z944*$L944+Z950*$L950)/$L883</f>
        <v>0</v>
      </c>
      <c r="AA883" s="59">
        <f t="shared" si="795"/>
        <v>0.45152144252777027</v>
      </c>
    </row>
    <row r="884" spans="1:27" ht="18.75" customHeight="1" outlineLevel="5" x14ac:dyDescent="0.3">
      <c r="B884" s="12"/>
      <c r="C884" s="18"/>
      <c r="D884" s="24"/>
      <c r="E884" s="29"/>
      <c r="F884" s="34"/>
      <c r="G884" s="39" t="s">
        <v>382</v>
      </c>
      <c r="H884" s="58"/>
      <c r="I884" s="58"/>
      <c r="J884" s="58"/>
      <c r="K884" s="58"/>
      <c r="L884" s="41">
        <f>SUM(L885:L889)</f>
        <v>4.5000000000000005E-3</v>
      </c>
      <c r="M884" s="42">
        <f>M885</f>
        <v>10128.6</v>
      </c>
      <c r="N884" s="40"/>
      <c r="O884" s="40"/>
      <c r="P884" s="40"/>
      <c r="Q884" s="40"/>
      <c r="R884" s="40"/>
      <c r="S884" s="40"/>
      <c r="T884" s="40"/>
      <c r="U884" s="40"/>
      <c r="V884" s="62">
        <f t="shared" ref="V884:X884" si="796">SUMPRODUCT(V885:V889,$K885:$K889)</f>
        <v>0</v>
      </c>
      <c r="W884" s="62">
        <f t="shared" si="796"/>
        <v>0</v>
      </c>
      <c r="X884" s="62">
        <f t="shared" si="796"/>
        <v>0</v>
      </c>
      <c r="Y884" s="43">
        <f>SUMPRODUCT(Y885:Y889,$K885:$K889)</f>
        <v>0</v>
      </c>
      <c r="Z884" s="43">
        <f t="shared" ref="Z884:AA884" si="797">SUMPRODUCT(Z885:Z889,$K885:$K889)</f>
        <v>0</v>
      </c>
      <c r="AA884" s="43">
        <f t="shared" si="797"/>
        <v>0</v>
      </c>
    </row>
    <row r="885" spans="1:27" ht="18.75" customHeight="1" outlineLevel="6" x14ac:dyDescent="0.3">
      <c r="B885" s="44"/>
      <c r="C885" s="18"/>
      <c r="D885" s="24"/>
      <c r="E885" s="29"/>
      <c r="F885" s="34"/>
      <c r="G885" s="39"/>
      <c r="H885" s="46" t="s">
        <v>890</v>
      </c>
      <c r="I885" s="46" t="s">
        <v>45</v>
      </c>
      <c r="J885" s="47" t="s">
        <v>293</v>
      </c>
      <c r="K885" s="48">
        <v>0.1</v>
      </c>
      <c r="L885" s="49">
        <f>VLOOKUP(H885,[4]Sheet2!K:P,6,0)</f>
        <v>4.5000000000000004E-4</v>
      </c>
      <c r="M885" s="50">
        <f>VLOOKUP(H885,[4]Sheet2!K:Q,7,0)</f>
        <v>10128.6</v>
      </c>
      <c r="N885" s="51"/>
      <c r="O885" s="51"/>
      <c r="P885" s="51"/>
      <c r="Q885" s="51"/>
      <c r="R885" s="51"/>
      <c r="S885" s="51"/>
      <c r="T885" s="51"/>
      <c r="U885" s="51"/>
      <c r="V885" s="52">
        <f>VLOOKUP(H885,[4]Sheet2!K:N,4,0)</f>
        <v>0</v>
      </c>
      <c r="W885" s="52">
        <f t="shared" ref="W885:W889" si="798">X885-V885</f>
        <v>0</v>
      </c>
      <c r="X885" s="52">
        <f>VLOOKUP(H885,[4]Sheet2!K:N,4,0)</f>
        <v>0</v>
      </c>
      <c r="Y885" s="53">
        <f t="shared" ref="Y885:Y889" si="799">IFERROR(V885/M885,1)</f>
        <v>0</v>
      </c>
      <c r="Z885" s="53">
        <f t="shared" ref="Z885:Z889" si="800">IFERROR(W885/M885,1)</f>
        <v>0</v>
      </c>
      <c r="AA885" s="53">
        <f t="shared" ref="AA885:AA889" si="801">IFERROR(X885/M885,1)</f>
        <v>0</v>
      </c>
    </row>
    <row r="886" spans="1:27" ht="18.75" customHeight="1" outlineLevel="6" x14ac:dyDescent="0.3">
      <c r="A886" s="1" t="s">
        <v>891</v>
      </c>
      <c r="B886" s="44"/>
      <c r="C886" s="18"/>
      <c r="D886" s="24"/>
      <c r="E886" s="29"/>
      <c r="F886" s="34"/>
      <c r="G886" s="39"/>
      <c r="H886" s="46" t="s">
        <v>892</v>
      </c>
      <c r="I886" s="46" t="s">
        <v>48</v>
      </c>
      <c r="J886" s="47" t="s">
        <v>293</v>
      </c>
      <c r="K886" s="48">
        <v>0.6</v>
      </c>
      <c r="L886" s="49">
        <f>VLOOKUP(H886,[4]Sheet2!K:P,6,0)</f>
        <v>2.7000000000000001E-3</v>
      </c>
      <c r="M886" s="50">
        <f>VLOOKUP(H886,[4]Sheet2!K:Q,7,0)</f>
        <v>10128.6</v>
      </c>
      <c r="N886" s="51"/>
      <c r="O886" s="51"/>
      <c r="P886" s="51"/>
      <c r="Q886" s="51"/>
      <c r="R886" s="51"/>
      <c r="S886" s="51"/>
      <c r="T886" s="51"/>
      <c r="U886" s="51"/>
      <c r="V886" s="52">
        <f>VLOOKUP(H886,[4]Sheet2!K:N,4,0)</f>
        <v>0</v>
      </c>
      <c r="W886" s="52">
        <f t="shared" si="798"/>
        <v>0</v>
      </c>
      <c r="X886" s="52">
        <f>VLOOKUP(H886,[4]Sheet2!K:N,4,0)</f>
        <v>0</v>
      </c>
      <c r="Y886" s="53">
        <f t="shared" si="799"/>
        <v>0</v>
      </c>
      <c r="Z886" s="53">
        <f t="shared" si="800"/>
        <v>0</v>
      </c>
      <c r="AA886" s="53">
        <f t="shared" si="801"/>
        <v>0</v>
      </c>
    </row>
    <row r="887" spans="1:27" ht="18.75" customHeight="1" outlineLevel="6" x14ac:dyDescent="0.3">
      <c r="B887" s="44"/>
      <c r="C887" s="18"/>
      <c r="D887" s="24"/>
      <c r="E887" s="29"/>
      <c r="F887" s="34"/>
      <c r="G887" s="39"/>
      <c r="H887" s="46" t="s">
        <v>893</v>
      </c>
      <c r="I887" s="46" t="s">
        <v>296</v>
      </c>
      <c r="J887" s="47" t="s">
        <v>293</v>
      </c>
      <c r="K887" s="48">
        <v>0.15</v>
      </c>
      <c r="L887" s="49">
        <f>VLOOKUP(H887,[4]Sheet2!K:P,6,0)</f>
        <v>6.7500000000000004E-4</v>
      </c>
      <c r="M887" s="50">
        <f>VLOOKUP(H887,[4]Sheet2!K:Q,7,0)</f>
        <v>10128.6</v>
      </c>
      <c r="N887" s="51"/>
      <c r="O887" s="51"/>
      <c r="P887" s="51"/>
      <c r="Q887" s="51"/>
      <c r="R887" s="51"/>
      <c r="S887" s="51"/>
      <c r="T887" s="51"/>
      <c r="U887" s="51"/>
      <c r="V887" s="52">
        <f>VLOOKUP(H887,[4]Sheet2!K:N,4,0)</f>
        <v>0</v>
      </c>
      <c r="W887" s="52">
        <f t="shared" si="798"/>
        <v>0</v>
      </c>
      <c r="X887" s="52">
        <f>VLOOKUP(H887,[4]Sheet2!K:N,4,0)</f>
        <v>0</v>
      </c>
      <c r="Y887" s="53">
        <f t="shared" si="799"/>
        <v>0</v>
      </c>
      <c r="Z887" s="53">
        <f t="shared" si="800"/>
        <v>0</v>
      </c>
      <c r="AA887" s="53">
        <f t="shared" si="801"/>
        <v>0</v>
      </c>
    </row>
    <row r="888" spans="1:27" ht="18.75" customHeight="1" outlineLevel="6" x14ac:dyDescent="0.3">
      <c r="B888" s="44"/>
      <c r="C888" s="18"/>
      <c r="D888" s="24"/>
      <c r="E888" s="29"/>
      <c r="F888" s="34"/>
      <c r="G888" s="39"/>
      <c r="H888" s="46" t="s">
        <v>894</v>
      </c>
      <c r="I888" s="46" t="s">
        <v>298</v>
      </c>
      <c r="J888" s="47" t="s">
        <v>293</v>
      </c>
      <c r="K888" s="48">
        <v>0.1</v>
      </c>
      <c r="L888" s="49">
        <f>VLOOKUP(H888,[4]Sheet2!K:P,6,0)</f>
        <v>4.5000000000000004E-4</v>
      </c>
      <c r="M888" s="50">
        <f>VLOOKUP(H888,[4]Sheet2!K:Q,7,0)</f>
        <v>10128.6</v>
      </c>
      <c r="N888" s="51"/>
      <c r="O888" s="51"/>
      <c r="P888" s="51"/>
      <c r="Q888" s="51"/>
      <c r="R888" s="51"/>
      <c r="S888" s="51"/>
      <c r="T888" s="51"/>
      <c r="U888" s="51"/>
      <c r="V888" s="52">
        <f>VLOOKUP(H888,[4]Sheet2!K:N,4,0)</f>
        <v>0</v>
      </c>
      <c r="W888" s="52">
        <f t="shared" si="798"/>
        <v>0</v>
      </c>
      <c r="X888" s="52">
        <f>VLOOKUP(H888,[4]Sheet2!K:N,4,0)</f>
        <v>0</v>
      </c>
      <c r="Y888" s="53">
        <f t="shared" si="799"/>
        <v>0</v>
      </c>
      <c r="Z888" s="53">
        <f t="shared" si="800"/>
        <v>0</v>
      </c>
      <c r="AA888" s="53">
        <f t="shared" si="801"/>
        <v>0</v>
      </c>
    </row>
    <row r="889" spans="1:27" ht="18.75" customHeight="1" outlineLevel="6" x14ac:dyDescent="0.3">
      <c r="B889" s="44"/>
      <c r="C889" s="18"/>
      <c r="D889" s="24"/>
      <c r="E889" s="29"/>
      <c r="F889" s="34"/>
      <c r="G889" s="39"/>
      <c r="H889" s="46" t="s">
        <v>895</v>
      </c>
      <c r="I889" s="46" t="s">
        <v>56</v>
      </c>
      <c r="J889" s="47" t="s">
        <v>293</v>
      </c>
      <c r="K889" s="48">
        <v>0.05</v>
      </c>
      <c r="L889" s="49">
        <f>VLOOKUP(H889,[4]Sheet2!K:P,6,0)</f>
        <v>2.2500000000000002E-4</v>
      </c>
      <c r="M889" s="50">
        <f>VLOOKUP(H889,[4]Sheet2!K:Q,7,0)</f>
        <v>10128.6</v>
      </c>
      <c r="N889" s="51"/>
      <c r="O889" s="51"/>
      <c r="P889" s="51"/>
      <c r="Q889" s="51"/>
      <c r="R889" s="51"/>
      <c r="S889" s="51"/>
      <c r="T889" s="51"/>
      <c r="U889" s="51"/>
      <c r="V889" s="52">
        <f>VLOOKUP(H889,[4]Sheet2!K:N,4,0)</f>
        <v>0</v>
      </c>
      <c r="W889" s="52">
        <f t="shared" si="798"/>
        <v>0</v>
      </c>
      <c r="X889" s="52">
        <f>VLOOKUP(H889,[4]Sheet2!K:N,4,0)</f>
        <v>0</v>
      </c>
      <c r="Y889" s="53">
        <f t="shared" si="799"/>
        <v>0</v>
      </c>
      <c r="Z889" s="53">
        <f t="shared" si="800"/>
        <v>0</v>
      </c>
      <c r="AA889" s="53">
        <f t="shared" si="801"/>
        <v>0</v>
      </c>
    </row>
    <row r="890" spans="1:27" ht="18.75" customHeight="1" outlineLevel="5" x14ac:dyDescent="0.3">
      <c r="B890" s="12"/>
      <c r="C890" s="18"/>
      <c r="D890" s="24"/>
      <c r="E890" s="29"/>
      <c r="F890" s="34"/>
      <c r="G890" s="39" t="s">
        <v>389</v>
      </c>
      <c r="H890" s="58"/>
      <c r="I890" s="58"/>
      <c r="J890" s="58"/>
      <c r="K890" s="58"/>
      <c r="L890" s="41">
        <f>SUM(L891:L895)</f>
        <v>4.5000000000000005E-3</v>
      </c>
      <c r="M890" s="42">
        <f>M891</f>
        <v>14628.6</v>
      </c>
      <c r="N890" s="40"/>
      <c r="O890" s="40"/>
      <c r="P890" s="40"/>
      <c r="Q890" s="40"/>
      <c r="R890" s="40"/>
      <c r="S890" s="40"/>
      <c r="T890" s="40"/>
      <c r="U890" s="40"/>
      <c r="V890" s="62">
        <f t="shared" ref="V890:X890" si="802">SUMPRODUCT(V891:V895,$K891:$K895)</f>
        <v>512.00099999999998</v>
      </c>
      <c r="W890" s="62">
        <f t="shared" si="802"/>
        <v>0</v>
      </c>
      <c r="X890" s="62">
        <f t="shared" si="802"/>
        <v>512.00099999999998</v>
      </c>
      <c r="Y890" s="43">
        <f>SUMPRODUCT(Y891:Y895,$K891:$K895)</f>
        <v>3.5000000000000003E-2</v>
      </c>
      <c r="Z890" s="43">
        <f t="shared" ref="Z890:AA890" si="803">SUMPRODUCT(Z891:Z895,$K891:$K895)</f>
        <v>0</v>
      </c>
      <c r="AA890" s="43">
        <f t="shared" si="803"/>
        <v>3.5000000000000003E-2</v>
      </c>
    </row>
    <row r="891" spans="1:27" ht="18.75" customHeight="1" outlineLevel="6" x14ac:dyDescent="0.3">
      <c r="B891" s="44"/>
      <c r="C891" s="18"/>
      <c r="D891" s="24"/>
      <c r="E891" s="29"/>
      <c r="F891" s="34"/>
      <c r="G891" s="39"/>
      <c r="H891" s="46" t="s">
        <v>896</v>
      </c>
      <c r="I891" s="46" t="s">
        <v>45</v>
      </c>
      <c r="J891" s="47" t="s">
        <v>293</v>
      </c>
      <c r="K891" s="48">
        <v>0.1</v>
      </c>
      <c r="L891" s="49">
        <f>VLOOKUP(H891,[4]Sheet2!K:P,6,0)</f>
        <v>4.5000000000000004E-4</v>
      </c>
      <c r="M891" s="50">
        <f>VLOOKUP(H891,[4]Sheet2!K:Q,7,0)</f>
        <v>14628.6</v>
      </c>
      <c r="N891" s="51"/>
      <c r="O891" s="51"/>
      <c r="P891" s="51"/>
      <c r="Q891" s="51"/>
      <c r="R891" s="51"/>
      <c r="S891" s="51"/>
      <c r="T891" s="51"/>
      <c r="U891" s="51"/>
      <c r="V891" s="52">
        <f>VLOOKUP(H891,[4]Sheet2!K:N,4,0)</f>
        <v>731.43000000000006</v>
      </c>
      <c r="W891" s="52">
        <f t="shared" ref="W891:W895" si="804">X891-V891</f>
        <v>0</v>
      </c>
      <c r="X891" s="52">
        <f>VLOOKUP(H891,[4]Sheet2!K:N,4,0)</f>
        <v>731.43000000000006</v>
      </c>
      <c r="Y891" s="53">
        <f t="shared" ref="Y891:Y895" si="805">IFERROR(V891/M891,1)</f>
        <v>0.05</v>
      </c>
      <c r="Z891" s="53">
        <f t="shared" ref="Z891:Z895" si="806">IFERROR(W891/M891,1)</f>
        <v>0</v>
      </c>
      <c r="AA891" s="53">
        <f t="shared" ref="AA891:AA895" si="807">IFERROR(X891/M891,1)</f>
        <v>0.05</v>
      </c>
    </row>
    <row r="892" spans="1:27" ht="18.75" customHeight="1" outlineLevel="6" x14ac:dyDescent="0.3">
      <c r="A892" s="1" t="s">
        <v>891</v>
      </c>
      <c r="B892" s="44"/>
      <c r="C892" s="18"/>
      <c r="D892" s="24"/>
      <c r="E892" s="29"/>
      <c r="F892" s="34"/>
      <c r="G892" s="39"/>
      <c r="H892" s="46" t="s">
        <v>897</v>
      </c>
      <c r="I892" s="46" t="s">
        <v>48</v>
      </c>
      <c r="J892" s="47" t="s">
        <v>293</v>
      </c>
      <c r="K892" s="48">
        <v>0.6</v>
      </c>
      <c r="L892" s="49">
        <f>VLOOKUP(H892,[4]Sheet2!K:P,6,0)</f>
        <v>2.7000000000000001E-3</v>
      </c>
      <c r="M892" s="50">
        <f>VLOOKUP(H892,[4]Sheet2!K:Q,7,0)</f>
        <v>14628.6</v>
      </c>
      <c r="N892" s="51"/>
      <c r="O892" s="51"/>
      <c r="P892" s="51"/>
      <c r="Q892" s="51"/>
      <c r="R892" s="51"/>
      <c r="S892" s="51"/>
      <c r="T892" s="51"/>
      <c r="U892" s="51"/>
      <c r="V892" s="52">
        <f>VLOOKUP(H892,[4]Sheet2!K:N,4,0)</f>
        <v>731.43000000000006</v>
      </c>
      <c r="W892" s="52">
        <f t="shared" si="804"/>
        <v>0</v>
      </c>
      <c r="X892" s="52">
        <f>VLOOKUP(H892,[4]Sheet2!K:N,4,0)</f>
        <v>731.43000000000006</v>
      </c>
      <c r="Y892" s="53">
        <f t="shared" si="805"/>
        <v>0.05</v>
      </c>
      <c r="Z892" s="53">
        <f t="shared" si="806"/>
        <v>0</v>
      </c>
      <c r="AA892" s="53">
        <f t="shared" si="807"/>
        <v>0.05</v>
      </c>
    </row>
    <row r="893" spans="1:27" ht="18.75" customHeight="1" outlineLevel="6" x14ac:dyDescent="0.3">
      <c r="B893" s="44"/>
      <c r="C893" s="18"/>
      <c r="D893" s="24"/>
      <c r="E893" s="29"/>
      <c r="F893" s="34"/>
      <c r="G893" s="39"/>
      <c r="H893" s="46" t="s">
        <v>898</v>
      </c>
      <c r="I893" s="46" t="s">
        <v>296</v>
      </c>
      <c r="J893" s="47" t="s">
        <v>293</v>
      </c>
      <c r="K893" s="48">
        <v>0.15</v>
      </c>
      <c r="L893" s="49">
        <f>VLOOKUP(H893,[4]Sheet2!K:P,6,0)</f>
        <v>6.7500000000000004E-4</v>
      </c>
      <c r="M893" s="50">
        <f>VLOOKUP(H893,[4]Sheet2!K:Q,7,0)</f>
        <v>14628.6</v>
      </c>
      <c r="N893" s="51"/>
      <c r="O893" s="51"/>
      <c r="P893" s="51"/>
      <c r="Q893" s="51"/>
      <c r="R893" s="51"/>
      <c r="S893" s="51"/>
      <c r="T893" s="51"/>
      <c r="U893" s="51"/>
      <c r="V893" s="52">
        <f>VLOOKUP(H893,[4]Sheet2!K:N,4,0)</f>
        <v>0</v>
      </c>
      <c r="W893" s="52">
        <f t="shared" si="804"/>
        <v>0</v>
      </c>
      <c r="X893" s="52">
        <f>VLOOKUP(H893,[4]Sheet2!K:N,4,0)</f>
        <v>0</v>
      </c>
      <c r="Y893" s="53">
        <f t="shared" si="805"/>
        <v>0</v>
      </c>
      <c r="Z893" s="53">
        <f t="shared" si="806"/>
        <v>0</v>
      </c>
      <c r="AA893" s="53">
        <f t="shared" si="807"/>
        <v>0</v>
      </c>
    </row>
    <row r="894" spans="1:27" ht="18.75" customHeight="1" outlineLevel="6" x14ac:dyDescent="0.3">
      <c r="B894" s="44"/>
      <c r="C894" s="18"/>
      <c r="D894" s="24"/>
      <c r="E894" s="29"/>
      <c r="F894" s="34"/>
      <c r="G894" s="39"/>
      <c r="H894" s="46" t="s">
        <v>899</v>
      </c>
      <c r="I894" s="46" t="s">
        <v>298</v>
      </c>
      <c r="J894" s="47" t="s">
        <v>293</v>
      </c>
      <c r="K894" s="48">
        <v>0.1</v>
      </c>
      <c r="L894" s="49">
        <f>VLOOKUP(H894,[4]Sheet2!K:P,6,0)</f>
        <v>4.5000000000000004E-4</v>
      </c>
      <c r="M894" s="50">
        <f>VLOOKUP(H894,[4]Sheet2!K:Q,7,0)</f>
        <v>14628.6</v>
      </c>
      <c r="N894" s="51"/>
      <c r="O894" s="51"/>
      <c r="P894" s="51"/>
      <c r="Q894" s="51"/>
      <c r="R894" s="51"/>
      <c r="S894" s="51"/>
      <c r="T894" s="51"/>
      <c r="U894" s="51"/>
      <c r="V894" s="52">
        <f>VLOOKUP(H894,[4]Sheet2!K:N,4,0)</f>
        <v>0</v>
      </c>
      <c r="W894" s="52">
        <f t="shared" si="804"/>
        <v>0</v>
      </c>
      <c r="X894" s="52">
        <f>VLOOKUP(H894,[4]Sheet2!K:N,4,0)</f>
        <v>0</v>
      </c>
      <c r="Y894" s="53">
        <f t="shared" si="805"/>
        <v>0</v>
      </c>
      <c r="Z894" s="53">
        <f t="shared" si="806"/>
        <v>0</v>
      </c>
      <c r="AA894" s="53">
        <f t="shared" si="807"/>
        <v>0</v>
      </c>
    </row>
    <row r="895" spans="1:27" ht="18.75" customHeight="1" outlineLevel="6" x14ac:dyDescent="0.3">
      <c r="B895" s="44"/>
      <c r="C895" s="18"/>
      <c r="D895" s="24"/>
      <c r="E895" s="29"/>
      <c r="F895" s="34"/>
      <c r="G895" s="39"/>
      <c r="H895" s="46" t="s">
        <v>900</v>
      </c>
      <c r="I895" s="46" t="s">
        <v>56</v>
      </c>
      <c r="J895" s="47" t="s">
        <v>293</v>
      </c>
      <c r="K895" s="48">
        <v>0.05</v>
      </c>
      <c r="L895" s="49">
        <f>VLOOKUP(H895,[4]Sheet2!K:P,6,0)</f>
        <v>2.2500000000000002E-4</v>
      </c>
      <c r="M895" s="50">
        <f>VLOOKUP(H895,[4]Sheet2!K:Q,7,0)</f>
        <v>14628.6</v>
      </c>
      <c r="N895" s="51"/>
      <c r="O895" s="51"/>
      <c r="P895" s="51"/>
      <c r="Q895" s="51"/>
      <c r="R895" s="51"/>
      <c r="S895" s="51"/>
      <c r="T895" s="51"/>
      <c r="U895" s="51"/>
      <c r="V895" s="52">
        <f>VLOOKUP(H895,[4]Sheet2!K:N,4,0)</f>
        <v>0</v>
      </c>
      <c r="W895" s="52">
        <f t="shared" si="804"/>
        <v>0</v>
      </c>
      <c r="X895" s="52">
        <f>VLOOKUP(H895,[4]Sheet2!K:N,4,0)</f>
        <v>0</v>
      </c>
      <c r="Y895" s="53">
        <f t="shared" si="805"/>
        <v>0</v>
      </c>
      <c r="Z895" s="53">
        <f t="shared" si="806"/>
        <v>0</v>
      </c>
      <c r="AA895" s="53">
        <f t="shared" si="807"/>
        <v>0</v>
      </c>
    </row>
    <row r="896" spans="1:27" ht="18.75" customHeight="1" outlineLevel="5" x14ac:dyDescent="0.3">
      <c r="B896" s="12"/>
      <c r="C896" s="18"/>
      <c r="D896" s="24"/>
      <c r="E896" s="29"/>
      <c r="F896" s="34"/>
      <c r="G896" s="39" t="s">
        <v>395</v>
      </c>
      <c r="H896" s="58"/>
      <c r="I896" s="58"/>
      <c r="J896" s="58"/>
      <c r="K896" s="58"/>
      <c r="L896" s="41">
        <f>SUM(L897:L901)</f>
        <v>4.8999999999999998E-3</v>
      </c>
      <c r="M896" s="42">
        <f>M897</f>
        <v>17100</v>
      </c>
      <c r="N896" s="40"/>
      <c r="O896" s="40"/>
      <c r="P896" s="40"/>
      <c r="Q896" s="40"/>
      <c r="R896" s="40"/>
      <c r="S896" s="40"/>
      <c r="T896" s="40"/>
      <c r="U896" s="40"/>
      <c r="V896" s="62">
        <f t="shared" ref="V896:X896" si="808">SUMPRODUCT(V897:V901,$K897:$K901)</f>
        <v>14745.5</v>
      </c>
      <c r="W896" s="62">
        <f t="shared" si="808"/>
        <v>0</v>
      </c>
      <c r="X896" s="62">
        <f t="shared" si="808"/>
        <v>14745.5</v>
      </c>
      <c r="Y896" s="43">
        <f>SUMPRODUCT(Y897:Y901,$K897:$K901)</f>
        <v>0.8623099415204678</v>
      </c>
      <c r="Z896" s="43">
        <f t="shared" ref="Z896:AA896" si="809">SUMPRODUCT(Z897:Z901,$K897:$K901)</f>
        <v>0</v>
      </c>
      <c r="AA896" s="43">
        <f t="shared" si="809"/>
        <v>0.8623099415204678</v>
      </c>
    </row>
    <row r="897" spans="1:27" ht="18.75" customHeight="1" outlineLevel="6" x14ac:dyDescent="0.3">
      <c r="B897" s="44"/>
      <c r="C897" s="18"/>
      <c r="D897" s="24"/>
      <c r="E897" s="29"/>
      <c r="F897" s="34"/>
      <c r="G897" s="39"/>
      <c r="H897" s="46" t="s">
        <v>901</v>
      </c>
      <c r="I897" s="46" t="s">
        <v>45</v>
      </c>
      <c r="J897" s="47" t="s">
        <v>293</v>
      </c>
      <c r="K897" s="48">
        <v>0.1</v>
      </c>
      <c r="L897" s="49">
        <f>VLOOKUP(H897,[4]Sheet2!K:P,6,0)</f>
        <v>4.8999999999999998E-4</v>
      </c>
      <c r="M897" s="50">
        <f>VLOOKUP(H897,[4]Sheet2!K:Q,7,0)</f>
        <v>17100</v>
      </c>
      <c r="N897" s="51"/>
      <c r="O897" s="51"/>
      <c r="P897" s="51"/>
      <c r="Q897" s="51"/>
      <c r="R897" s="51"/>
      <c r="S897" s="51"/>
      <c r="T897" s="51"/>
      <c r="U897" s="51"/>
      <c r="V897" s="52">
        <f>VLOOKUP(H897,[4]Sheet2!K:N,4,0)</f>
        <v>17100</v>
      </c>
      <c r="W897" s="52">
        <f t="shared" ref="W897:W901" si="810">X897-V897</f>
        <v>0</v>
      </c>
      <c r="X897" s="52">
        <f>VLOOKUP(H897,[4]Sheet2!K:N,4,0)</f>
        <v>17100</v>
      </c>
      <c r="Y897" s="53">
        <f t="shared" ref="Y897:Y901" si="811">IFERROR(V897/M897,1)</f>
        <v>1</v>
      </c>
      <c r="Z897" s="53">
        <f t="shared" ref="Z897:Z901" si="812">IFERROR(W897/M897,1)</f>
        <v>0</v>
      </c>
      <c r="AA897" s="53">
        <f t="shared" ref="AA897:AA901" si="813">IFERROR(X897/M897,1)</f>
        <v>1</v>
      </c>
    </row>
    <row r="898" spans="1:27" ht="18.75" customHeight="1" outlineLevel="6" x14ac:dyDescent="0.3">
      <c r="A898" s="1" t="s">
        <v>891</v>
      </c>
      <c r="B898" s="44"/>
      <c r="C898" s="18"/>
      <c r="D898" s="24"/>
      <c r="E898" s="29"/>
      <c r="F898" s="34"/>
      <c r="G898" s="39"/>
      <c r="H898" s="46" t="s">
        <v>902</v>
      </c>
      <c r="I898" s="46" t="s">
        <v>48</v>
      </c>
      <c r="J898" s="47" t="s">
        <v>293</v>
      </c>
      <c r="K898" s="48">
        <v>0.6</v>
      </c>
      <c r="L898" s="49">
        <f>VLOOKUP(H898,[4]Sheet2!K:P,6,0)</f>
        <v>2.9399999999999999E-3</v>
      </c>
      <c r="M898" s="50">
        <f>VLOOKUP(H898,[4]Sheet2!K:Q,7,0)</f>
        <v>17100</v>
      </c>
      <c r="N898" s="51"/>
      <c r="O898" s="51"/>
      <c r="P898" s="51"/>
      <c r="Q898" s="51"/>
      <c r="R898" s="51"/>
      <c r="S898" s="51"/>
      <c r="T898" s="51"/>
      <c r="U898" s="51"/>
      <c r="V898" s="52">
        <f>VLOOKUP(H898,[4]Sheet2!K:N,4,0)</f>
        <v>17100</v>
      </c>
      <c r="W898" s="52">
        <f t="shared" si="810"/>
        <v>0</v>
      </c>
      <c r="X898" s="52">
        <f>VLOOKUP(H898,[4]Sheet2!K:N,4,0)</f>
        <v>17100</v>
      </c>
      <c r="Y898" s="53">
        <f t="shared" si="811"/>
        <v>1</v>
      </c>
      <c r="Z898" s="53">
        <f t="shared" si="812"/>
        <v>0</v>
      </c>
      <c r="AA898" s="53">
        <f t="shared" si="813"/>
        <v>1</v>
      </c>
    </row>
    <row r="899" spans="1:27" ht="18.75" customHeight="1" outlineLevel="6" x14ac:dyDescent="0.3">
      <c r="B899" s="44"/>
      <c r="C899" s="18"/>
      <c r="D899" s="24"/>
      <c r="E899" s="29"/>
      <c r="F899" s="34"/>
      <c r="G899" s="39"/>
      <c r="H899" s="46" t="s">
        <v>903</v>
      </c>
      <c r="I899" s="46" t="s">
        <v>296</v>
      </c>
      <c r="J899" s="47" t="s">
        <v>293</v>
      </c>
      <c r="K899" s="48">
        <v>0.15</v>
      </c>
      <c r="L899" s="49">
        <f>VLOOKUP(H899,[4]Sheet2!K:P,6,0)</f>
        <v>7.3499999999999998E-4</v>
      </c>
      <c r="M899" s="50">
        <f>VLOOKUP(H899,[4]Sheet2!K:Q,7,0)</f>
        <v>17100</v>
      </c>
      <c r="N899" s="51"/>
      <c r="O899" s="51"/>
      <c r="P899" s="51"/>
      <c r="Q899" s="51"/>
      <c r="R899" s="51"/>
      <c r="S899" s="51"/>
      <c r="T899" s="51"/>
      <c r="U899" s="51"/>
      <c r="V899" s="52">
        <f>VLOOKUP(H899,[4]Sheet2!K:N,4,0)</f>
        <v>17100</v>
      </c>
      <c r="W899" s="52">
        <f t="shared" si="810"/>
        <v>0</v>
      </c>
      <c r="X899" s="52">
        <f>VLOOKUP(H899,[4]Sheet2!K:N,4,0)</f>
        <v>17100</v>
      </c>
      <c r="Y899" s="53">
        <f t="shared" si="811"/>
        <v>1</v>
      </c>
      <c r="Z899" s="53">
        <f t="shared" si="812"/>
        <v>0</v>
      </c>
      <c r="AA899" s="53">
        <f t="shared" si="813"/>
        <v>1</v>
      </c>
    </row>
    <row r="900" spans="1:27" ht="18.75" customHeight="1" outlineLevel="6" x14ac:dyDescent="0.3">
      <c r="B900" s="44"/>
      <c r="C900" s="18"/>
      <c r="D900" s="24"/>
      <c r="E900" s="29"/>
      <c r="F900" s="34"/>
      <c r="G900" s="39"/>
      <c r="H900" s="46" t="s">
        <v>904</v>
      </c>
      <c r="I900" s="46" t="s">
        <v>298</v>
      </c>
      <c r="J900" s="47" t="s">
        <v>293</v>
      </c>
      <c r="K900" s="48">
        <v>0.1</v>
      </c>
      <c r="L900" s="49">
        <f>VLOOKUP(H900,[4]Sheet2!K:P,6,0)</f>
        <v>4.8999999999999998E-4</v>
      </c>
      <c r="M900" s="50">
        <f>VLOOKUP(H900,[4]Sheet2!K:Q,7,0)</f>
        <v>17100</v>
      </c>
      <c r="N900" s="51"/>
      <c r="O900" s="51"/>
      <c r="P900" s="51"/>
      <c r="Q900" s="51"/>
      <c r="R900" s="51"/>
      <c r="S900" s="51"/>
      <c r="T900" s="51"/>
      <c r="U900" s="51"/>
      <c r="V900" s="52">
        <f>VLOOKUP(H900,[4]Sheet2!K:N,4,0)</f>
        <v>0</v>
      </c>
      <c r="W900" s="52">
        <f t="shared" si="810"/>
        <v>0</v>
      </c>
      <c r="X900" s="52">
        <f>VLOOKUP(H900,[4]Sheet2!K:N,4,0)</f>
        <v>0</v>
      </c>
      <c r="Y900" s="53">
        <f t="shared" si="811"/>
        <v>0</v>
      </c>
      <c r="Z900" s="53">
        <f t="shared" si="812"/>
        <v>0</v>
      </c>
      <c r="AA900" s="53">
        <f t="shared" si="813"/>
        <v>0</v>
      </c>
    </row>
    <row r="901" spans="1:27" ht="18.75" customHeight="1" outlineLevel="6" x14ac:dyDescent="0.3">
      <c r="B901" s="44"/>
      <c r="C901" s="18"/>
      <c r="D901" s="24"/>
      <c r="E901" s="29"/>
      <c r="F901" s="34"/>
      <c r="G901" s="39"/>
      <c r="H901" s="46" t="s">
        <v>905</v>
      </c>
      <c r="I901" s="46" t="s">
        <v>56</v>
      </c>
      <c r="J901" s="47" t="s">
        <v>293</v>
      </c>
      <c r="K901" s="48">
        <v>0.05</v>
      </c>
      <c r="L901" s="49">
        <f>VLOOKUP(H901,[4]Sheet2!K:P,6,0)</f>
        <v>2.4499999999999999E-4</v>
      </c>
      <c r="M901" s="50">
        <f>VLOOKUP(H901,[4]Sheet2!K:Q,7,0)</f>
        <v>17100</v>
      </c>
      <c r="N901" s="51"/>
      <c r="O901" s="51"/>
      <c r="P901" s="51"/>
      <c r="Q901" s="51"/>
      <c r="R901" s="51"/>
      <c r="S901" s="51"/>
      <c r="T901" s="51"/>
      <c r="U901" s="51"/>
      <c r="V901" s="52">
        <f>VLOOKUP(H901,[4]Sheet2!K:N,4,0)</f>
        <v>4210</v>
      </c>
      <c r="W901" s="52">
        <f t="shared" si="810"/>
        <v>0</v>
      </c>
      <c r="X901" s="52">
        <f>VLOOKUP(H901,[4]Sheet2!K:N,4,0)</f>
        <v>4210</v>
      </c>
      <c r="Y901" s="53">
        <f t="shared" si="811"/>
        <v>0.24619883040935672</v>
      </c>
      <c r="Z901" s="53">
        <f t="shared" si="812"/>
        <v>0</v>
      </c>
      <c r="AA901" s="53">
        <f t="shared" si="813"/>
        <v>0.24619883040935672</v>
      </c>
    </row>
    <row r="902" spans="1:27" ht="18.75" customHeight="1" outlineLevel="5" x14ac:dyDescent="0.3">
      <c r="B902" s="12"/>
      <c r="C902" s="18"/>
      <c r="D902" s="24"/>
      <c r="E902" s="29"/>
      <c r="F902" s="34"/>
      <c r="G902" s="39" t="s">
        <v>401</v>
      </c>
      <c r="H902" s="58"/>
      <c r="I902" s="58"/>
      <c r="J902" s="58"/>
      <c r="K902" s="58"/>
      <c r="L902" s="41">
        <f>SUM(L903:L907)</f>
        <v>4.8999999999999998E-3</v>
      </c>
      <c r="M902" s="42">
        <f>M903</f>
        <v>17100</v>
      </c>
      <c r="N902" s="40"/>
      <c r="O902" s="40"/>
      <c r="P902" s="40"/>
      <c r="Q902" s="40"/>
      <c r="R902" s="40"/>
      <c r="S902" s="40"/>
      <c r="T902" s="40"/>
      <c r="U902" s="40"/>
      <c r="V902" s="62">
        <f t="shared" ref="V902:X902" si="814">SUMPRODUCT(V903:V907,$K903:$K907)</f>
        <v>14750</v>
      </c>
      <c r="W902" s="62">
        <f t="shared" si="814"/>
        <v>0</v>
      </c>
      <c r="X902" s="62">
        <f t="shared" si="814"/>
        <v>14750</v>
      </c>
      <c r="Y902" s="43">
        <f>SUMPRODUCT(Y903:Y907,$K903:$K907)</f>
        <v>0.86257309941520466</v>
      </c>
      <c r="Z902" s="43">
        <f t="shared" ref="Z902:AA902" si="815">SUMPRODUCT(Z903:Z907,$K903:$K907)</f>
        <v>0</v>
      </c>
      <c r="AA902" s="43">
        <f t="shared" si="815"/>
        <v>0.86257309941520466</v>
      </c>
    </row>
    <row r="903" spans="1:27" ht="18.75" customHeight="1" outlineLevel="6" x14ac:dyDescent="0.3">
      <c r="B903" s="44"/>
      <c r="C903" s="18"/>
      <c r="D903" s="24"/>
      <c r="E903" s="29"/>
      <c r="F903" s="34"/>
      <c r="G903" s="39"/>
      <c r="H903" s="46" t="s">
        <v>906</v>
      </c>
      <c r="I903" s="46" t="s">
        <v>45</v>
      </c>
      <c r="J903" s="47" t="s">
        <v>293</v>
      </c>
      <c r="K903" s="48">
        <v>0.1</v>
      </c>
      <c r="L903" s="49">
        <f>VLOOKUP(H903,[4]Sheet2!K:P,6,0)</f>
        <v>4.8999999999999998E-4</v>
      </c>
      <c r="M903" s="50">
        <f>VLOOKUP(H903,[4]Sheet2!K:Q,7,0)</f>
        <v>17100</v>
      </c>
      <c r="N903" s="51"/>
      <c r="O903" s="51"/>
      <c r="P903" s="51"/>
      <c r="Q903" s="51"/>
      <c r="R903" s="51"/>
      <c r="S903" s="51"/>
      <c r="T903" s="51"/>
      <c r="U903" s="51"/>
      <c r="V903" s="52">
        <f>VLOOKUP(H903,[4]Sheet2!K:N,4,0)</f>
        <v>17100</v>
      </c>
      <c r="W903" s="52">
        <f t="shared" ref="W903:W907" si="816">X903-V903</f>
        <v>0</v>
      </c>
      <c r="X903" s="52">
        <f>VLOOKUP(H903,[4]Sheet2!K:N,4,0)</f>
        <v>17100</v>
      </c>
      <c r="Y903" s="53">
        <f t="shared" ref="Y903:Y907" si="817">IFERROR(V903/M903,1)</f>
        <v>1</v>
      </c>
      <c r="Z903" s="53">
        <f t="shared" ref="Z903:Z907" si="818">IFERROR(W903/M903,1)</f>
        <v>0</v>
      </c>
      <c r="AA903" s="53">
        <f t="shared" ref="AA903:AA907" si="819">IFERROR(X903/M903,1)</f>
        <v>1</v>
      </c>
    </row>
    <row r="904" spans="1:27" ht="18.75" customHeight="1" outlineLevel="6" x14ac:dyDescent="0.3">
      <c r="A904" s="1" t="s">
        <v>891</v>
      </c>
      <c r="B904" s="44"/>
      <c r="C904" s="18"/>
      <c r="D904" s="24"/>
      <c r="E904" s="29"/>
      <c r="F904" s="34"/>
      <c r="G904" s="39"/>
      <c r="H904" s="46" t="s">
        <v>907</v>
      </c>
      <c r="I904" s="46" t="s">
        <v>48</v>
      </c>
      <c r="J904" s="47" t="s">
        <v>293</v>
      </c>
      <c r="K904" s="48">
        <v>0.6</v>
      </c>
      <c r="L904" s="49">
        <f>VLOOKUP(H904,[4]Sheet2!K:P,6,0)</f>
        <v>2.9399999999999999E-3</v>
      </c>
      <c r="M904" s="50">
        <f>VLOOKUP(H904,[4]Sheet2!K:Q,7,0)</f>
        <v>17100</v>
      </c>
      <c r="N904" s="51"/>
      <c r="O904" s="51"/>
      <c r="P904" s="51"/>
      <c r="Q904" s="51"/>
      <c r="R904" s="51"/>
      <c r="S904" s="51"/>
      <c r="T904" s="51"/>
      <c r="U904" s="51"/>
      <c r="V904" s="52">
        <f>VLOOKUP(H904,[4]Sheet2!K:N,4,0)</f>
        <v>17100</v>
      </c>
      <c r="W904" s="52">
        <f t="shared" si="816"/>
        <v>0</v>
      </c>
      <c r="X904" s="52">
        <f>VLOOKUP(H904,[4]Sheet2!K:N,4,0)</f>
        <v>17100</v>
      </c>
      <c r="Y904" s="53">
        <f t="shared" si="817"/>
        <v>1</v>
      </c>
      <c r="Z904" s="53">
        <f t="shared" si="818"/>
        <v>0</v>
      </c>
      <c r="AA904" s="53">
        <f t="shared" si="819"/>
        <v>1</v>
      </c>
    </row>
    <row r="905" spans="1:27" ht="18.75" customHeight="1" outlineLevel="6" x14ac:dyDescent="0.3">
      <c r="B905" s="44"/>
      <c r="C905" s="18"/>
      <c r="D905" s="24"/>
      <c r="E905" s="29"/>
      <c r="F905" s="34"/>
      <c r="G905" s="39"/>
      <c r="H905" s="46" t="s">
        <v>908</v>
      </c>
      <c r="I905" s="46" t="s">
        <v>296</v>
      </c>
      <c r="J905" s="47" t="s">
        <v>293</v>
      </c>
      <c r="K905" s="48">
        <v>0.15</v>
      </c>
      <c r="L905" s="49">
        <f>VLOOKUP(H905,[4]Sheet2!K:P,6,0)</f>
        <v>7.3499999999999998E-4</v>
      </c>
      <c r="M905" s="50">
        <f>VLOOKUP(H905,[4]Sheet2!K:Q,7,0)</f>
        <v>17100</v>
      </c>
      <c r="N905" s="51"/>
      <c r="O905" s="51"/>
      <c r="P905" s="51"/>
      <c r="Q905" s="51"/>
      <c r="R905" s="51"/>
      <c r="S905" s="51"/>
      <c r="T905" s="51"/>
      <c r="U905" s="51"/>
      <c r="V905" s="52">
        <f>VLOOKUP(H905,[4]Sheet2!K:N,4,0)</f>
        <v>17100</v>
      </c>
      <c r="W905" s="52">
        <f t="shared" si="816"/>
        <v>0</v>
      </c>
      <c r="X905" s="52">
        <f>VLOOKUP(H905,[4]Sheet2!K:N,4,0)</f>
        <v>17100</v>
      </c>
      <c r="Y905" s="53">
        <f t="shared" si="817"/>
        <v>1</v>
      </c>
      <c r="Z905" s="53">
        <f t="shared" si="818"/>
        <v>0</v>
      </c>
      <c r="AA905" s="53">
        <f t="shared" si="819"/>
        <v>1</v>
      </c>
    </row>
    <row r="906" spans="1:27" ht="18.75" customHeight="1" outlineLevel="6" x14ac:dyDescent="0.3">
      <c r="B906" s="44"/>
      <c r="C906" s="18"/>
      <c r="D906" s="24"/>
      <c r="E906" s="29"/>
      <c r="F906" s="34"/>
      <c r="G906" s="39"/>
      <c r="H906" s="46" t="s">
        <v>909</v>
      </c>
      <c r="I906" s="46" t="s">
        <v>298</v>
      </c>
      <c r="J906" s="47" t="s">
        <v>293</v>
      </c>
      <c r="K906" s="48">
        <v>0.1</v>
      </c>
      <c r="L906" s="49">
        <f>VLOOKUP(H906,[4]Sheet2!K:P,6,0)</f>
        <v>4.8999999999999998E-4</v>
      </c>
      <c r="M906" s="50">
        <f>VLOOKUP(H906,[4]Sheet2!K:Q,7,0)</f>
        <v>17100</v>
      </c>
      <c r="N906" s="51"/>
      <c r="O906" s="51"/>
      <c r="P906" s="51"/>
      <c r="Q906" s="51"/>
      <c r="R906" s="51"/>
      <c r="S906" s="51"/>
      <c r="T906" s="51"/>
      <c r="U906" s="51"/>
      <c r="V906" s="52">
        <f>VLOOKUP(H906,[4]Sheet2!K:N,4,0)</f>
        <v>0</v>
      </c>
      <c r="W906" s="52">
        <f t="shared" si="816"/>
        <v>0</v>
      </c>
      <c r="X906" s="52">
        <f>VLOOKUP(H906,[4]Sheet2!K:N,4,0)</f>
        <v>0</v>
      </c>
      <c r="Y906" s="53">
        <f t="shared" si="817"/>
        <v>0</v>
      </c>
      <c r="Z906" s="53">
        <f t="shared" si="818"/>
        <v>0</v>
      </c>
      <c r="AA906" s="53">
        <f t="shared" si="819"/>
        <v>0</v>
      </c>
    </row>
    <row r="907" spans="1:27" ht="18.75" customHeight="1" outlineLevel="6" x14ac:dyDescent="0.3">
      <c r="B907" s="44"/>
      <c r="C907" s="18"/>
      <c r="D907" s="24"/>
      <c r="E907" s="29"/>
      <c r="F907" s="34"/>
      <c r="G907" s="39"/>
      <c r="H907" s="46" t="s">
        <v>910</v>
      </c>
      <c r="I907" s="46" t="s">
        <v>56</v>
      </c>
      <c r="J907" s="47" t="s">
        <v>293</v>
      </c>
      <c r="K907" s="48">
        <v>0.05</v>
      </c>
      <c r="L907" s="49">
        <f>VLOOKUP(H907,[4]Sheet2!K:P,6,0)</f>
        <v>2.4499999999999999E-4</v>
      </c>
      <c r="M907" s="50">
        <f>VLOOKUP(H907,[4]Sheet2!K:Q,7,0)</f>
        <v>17100</v>
      </c>
      <c r="N907" s="51"/>
      <c r="O907" s="51"/>
      <c r="P907" s="51"/>
      <c r="Q907" s="51"/>
      <c r="R907" s="51"/>
      <c r="S907" s="51"/>
      <c r="T907" s="51"/>
      <c r="U907" s="51"/>
      <c r="V907" s="52">
        <f>VLOOKUP(H907,[4]Sheet2!K:N,4,0)</f>
        <v>4300</v>
      </c>
      <c r="W907" s="52">
        <f t="shared" si="816"/>
        <v>0</v>
      </c>
      <c r="X907" s="52">
        <f>VLOOKUP(H907,[4]Sheet2!K:N,4,0)</f>
        <v>4300</v>
      </c>
      <c r="Y907" s="53">
        <f t="shared" si="817"/>
        <v>0.25146198830409355</v>
      </c>
      <c r="Z907" s="53">
        <f t="shared" si="818"/>
        <v>0</v>
      </c>
      <c r="AA907" s="53">
        <f t="shared" si="819"/>
        <v>0.25146198830409355</v>
      </c>
    </row>
    <row r="908" spans="1:27" ht="18.75" customHeight="1" outlineLevel="5" x14ac:dyDescent="0.3">
      <c r="B908" s="12"/>
      <c r="C908" s="18"/>
      <c r="D908" s="24"/>
      <c r="E908" s="29"/>
      <c r="F908" s="34"/>
      <c r="G908" s="39" t="s">
        <v>407</v>
      </c>
      <c r="H908" s="58"/>
      <c r="I908" s="58"/>
      <c r="J908" s="58"/>
      <c r="K908" s="58"/>
      <c r="L908" s="41">
        <f>SUM(L909:L913)</f>
        <v>4.8999999999999998E-3</v>
      </c>
      <c r="M908" s="42">
        <f>M909</f>
        <v>17100</v>
      </c>
      <c r="N908" s="40"/>
      <c r="O908" s="40"/>
      <c r="P908" s="40"/>
      <c r="Q908" s="40"/>
      <c r="R908" s="40"/>
      <c r="S908" s="40"/>
      <c r="T908" s="40"/>
      <c r="U908" s="40"/>
      <c r="V908" s="62">
        <f t="shared" ref="V908:X908" si="820">SUMPRODUCT(V909:V913,$K909:$K913)</f>
        <v>14745.5</v>
      </c>
      <c r="W908" s="62">
        <f t="shared" si="820"/>
        <v>0</v>
      </c>
      <c r="X908" s="62">
        <f t="shared" si="820"/>
        <v>14745.5</v>
      </c>
      <c r="Y908" s="43">
        <f>SUMPRODUCT(Y909:Y913,$K909:$K913)</f>
        <v>0.8623099415204678</v>
      </c>
      <c r="Z908" s="43">
        <f t="shared" ref="Z908:AA908" si="821">SUMPRODUCT(Z909:Z913,$K909:$K913)</f>
        <v>0</v>
      </c>
      <c r="AA908" s="43">
        <f t="shared" si="821"/>
        <v>0.8623099415204678</v>
      </c>
    </row>
    <row r="909" spans="1:27" ht="18.75" customHeight="1" outlineLevel="6" x14ac:dyDescent="0.3">
      <c r="B909" s="44"/>
      <c r="C909" s="18"/>
      <c r="D909" s="24"/>
      <c r="E909" s="29"/>
      <c r="F909" s="34"/>
      <c r="G909" s="39"/>
      <c r="H909" s="46" t="s">
        <v>911</v>
      </c>
      <c r="I909" s="46" t="s">
        <v>45</v>
      </c>
      <c r="J909" s="47" t="s">
        <v>293</v>
      </c>
      <c r="K909" s="48">
        <v>0.1</v>
      </c>
      <c r="L909" s="49">
        <f>VLOOKUP(H909,[4]Sheet2!K:P,6,0)</f>
        <v>4.8999999999999998E-4</v>
      </c>
      <c r="M909" s="50">
        <f>VLOOKUP(H909,[4]Sheet2!K:Q,7,0)</f>
        <v>17100</v>
      </c>
      <c r="N909" s="51"/>
      <c r="O909" s="51"/>
      <c r="P909" s="51"/>
      <c r="Q909" s="51"/>
      <c r="R909" s="51"/>
      <c r="S909" s="51"/>
      <c r="T909" s="51"/>
      <c r="U909" s="51"/>
      <c r="V909" s="52">
        <f>VLOOKUP(H909,[4]Sheet2!K:N,4,0)</f>
        <v>17100</v>
      </c>
      <c r="W909" s="52">
        <f t="shared" ref="W909:W913" si="822">X909-V909</f>
        <v>0</v>
      </c>
      <c r="X909" s="52">
        <f>VLOOKUP(H909,[4]Sheet2!K:N,4,0)</f>
        <v>17100</v>
      </c>
      <c r="Y909" s="53">
        <f t="shared" ref="Y909:Y913" si="823">IFERROR(V909/M909,1)</f>
        <v>1</v>
      </c>
      <c r="Z909" s="53">
        <f t="shared" ref="Z909:Z913" si="824">IFERROR(W909/M909,1)</f>
        <v>0</v>
      </c>
      <c r="AA909" s="53">
        <f t="shared" ref="AA909:AA913" si="825">IFERROR(X909/M909,1)</f>
        <v>1</v>
      </c>
    </row>
    <row r="910" spans="1:27" ht="18.75" customHeight="1" outlineLevel="6" x14ac:dyDescent="0.3">
      <c r="A910" s="1" t="s">
        <v>891</v>
      </c>
      <c r="B910" s="44"/>
      <c r="C910" s="18"/>
      <c r="D910" s="24"/>
      <c r="E910" s="29"/>
      <c r="F910" s="34"/>
      <c r="G910" s="39"/>
      <c r="H910" s="46" t="s">
        <v>912</v>
      </c>
      <c r="I910" s="46" t="s">
        <v>48</v>
      </c>
      <c r="J910" s="47" t="s">
        <v>293</v>
      </c>
      <c r="K910" s="48">
        <v>0.6</v>
      </c>
      <c r="L910" s="49">
        <f>VLOOKUP(H910,[4]Sheet2!K:P,6,0)</f>
        <v>2.9399999999999999E-3</v>
      </c>
      <c r="M910" s="50">
        <f>VLOOKUP(H910,[4]Sheet2!K:Q,7,0)</f>
        <v>17100</v>
      </c>
      <c r="N910" s="51"/>
      <c r="O910" s="51"/>
      <c r="P910" s="51"/>
      <c r="Q910" s="51"/>
      <c r="R910" s="51"/>
      <c r="S910" s="51"/>
      <c r="T910" s="51"/>
      <c r="U910" s="51"/>
      <c r="V910" s="52">
        <f>VLOOKUP(H910,[4]Sheet2!K:N,4,0)</f>
        <v>17100</v>
      </c>
      <c r="W910" s="52">
        <f t="shared" si="822"/>
        <v>0</v>
      </c>
      <c r="X910" s="52">
        <f>VLOOKUP(H910,[4]Sheet2!K:N,4,0)</f>
        <v>17100</v>
      </c>
      <c r="Y910" s="53">
        <f t="shared" si="823"/>
        <v>1</v>
      </c>
      <c r="Z910" s="53">
        <f t="shared" si="824"/>
        <v>0</v>
      </c>
      <c r="AA910" s="53">
        <f t="shared" si="825"/>
        <v>1</v>
      </c>
    </row>
    <row r="911" spans="1:27" ht="18.75" customHeight="1" outlineLevel="6" x14ac:dyDescent="0.3">
      <c r="B911" s="44"/>
      <c r="C911" s="18"/>
      <c r="D911" s="24"/>
      <c r="E911" s="29"/>
      <c r="F911" s="34"/>
      <c r="G911" s="39"/>
      <c r="H911" s="46" t="s">
        <v>913</v>
      </c>
      <c r="I911" s="46" t="s">
        <v>296</v>
      </c>
      <c r="J911" s="47" t="s">
        <v>293</v>
      </c>
      <c r="K911" s="48">
        <v>0.15</v>
      </c>
      <c r="L911" s="49">
        <f>VLOOKUP(H911,[4]Sheet2!K:P,6,0)</f>
        <v>7.3499999999999998E-4</v>
      </c>
      <c r="M911" s="50">
        <f>VLOOKUP(H911,[4]Sheet2!K:Q,7,0)</f>
        <v>17100</v>
      </c>
      <c r="N911" s="51"/>
      <c r="O911" s="51"/>
      <c r="P911" s="51"/>
      <c r="Q911" s="51"/>
      <c r="R911" s="51"/>
      <c r="S911" s="51"/>
      <c r="T911" s="51"/>
      <c r="U911" s="51"/>
      <c r="V911" s="52">
        <f>VLOOKUP(H911,[4]Sheet2!K:N,4,0)</f>
        <v>17100</v>
      </c>
      <c r="W911" s="52">
        <f t="shared" si="822"/>
        <v>0</v>
      </c>
      <c r="X911" s="52">
        <f>VLOOKUP(H911,[4]Sheet2!K:N,4,0)</f>
        <v>17100</v>
      </c>
      <c r="Y911" s="53">
        <f t="shared" si="823"/>
        <v>1</v>
      </c>
      <c r="Z911" s="53">
        <f t="shared" si="824"/>
        <v>0</v>
      </c>
      <c r="AA911" s="53">
        <f t="shared" si="825"/>
        <v>1</v>
      </c>
    </row>
    <row r="912" spans="1:27" ht="18.75" customHeight="1" outlineLevel="6" x14ac:dyDescent="0.3">
      <c r="B912" s="44"/>
      <c r="C912" s="18"/>
      <c r="D912" s="24"/>
      <c r="E912" s="29"/>
      <c r="F912" s="34"/>
      <c r="G912" s="39"/>
      <c r="H912" s="46" t="s">
        <v>914</v>
      </c>
      <c r="I912" s="46" t="s">
        <v>298</v>
      </c>
      <c r="J912" s="47" t="s">
        <v>293</v>
      </c>
      <c r="K912" s="48">
        <v>0.1</v>
      </c>
      <c r="L912" s="49">
        <f>VLOOKUP(H912,[4]Sheet2!K:P,6,0)</f>
        <v>4.8999999999999998E-4</v>
      </c>
      <c r="M912" s="50">
        <f>VLOOKUP(H912,[4]Sheet2!K:Q,7,0)</f>
        <v>17100</v>
      </c>
      <c r="N912" s="51"/>
      <c r="O912" s="51"/>
      <c r="P912" s="51"/>
      <c r="Q912" s="51"/>
      <c r="R912" s="51"/>
      <c r="S912" s="51"/>
      <c r="T912" s="51"/>
      <c r="U912" s="51"/>
      <c r="V912" s="52">
        <f>VLOOKUP(H912,[4]Sheet2!K:N,4,0)</f>
        <v>0</v>
      </c>
      <c r="W912" s="52">
        <f t="shared" si="822"/>
        <v>0</v>
      </c>
      <c r="X912" s="52">
        <f>VLOOKUP(H912,[4]Sheet2!K:N,4,0)</f>
        <v>0</v>
      </c>
      <c r="Y912" s="53">
        <f t="shared" si="823"/>
        <v>0</v>
      </c>
      <c r="Z912" s="53">
        <f t="shared" si="824"/>
        <v>0</v>
      </c>
      <c r="AA912" s="53">
        <f t="shared" si="825"/>
        <v>0</v>
      </c>
    </row>
    <row r="913" spans="1:27" ht="18.75" customHeight="1" outlineLevel="6" x14ac:dyDescent="0.3">
      <c r="B913" s="44"/>
      <c r="C913" s="18"/>
      <c r="D913" s="24"/>
      <c r="E913" s="29"/>
      <c r="F913" s="34"/>
      <c r="G913" s="39"/>
      <c r="H913" s="46" t="s">
        <v>915</v>
      </c>
      <c r="I913" s="46" t="s">
        <v>56</v>
      </c>
      <c r="J913" s="47" t="s">
        <v>293</v>
      </c>
      <c r="K913" s="48">
        <v>0.05</v>
      </c>
      <c r="L913" s="49">
        <f>VLOOKUP(H913,[4]Sheet2!K:P,6,0)</f>
        <v>2.4499999999999999E-4</v>
      </c>
      <c r="M913" s="50">
        <f>VLOOKUP(H913,[4]Sheet2!K:Q,7,0)</f>
        <v>17100</v>
      </c>
      <c r="N913" s="51"/>
      <c r="O913" s="51"/>
      <c r="P913" s="51"/>
      <c r="Q913" s="51"/>
      <c r="R913" s="51"/>
      <c r="S913" s="51"/>
      <c r="T913" s="51"/>
      <c r="U913" s="51"/>
      <c r="V913" s="52">
        <f>VLOOKUP(H913,[4]Sheet2!K:N,4,0)</f>
        <v>4210</v>
      </c>
      <c r="W913" s="52">
        <f t="shared" si="822"/>
        <v>0</v>
      </c>
      <c r="X913" s="52">
        <f>VLOOKUP(H913,[4]Sheet2!K:N,4,0)</f>
        <v>4210</v>
      </c>
      <c r="Y913" s="53">
        <f t="shared" si="823"/>
        <v>0.24619883040935672</v>
      </c>
      <c r="Z913" s="53">
        <f t="shared" si="824"/>
        <v>0</v>
      </c>
      <c r="AA913" s="53">
        <f t="shared" si="825"/>
        <v>0.24619883040935672</v>
      </c>
    </row>
    <row r="914" spans="1:27" ht="18.75" customHeight="1" outlineLevel="5" x14ac:dyDescent="0.3">
      <c r="B914" s="12"/>
      <c r="C914" s="18"/>
      <c r="D914" s="24"/>
      <c r="E914" s="29"/>
      <c r="F914" s="34"/>
      <c r="G914" s="39" t="s">
        <v>413</v>
      </c>
      <c r="H914" s="58"/>
      <c r="I914" s="58"/>
      <c r="J914" s="58"/>
      <c r="K914" s="58"/>
      <c r="L914" s="41">
        <f>SUM(L915:L919)</f>
        <v>5.9999999999999993E-3</v>
      </c>
      <c r="M914" s="42">
        <f>M915</f>
        <v>35200</v>
      </c>
      <c r="N914" s="40"/>
      <c r="O914" s="40"/>
      <c r="P914" s="40"/>
      <c r="Q914" s="40"/>
      <c r="R914" s="40"/>
      <c r="S914" s="40"/>
      <c r="T914" s="40"/>
      <c r="U914" s="40"/>
      <c r="V914" s="62">
        <f t="shared" ref="V914:X914" si="826">SUMPRODUCT(V915:V919,$K915:$K919)</f>
        <v>29327.5</v>
      </c>
      <c r="W914" s="62">
        <f t="shared" si="826"/>
        <v>0</v>
      </c>
      <c r="X914" s="62">
        <f t="shared" si="826"/>
        <v>29327.5</v>
      </c>
      <c r="Y914" s="43">
        <f>SUMPRODUCT(Y915:Y919,$K915:$K919)</f>
        <v>0.8331676136363636</v>
      </c>
      <c r="Z914" s="43">
        <f t="shared" ref="Z914:AA914" si="827">SUMPRODUCT(Z915:Z919,$K915:$K919)</f>
        <v>0</v>
      </c>
      <c r="AA914" s="43">
        <f t="shared" si="827"/>
        <v>0.8331676136363636</v>
      </c>
    </row>
    <row r="915" spans="1:27" ht="18.75" customHeight="1" outlineLevel="6" x14ac:dyDescent="0.3">
      <c r="B915" s="44"/>
      <c r="C915" s="18"/>
      <c r="D915" s="24"/>
      <c r="E915" s="29"/>
      <c r="F915" s="34"/>
      <c r="G915" s="39"/>
      <c r="H915" s="46" t="s">
        <v>916</v>
      </c>
      <c r="I915" s="46" t="s">
        <v>45</v>
      </c>
      <c r="J915" s="47" t="s">
        <v>293</v>
      </c>
      <c r="K915" s="48">
        <v>0.1</v>
      </c>
      <c r="L915" s="49">
        <f>VLOOKUP(H915,[4]Sheet2!K:P,6,0)</f>
        <v>6.0000000000000006E-4</v>
      </c>
      <c r="M915" s="50">
        <f>VLOOKUP(H915,[4]Sheet2!K:Q,7,0)</f>
        <v>35200</v>
      </c>
      <c r="N915" s="51"/>
      <c r="O915" s="51"/>
      <c r="P915" s="51"/>
      <c r="Q915" s="51"/>
      <c r="R915" s="51"/>
      <c r="S915" s="51"/>
      <c r="T915" s="51"/>
      <c r="U915" s="51"/>
      <c r="V915" s="52">
        <f>VLOOKUP(H915,[4]Sheet2!K:N,4,0)</f>
        <v>35200</v>
      </c>
      <c r="W915" s="52">
        <f t="shared" ref="W915:W919" si="828">X915-V915</f>
        <v>0</v>
      </c>
      <c r="X915" s="52">
        <f>VLOOKUP(H915,[4]Sheet2!K:N,4,0)</f>
        <v>35200</v>
      </c>
      <c r="Y915" s="53">
        <f t="shared" ref="Y915:Y919" si="829">IFERROR(V915/M915,1)</f>
        <v>1</v>
      </c>
      <c r="Z915" s="53">
        <f t="shared" ref="Z915:Z919" si="830">IFERROR(W915/M915,1)</f>
        <v>0</v>
      </c>
      <c r="AA915" s="53">
        <f t="shared" ref="AA915:AA919" si="831">IFERROR(X915/M915,1)</f>
        <v>1</v>
      </c>
    </row>
    <row r="916" spans="1:27" ht="18.75" customHeight="1" outlineLevel="6" x14ac:dyDescent="0.3">
      <c r="A916" s="1" t="s">
        <v>891</v>
      </c>
      <c r="B916" s="44"/>
      <c r="C916" s="18"/>
      <c r="D916" s="24"/>
      <c r="E916" s="29"/>
      <c r="F916" s="34"/>
      <c r="G916" s="39"/>
      <c r="H916" s="46" t="s">
        <v>917</v>
      </c>
      <c r="I916" s="46" t="s">
        <v>48</v>
      </c>
      <c r="J916" s="47" t="s">
        <v>293</v>
      </c>
      <c r="K916" s="48">
        <v>0.6</v>
      </c>
      <c r="L916" s="49">
        <f>VLOOKUP(H916,[4]Sheet2!K:P,6,0)</f>
        <v>3.5999999999999999E-3</v>
      </c>
      <c r="M916" s="50">
        <f>VLOOKUP(H916,[4]Sheet2!K:Q,7,0)</f>
        <v>35200</v>
      </c>
      <c r="N916" s="51"/>
      <c r="O916" s="51"/>
      <c r="P916" s="51"/>
      <c r="Q916" s="51"/>
      <c r="R916" s="51"/>
      <c r="S916" s="51"/>
      <c r="T916" s="51"/>
      <c r="U916" s="51"/>
      <c r="V916" s="52">
        <f>VLOOKUP(H916,[4]Sheet2!K:N,4,0)</f>
        <v>35200</v>
      </c>
      <c r="W916" s="52">
        <f t="shared" si="828"/>
        <v>0</v>
      </c>
      <c r="X916" s="52">
        <f>VLOOKUP(H916,[4]Sheet2!K:N,4,0)</f>
        <v>35200</v>
      </c>
      <c r="Y916" s="53">
        <f t="shared" si="829"/>
        <v>1</v>
      </c>
      <c r="Z916" s="53">
        <f t="shared" si="830"/>
        <v>0</v>
      </c>
      <c r="AA916" s="53">
        <f t="shared" si="831"/>
        <v>1</v>
      </c>
    </row>
    <row r="917" spans="1:27" ht="18.75" customHeight="1" outlineLevel="6" x14ac:dyDescent="0.3">
      <c r="B917" s="44"/>
      <c r="C917" s="18"/>
      <c r="D917" s="24"/>
      <c r="E917" s="29"/>
      <c r="F917" s="34"/>
      <c r="G917" s="39"/>
      <c r="H917" s="46" t="s">
        <v>918</v>
      </c>
      <c r="I917" s="46" t="s">
        <v>296</v>
      </c>
      <c r="J917" s="47" t="s">
        <v>293</v>
      </c>
      <c r="K917" s="48">
        <v>0.15</v>
      </c>
      <c r="L917" s="49">
        <f>VLOOKUP(H917,[4]Sheet2!K:P,6,0)</f>
        <v>8.9999999999999998E-4</v>
      </c>
      <c r="M917" s="50">
        <f>VLOOKUP(H917,[4]Sheet2!K:Q,7,0)</f>
        <v>35200</v>
      </c>
      <c r="N917" s="51"/>
      <c r="O917" s="51"/>
      <c r="P917" s="51"/>
      <c r="Q917" s="51"/>
      <c r="R917" s="51"/>
      <c r="S917" s="51"/>
      <c r="T917" s="51"/>
      <c r="U917" s="51"/>
      <c r="V917" s="52">
        <f>VLOOKUP(H917,[4]Sheet2!K:N,4,0)</f>
        <v>31250</v>
      </c>
      <c r="W917" s="52">
        <f t="shared" si="828"/>
        <v>0</v>
      </c>
      <c r="X917" s="52">
        <f>VLOOKUP(H917,[4]Sheet2!K:N,4,0)</f>
        <v>31250</v>
      </c>
      <c r="Y917" s="53">
        <f t="shared" si="829"/>
        <v>0.88778409090909094</v>
      </c>
      <c r="Z917" s="53">
        <f t="shared" si="830"/>
        <v>0</v>
      </c>
      <c r="AA917" s="53">
        <f t="shared" si="831"/>
        <v>0.88778409090909094</v>
      </c>
    </row>
    <row r="918" spans="1:27" ht="18.75" customHeight="1" outlineLevel="6" x14ac:dyDescent="0.3">
      <c r="B918" s="44"/>
      <c r="C918" s="18"/>
      <c r="D918" s="24"/>
      <c r="E918" s="29"/>
      <c r="F918" s="34"/>
      <c r="G918" s="39"/>
      <c r="H918" s="46" t="s">
        <v>919</v>
      </c>
      <c r="I918" s="46" t="s">
        <v>298</v>
      </c>
      <c r="J918" s="47" t="s">
        <v>293</v>
      </c>
      <c r="K918" s="48">
        <v>0.1</v>
      </c>
      <c r="L918" s="49">
        <f>VLOOKUP(H918,[4]Sheet2!K:P,6,0)</f>
        <v>6.0000000000000006E-4</v>
      </c>
      <c r="M918" s="50">
        <f>VLOOKUP(H918,[4]Sheet2!K:Q,7,0)</f>
        <v>35200</v>
      </c>
      <c r="N918" s="51"/>
      <c r="O918" s="51"/>
      <c r="P918" s="51"/>
      <c r="Q918" s="51"/>
      <c r="R918" s="51"/>
      <c r="S918" s="51"/>
      <c r="T918" s="51"/>
      <c r="U918" s="51"/>
      <c r="V918" s="52">
        <f>VLOOKUP(H918,[4]Sheet2!K:N,4,0)</f>
        <v>0</v>
      </c>
      <c r="W918" s="52">
        <f t="shared" si="828"/>
        <v>0</v>
      </c>
      <c r="X918" s="52">
        <f>VLOOKUP(H918,[4]Sheet2!K:N,4,0)</f>
        <v>0</v>
      </c>
      <c r="Y918" s="53">
        <f t="shared" si="829"/>
        <v>0</v>
      </c>
      <c r="Z918" s="53">
        <f t="shared" si="830"/>
        <v>0</v>
      </c>
      <c r="AA918" s="53">
        <f t="shared" si="831"/>
        <v>0</v>
      </c>
    </row>
    <row r="919" spans="1:27" ht="18.75" customHeight="1" outlineLevel="6" x14ac:dyDescent="0.3">
      <c r="B919" s="44"/>
      <c r="C919" s="18"/>
      <c r="D919" s="24"/>
      <c r="E919" s="29"/>
      <c r="F919" s="34"/>
      <c r="G919" s="39"/>
      <c r="H919" s="46" t="s">
        <v>920</v>
      </c>
      <c r="I919" s="46" t="s">
        <v>56</v>
      </c>
      <c r="J919" s="47" t="s">
        <v>293</v>
      </c>
      <c r="K919" s="48">
        <v>0.05</v>
      </c>
      <c r="L919" s="49">
        <f>VLOOKUP(H919,[4]Sheet2!K:P,6,0)</f>
        <v>3.0000000000000003E-4</v>
      </c>
      <c r="M919" s="50">
        <f>VLOOKUP(H919,[4]Sheet2!K:Q,7,0)</f>
        <v>35200</v>
      </c>
      <c r="N919" s="51"/>
      <c r="O919" s="51"/>
      <c r="P919" s="51"/>
      <c r="Q919" s="51"/>
      <c r="R919" s="51"/>
      <c r="S919" s="51"/>
      <c r="T919" s="51"/>
      <c r="U919" s="51"/>
      <c r="V919" s="52">
        <f>VLOOKUP(H919,[4]Sheet2!K:N,4,0)</f>
        <v>0</v>
      </c>
      <c r="W919" s="52">
        <f t="shared" si="828"/>
        <v>0</v>
      </c>
      <c r="X919" s="52">
        <f>VLOOKUP(H919,[4]Sheet2!K:N,4,0)</f>
        <v>0</v>
      </c>
      <c r="Y919" s="53">
        <f t="shared" si="829"/>
        <v>0</v>
      </c>
      <c r="Z919" s="53">
        <f t="shared" si="830"/>
        <v>0</v>
      </c>
      <c r="AA919" s="53">
        <f t="shared" si="831"/>
        <v>0</v>
      </c>
    </row>
    <row r="920" spans="1:27" ht="18.75" customHeight="1" outlineLevel="5" x14ac:dyDescent="0.3">
      <c r="B920" s="12"/>
      <c r="C920" s="18"/>
      <c r="D920" s="24"/>
      <c r="E920" s="29"/>
      <c r="F920" s="34"/>
      <c r="G920" s="39" t="s">
        <v>419</v>
      </c>
      <c r="H920" s="58"/>
      <c r="I920" s="58"/>
      <c r="J920" s="58"/>
      <c r="K920" s="58"/>
      <c r="L920" s="41">
        <f>SUM(L921:L925)</f>
        <v>8.0000000000000002E-3</v>
      </c>
      <c r="M920" s="42">
        <f>M921</f>
        <v>50030</v>
      </c>
      <c r="N920" s="40"/>
      <c r="O920" s="40"/>
      <c r="P920" s="40"/>
      <c r="Q920" s="40"/>
      <c r="R920" s="40"/>
      <c r="S920" s="40"/>
      <c r="T920" s="40"/>
      <c r="U920" s="40"/>
      <c r="V920" s="62">
        <f t="shared" ref="V920:X920" si="832">SUMPRODUCT(V921:V925,$K921:$K925)</f>
        <v>43775.8</v>
      </c>
      <c r="W920" s="62">
        <f t="shared" si="832"/>
        <v>0</v>
      </c>
      <c r="X920" s="62">
        <f t="shared" si="832"/>
        <v>43775.8</v>
      </c>
      <c r="Y920" s="43">
        <f>SUMPRODUCT(Y921:Y925,$K921:$K925)</f>
        <v>0.87499100539676189</v>
      </c>
      <c r="Z920" s="43">
        <f t="shared" ref="Z920:AA920" si="833">SUMPRODUCT(Z921:Z925,$K921:$K925)</f>
        <v>0</v>
      </c>
      <c r="AA920" s="43">
        <f t="shared" si="833"/>
        <v>0.87499100539676189</v>
      </c>
    </row>
    <row r="921" spans="1:27" ht="18.75" customHeight="1" outlineLevel="6" x14ac:dyDescent="0.3">
      <c r="B921" s="44"/>
      <c r="C921" s="18"/>
      <c r="D921" s="24"/>
      <c r="E921" s="29"/>
      <c r="F921" s="34"/>
      <c r="G921" s="39"/>
      <c r="H921" s="46" t="s">
        <v>921</v>
      </c>
      <c r="I921" s="46" t="s">
        <v>45</v>
      </c>
      <c r="J921" s="47" t="s">
        <v>293</v>
      </c>
      <c r="K921" s="48">
        <v>0.1</v>
      </c>
      <c r="L921" s="49">
        <f>VLOOKUP(H921,[4]Sheet2!K:P,6,0)</f>
        <v>8.0000000000000004E-4</v>
      </c>
      <c r="M921" s="50">
        <f>VLOOKUP(H921,[4]Sheet2!K:Q,7,0)</f>
        <v>50030</v>
      </c>
      <c r="N921" s="51"/>
      <c r="O921" s="51"/>
      <c r="P921" s="51"/>
      <c r="Q921" s="51"/>
      <c r="R921" s="51"/>
      <c r="S921" s="51"/>
      <c r="T921" s="51"/>
      <c r="U921" s="51"/>
      <c r="V921" s="52">
        <f>VLOOKUP(H921,[4]Sheet2!K:N,4,0)</f>
        <v>50030</v>
      </c>
      <c r="W921" s="52">
        <f t="shared" ref="W921:W925" si="834">X921-V921</f>
        <v>0</v>
      </c>
      <c r="X921" s="52">
        <f>VLOOKUP(H921,[4]Sheet2!K:N,4,0)</f>
        <v>50030</v>
      </c>
      <c r="Y921" s="53">
        <f t="shared" ref="Y921:Y925" si="835">IFERROR(V921/M921,1)</f>
        <v>1</v>
      </c>
      <c r="Z921" s="53">
        <f t="shared" ref="Z921:Z925" si="836">IFERROR(W921/M921,1)</f>
        <v>0</v>
      </c>
      <c r="AA921" s="53">
        <f t="shared" ref="AA921:AA925" si="837">IFERROR(X921/M921,1)</f>
        <v>1</v>
      </c>
    </row>
    <row r="922" spans="1:27" ht="18.75" customHeight="1" outlineLevel="6" x14ac:dyDescent="0.3">
      <c r="A922" s="1" t="s">
        <v>891</v>
      </c>
      <c r="B922" s="44"/>
      <c r="C922" s="18"/>
      <c r="D922" s="24"/>
      <c r="E922" s="29"/>
      <c r="F922" s="34"/>
      <c r="G922" s="39"/>
      <c r="H922" s="46" t="s">
        <v>922</v>
      </c>
      <c r="I922" s="46" t="s">
        <v>48</v>
      </c>
      <c r="J922" s="47" t="s">
        <v>293</v>
      </c>
      <c r="K922" s="48">
        <v>0.6</v>
      </c>
      <c r="L922" s="49">
        <f>VLOOKUP(H922,[4]Sheet2!K:P,6,0)</f>
        <v>4.8000000000000004E-3</v>
      </c>
      <c r="M922" s="50">
        <f>VLOOKUP(H922,[4]Sheet2!K:Q,7,0)</f>
        <v>50030</v>
      </c>
      <c r="N922" s="51"/>
      <c r="O922" s="51"/>
      <c r="P922" s="51"/>
      <c r="Q922" s="51"/>
      <c r="R922" s="51"/>
      <c r="S922" s="51"/>
      <c r="T922" s="51"/>
      <c r="U922" s="51"/>
      <c r="V922" s="52">
        <f>VLOOKUP(H922,[4]Sheet2!K:N,4,0)</f>
        <v>50030</v>
      </c>
      <c r="W922" s="52">
        <f t="shared" si="834"/>
        <v>0</v>
      </c>
      <c r="X922" s="52">
        <f>VLOOKUP(H922,[4]Sheet2!K:N,4,0)</f>
        <v>50030</v>
      </c>
      <c r="Y922" s="53">
        <f t="shared" si="835"/>
        <v>1</v>
      </c>
      <c r="Z922" s="53">
        <f t="shared" si="836"/>
        <v>0</v>
      </c>
      <c r="AA922" s="53">
        <f t="shared" si="837"/>
        <v>1</v>
      </c>
    </row>
    <row r="923" spans="1:27" ht="18.75" customHeight="1" outlineLevel="6" x14ac:dyDescent="0.3">
      <c r="B923" s="44"/>
      <c r="C923" s="18"/>
      <c r="D923" s="24"/>
      <c r="E923" s="29"/>
      <c r="F923" s="34"/>
      <c r="G923" s="39"/>
      <c r="H923" s="46" t="s">
        <v>923</v>
      </c>
      <c r="I923" s="46" t="s">
        <v>296</v>
      </c>
      <c r="J923" s="47" t="s">
        <v>293</v>
      </c>
      <c r="K923" s="48">
        <v>0.15</v>
      </c>
      <c r="L923" s="49">
        <f>VLOOKUP(H923,[4]Sheet2!K:P,6,0)</f>
        <v>1.2000000000000001E-3</v>
      </c>
      <c r="M923" s="50">
        <f>VLOOKUP(H923,[4]Sheet2!K:Q,7,0)</f>
        <v>50030</v>
      </c>
      <c r="N923" s="51"/>
      <c r="O923" s="51"/>
      <c r="P923" s="51"/>
      <c r="Q923" s="51"/>
      <c r="R923" s="51"/>
      <c r="S923" s="51"/>
      <c r="T923" s="51"/>
      <c r="U923" s="51"/>
      <c r="V923" s="52">
        <f>VLOOKUP(H923,[4]Sheet2!K:N,4,0)</f>
        <v>50030</v>
      </c>
      <c r="W923" s="52">
        <f t="shared" si="834"/>
        <v>0</v>
      </c>
      <c r="X923" s="52">
        <f>VLOOKUP(H923,[4]Sheet2!K:N,4,0)</f>
        <v>50030</v>
      </c>
      <c r="Y923" s="53">
        <f t="shared" si="835"/>
        <v>1</v>
      </c>
      <c r="Z923" s="53">
        <f t="shared" si="836"/>
        <v>0</v>
      </c>
      <c r="AA923" s="53">
        <f t="shared" si="837"/>
        <v>1</v>
      </c>
    </row>
    <row r="924" spans="1:27" ht="18.75" customHeight="1" outlineLevel="6" x14ac:dyDescent="0.3">
      <c r="B924" s="44"/>
      <c r="C924" s="18"/>
      <c r="D924" s="24"/>
      <c r="E924" s="29"/>
      <c r="F924" s="34"/>
      <c r="G924" s="39"/>
      <c r="H924" s="46" t="s">
        <v>924</v>
      </c>
      <c r="I924" s="46" t="s">
        <v>298</v>
      </c>
      <c r="J924" s="47" t="s">
        <v>293</v>
      </c>
      <c r="K924" s="48">
        <v>0.1</v>
      </c>
      <c r="L924" s="49">
        <f>VLOOKUP(H924,[4]Sheet2!K:P,6,0)</f>
        <v>8.0000000000000004E-4</v>
      </c>
      <c r="M924" s="50">
        <f>VLOOKUP(H924,[4]Sheet2!K:Q,7,0)</f>
        <v>50030</v>
      </c>
      <c r="N924" s="51"/>
      <c r="O924" s="51"/>
      <c r="P924" s="51"/>
      <c r="Q924" s="51"/>
      <c r="R924" s="51"/>
      <c r="S924" s="51"/>
      <c r="T924" s="51"/>
      <c r="U924" s="51"/>
      <c r="V924" s="52">
        <f>VLOOKUP(H924,[4]Sheet2!K:N,4,0)</f>
        <v>12503</v>
      </c>
      <c r="W924" s="52">
        <f t="shared" si="834"/>
        <v>0</v>
      </c>
      <c r="X924" s="52">
        <f>VLOOKUP(H924,[4]Sheet2!K:N,4,0)</f>
        <v>12503</v>
      </c>
      <c r="Y924" s="53">
        <f t="shared" si="835"/>
        <v>0.24991005396761942</v>
      </c>
      <c r="Z924" s="53">
        <f t="shared" si="836"/>
        <v>0</v>
      </c>
      <c r="AA924" s="53">
        <f t="shared" si="837"/>
        <v>0.24991005396761942</v>
      </c>
    </row>
    <row r="925" spans="1:27" ht="18.75" customHeight="1" outlineLevel="6" x14ac:dyDescent="0.3">
      <c r="B925" s="44"/>
      <c r="C925" s="18"/>
      <c r="D925" s="24"/>
      <c r="E925" s="29"/>
      <c r="F925" s="34"/>
      <c r="G925" s="39"/>
      <c r="H925" s="46" t="s">
        <v>925</v>
      </c>
      <c r="I925" s="46" t="s">
        <v>56</v>
      </c>
      <c r="J925" s="47" t="s">
        <v>293</v>
      </c>
      <c r="K925" s="48">
        <v>0.05</v>
      </c>
      <c r="L925" s="49">
        <f>VLOOKUP(H925,[4]Sheet2!K:P,6,0)</f>
        <v>4.0000000000000002E-4</v>
      </c>
      <c r="M925" s="50">
        <f>VLOOKUP(H925,[4]Sheet2!K:Q,7,0)</f>
        <v>50030</v>
      </c>
      <c r="N925" s="51"/>
      <c r="O925" s="51"/>
      <c r="P925" s="51"/>
      <c r="Q925" s="51"/>
      <c r="R925" s="51"/>
      <c r="S925" s="51"/>
      <c r="T925" s="51"/>
      <c r="U925" s="51"/>
      <c r="V925" s="52">
        <f>VLOOKUP(H925,[4]Sheet2!K:N,4,0)</f>
        <v>0</v>
      </c>
      <c r="W925" s="52">
        <f t="shared" si="834"/>
        <v>0</v>
      </c>
      <c r="X925" s="52">
        <f>VLOOKUP(H925,[4]Sheet2!K:N,4,0)</f>
        <v>0</v>
      </c>
      <c r="Y925" s="53">
        <f t="shared" si="835"/>
        <v>0</v>
      </c>
      <c r="Z925" s="53">
        <f t="shared" si="836"/>
        <v>0</v>
      </c>
      <c r="AA925" s="53">
        <f t="shared" si="837"/>
        <v>0</v>
      </c>
    </row>
    <row r="926" spans="1:27" ht="18.75" customHeight="1" outlineLevel="5" x14ac:dyDescent="0.3">
      <c r="B926" s="12"/>
      <c r="C926" s="18"/>
      <c r="D926" s="24"/>
      <c r="E926" s="29"/>
      <c r="F926" s="34"/>
      <c r="G926" s="39" t="s">
        <v>425</v>
      </c>
      <c r="H926" s="58"/>
      <c r="I926" s="58"/>
      <c r="J926" s="58"/>
      <c r="K926" s="58"/>
      <c r="L926" s="41">
        <f>SUM(L927:L931)</f>
        <v>2.8000000000000004E-3</v>
      </c>
      <c r="M926" s="42">
        <f>M927</f>
        <v>10700</v>
      </c>
      <c r="N926" s="40"/>
      <c r="O926" s="40"/>
      <c r="P926" s="40"/>
      <c r="Q926" s="40"/>
      <c r="R926" s="40"/>
      <c r="S926" s="40"/>
      <c r="T926" s="40"/>
      <c r="U926" s="40"/>
      <c r="V926" s="62">
        <f t="shared" ref="V926:X926" si="838">SUMPRODUCT(V927:V931,$K927:$K931)</f>
        <v>0</v>
      </c>
      <c r="W926" s="62">
        <f t="shared" si="838"/>
        <v>0</v>
      </c>
      <c r="X926" s="62">
        <f t="shared" si="838"/>
        <v>0</v>
      </c>
      <c r="Y926" s="43">
        <f>SUMPRODUCT(Y927:Y931,$K927:$K931)</f>
        <v>0</v>
      </c>
      <c r="Z926" s="43">
        <f t="shared" ref="Z926:AA926" si="839">SUMPRODUCT(Z927:Z931,$K927:$K931)</f>
        <v>0</v>
      </c>
      <c r="AA926" s="43">
        <f t="shared" si="839"/>
        <v>0</v>
      </c>
    </row>
    <row r="927" spans="1:27" ht="18.75" customHeight="1" outlineLevel="6" x14ac:dyDescent="0.3">
      <c r="B927" s="44"/>
      <c r="C927" s="18"/>
      <c r="D927" s="24"/>
      <c r="E927" s="29"/>
      <c r="F927" s="34"/>
      <c r="G927" s="39"/>
      <c r="H927" s="46" t="s">
        <v>926</v>
      </c>
      <c r="I927" s="46" t="s">
        <v>45</v>
      </c>
      <c r="J927" s="47" t="s">
        <v>293</v>
      </c>
      <c r="K927" s="48">
        <v>0.1</v>
      </c>
      <c r="L927" s="49">
        <f>VLOOKUP(H927,[4]Sheet2!K:P,6,0)</f>
        <v>2.8000000000000003E-4</v>
      </c>
      <c r="M927" s="50">
        <f>VLOOKUP(H927,[4]Sheet2!K:Q,7,0)</f>
        <v>10700</v>
      </c>
      <c r="N927" s="51"/>
      <c r="O927" s="51"/>
      <c r="P927" s="51"/>
      <c r="Q927" s="51"/>
      <c r="R927" s="51"/>
      <c r="S927" s="51"/>
      <c r="T927" s="51"/>
      <c r="U927" s="51"/>
      <c r="V927" s="52">
        <f>VLOOKUP(H927,[4]Sheet2!K:N,4,0)</f>
        <v>0</v>
      </c>
      <c r="W927" s="52">
        <f t="shared" ref="W927:W931" si="840">X927-V927</f>
        <v>0</v>
      </c>
      <c r="X927" s="52">
        <f>VLOOKUP(H927,[4]Sheet2!K:N,4,0)</f>
        <v>0</v>
      </c>
      <c r="Y927" s="53">
        <f t="shared" ref="Y927:Y931" si="841">IFERROR(V927/M927,1)</f>
        <v>0</v>
      </c>
      <c r="Z927" s="53">
        <f t="shared" ref="Z927:Z931" si="842">IFERROR(W927/M927,1)</f>
        <v>0</v>
      </c>
      <c r="AA927" s="53">
        <f t="shared" ref="AA927:AA931" si="843">IFERROR(X927/M927,1)</f>
        <v>0</v>
      </c>
    </row>
    <row r="928" spans="1:27" ht="18.75" customHeight="1" outlineLevel="6" x14ac:dyDescent="0.3">
      <c r="A928" s="1" t="s">
        <v>891</v>
      </c>
      <c r="B928" s="44"/>
      <c r="C928" s="18"/>
      <c r="D928" s="24"/>
      <c r="E928" s="29"/>
      <c r="F928" s="34"/>
      <c r="G928" s="39"/>
      <c r="H928" s="46" t="s">
        <v>927</v>
      </c>
      <c r="I928" s="46" t="s">
        <v>48</v>
      </c>
      <c r="J928" s="47" t="s">
        <v>293</v>
      </c>
      <c r="K928" s="48">
        <v>0.6</v>
      </c>
      <c r="L928" s="49">
        <f>VLOOKUP(H928,[4]Sheet2!K:P,6,0)</f>
        <v>1.6800000000000003E-3</v>
      </c>
      <c r="M928" s="50">
        <f>VLOOKUP(H928,[4]Sheet2!K:Q,7,0)</f>
        <v>10700</v>
      </c>
      <c r="N928" s="51"/>
      <c r="O928" s="51"/>
      <c r="P928" s="51"/>
      <c r="Q928" s="51"/>
      <c r="R928" s="51"/>
      <c r="S928" s="51"/>
      <c r="T928" s="51"/>
      <c r="U928" s="51"/>
      <c r="V928" s="52">
        <f>VLOOKUP(H928,[4]Sheet2!K:N,4,0)</f>
        <v>0</v>
      </c>
      <c r="W928" s="52">
        <f t="shared" si="840"/>
        <v>0</v>
      </c>
      <c r="X928" s="52">
        <f>VLOOKUP(H928,[4]Sheet2!K:N,4,0)</f>
        <v>0</v>
      </c>
      <c r="Y928" s="53">
        <f t="shared" si="841"/>
        <v>0</v>
      </c>
      <c r="Z928" s="53">
        <f t="shared" si="842"/>
        <v>0</v>
      </c>
      <c r="AA928" s="53">
        <f t="shared" si="843"/>
        <v>0</v>
      </c>
    </row>
    <row r="929" spans="1:27" ht="18.75" customHeight="1" outlineLevel="6" x14ac:dyDescent="0.3">
      <c r="B929" s="44"/>
      <c r="C929" s="18"/>
      <c r="D929" s="24"/>
      <c r="E929" s="29"/>
      <c r="F929" s="34"/>
      <c r="G929" s="39"/>
      <c r="H929" s="46" t="s">
        <v>928</v>
      </c>
      <c r="I929" s="46" t="s">
        <v>296</v>
      </c>
      <c r="J929" s="47" t="s">
        <v>293</v>
      </c>
      <c r="K929" s="48">
        <v>0.15</v>
      </c>
      <c r="L929" s="49">
        <f>VLOOKUP(H929,[4]Sheet2!K:P,6,0)</f>
        <v>4.2000000000000007E-4</v>
      </c>
      <c r="M929" s="50">
        <f>VLOOKUP(H929,[4]Sheet2!K:Q,7,0)</f>
        <v>10700</v>
      </c>
      <c r="N929" s="51"/>
      <c r="O929" s="51"/>
      <c r="P929" s="51"/>
      <c r="Q929" s="51"/>
      <c r="R929" s="51"/>
      <c r="S929" s="51"/>
      <c r="T929" s="51"/>
      <c r="U929" s="51"/>
      <c r="V929" s="52">
        <f>VLOOKUP(H929,[4]Sheet2!K:N,4,0)</f>
        <v>0</v>
      </c>
      <c r="W929" s="52">
        <f t="shared" si="840"/>
        <v>0</v>
      </c>
      <c r="X929" s="52">
        <f>VLOOKUP(H929,[4]Sheet2!K:N,4,0)</f>
        <v>0</v>
      </c>
      <c r="Y929" s="53">
        <f t="shared" si="841"/>
        <v>0</v>
      </c>
      <c r="Z929" s="53">
        <f t="shared" si="842"/>
        <v>0</v>
      </c>
      <c r="AA929" s="53">
        <f t="shared" si="843"/>
        <v>0</v>
      </c>
    </row>
    <row r="930" spans="1:27" ht="18.75" customHeight="1" outlineLevel="6" x14ac:dyDescent="0.3">
      <c r="B930" s="44"/>
      <c r="C930" s="18"/>
      <c r="D930" s="24"/>
      <c r="E930" s="29"/>
      <c r="F930" s="34"/>
      <c r="G930" s="39"/>
      <c r="H930" s="46" t="s">
        <v>929</v>
      </c>
      <c r="I930" s="46" t="s">
        <v>298</v>
      </c>
      <c r="J930" s="47" t="s">
        <v>293</v>
      </c>
      <c r="K930" s="48">
        <v>0.1</v>
      </c>
      <c r="L930" s="49">
        <f>VLOOKUP(H930,[4]Sheet2!K:P,6,0)</f>
        <v>2.8000000000000003E-4</v>
      </c>
      <c r="M930" s="50">
        <f>VLOOKUP(H930,[4]Sheet2!K:Q,7,0)</f>
        <v>10700</v>
      </c>
      <c r="N930" s="51"/>
      <c r="O930" s="51"/>
      <c r="P930" s="51"/>
      <c r="Q930" s="51"/>
      <c r="R930" s="51"/>
      <c r="S930" s="51"/>
      <c r="T930" s="51"/>
      <c r="U930" s="51"/>
      <c r="V930" s="52">
        <f>VLOOKUP(H930,[4]Sheet2!K:N,4,0)</f>
        <v>0</v>
      </c>
      <c r="W930" s="52">
        <f t="shared" si="840"/>
        <v>0</v>
      </c>
      <c r="X930" s="52">
        <f>VLOOKUP(H930,[4]Sheet2!K:N,4,0)</f>
        <v>0</v>
      </c>
      <c r="Y930" s="53">
        <f t="shared" si="841"/>
        <v>0</v>
      </c>
      <c r="Z930" s="53">
        <f t="shared" si="842"/>
        <v>0</v>
      </c>
      <c r="AA930" s="53">
        <f t="shared" si="843"/>
        <v>0</v>
      </c>
    </row>
    <row r="931" spans="1:27" ht="18.75" customHeight="1" outlineLevel="6" x14ac:dyDescent="0.3">
      <c r="B931" s="44"/>
      <c r="C931" s="18"/>
      <c r="D931" s="24"/>
      <c r="E931" s="29"/>
      <c r="F931" s="34"/>
      <c r="G931" s="39"/>
      <c r="H931" s="46" t="s">
        <v>930</v>
      </c>
      <c r="I931" s="46" t="s">
        <v>56</v>
      </c>
      <c r="J931" s="47" t="s">
        <v>293</v>
      </c>
      <c r="K931" s="48">
        <v>0.05</v>
      </c>
      <c r="L931" s="49">
        <f>VLOOKUP(H931,[4]Sheet2!K:P,6,0)</f>
        <v>1.4000000000000001E-4</v>
      </c>
      <c r="M931" s="50">
        <f>VLOOKUP(H931,[4]Sheet2!K:Q,7,0)</f>
        <v>10700</v>
      </c>
      <c r="N931" s="51"/>
      <c r="O931" s="51"/>
      <c r="P931" s="51"/>
      <c r="Q931" s="51"/>
      <c r="R931" s="51"/>
      <c r="S931" s="51"/>
      <c r="T931" s="51"/>
      <c r="U931" s="51"/>
      <c r="V931" s="52">
        <f>VLOOKUP(H931,[4]Sheet2!K:N,4,0)</f>
        <v>0</v>
      </c>
      <c r="W931" s="52">
        <f t="shared" si="840"/>
        <v>0</v>
      </c>
      <c r="X931" s="52">
        <f>VLOOKUP(H931,[4]Sheet2!K:N,4,0)</f>
        <v>0</v>
      </c>
      <c r="Y931" s="53">
        <f t="shared" si="841"/>
        <v>0</v>
      </c>
      <c r="Z931" s="53">
        <f t="shared" si="842"/>
        <v>0</v>
      </c>
      <c r="AA931" s="53">
        <f t="shared" si="843"/>
        <v>0</v>
      </c>
    </row>
    <row r="932" spans="1:27" ht="18.75" customHeight="1" outlineLevel="5" x14ac:dyDescent="0.3">
      <c r="B932" s="12"/>
      <c r="C932" s="18"/>
      <c r="D932" s="24"/>
      <c r="E932" s="29"/>
      <c r="F932" s="34"/>
      <c r="G932" s="39" t="s">
        <v>431</v>
      </c>
      <c r="H932" s="58"/>
      <c r="I932" s="58"/>
      <c r="J932" s="58"/>
      <c r="K932" s="58"/>
      <c r="L932" s="41">
        <f>SUM(L933:L937)</f>
        <v>5.9999999999999993E-3</v>
      </c>
      <c r="M932" s="42">
        <f>M933</f>
        <v>36000</v>
      </c>
      <c r="N932" s="40"/>
      <c r="O932" s="40"/>
      <c r="P932" s="40"/>
      <c r="Q932" s="40"/>
      <c r="R932" s="40"/>
      <c r="S932" s="40"/>
      <c r="T932" s="40"/>
      <c r="U932" s="40"/>
      <c r="V932" s="62">
        <f t="shared" ref="V932:X932" si="844">SUMPRODUCT(V933:V937,$K933:$K937)</f>
        <v>0</v>
      </c>
      <c r="W932" s="62">
        <f t="shared" si="844"/>
        <v>0</v>
      </c>
      <c r="X932" s="62">
        <f t="shared" si="844"/>
        <v>0</v>
      </c>
      <c r="Y932" s="43">
        <f>SUMPRODUCT(Y933:Y937,$K933:$K937)</f>
        <v>0</v>
      </c>
      <c r="Z932" s="43">
        <f t="shared" ref="Z932:AA932" si="845">SUMPRODUCT(Z933:Z937,$K933:$K937)</f>
        <v>0</v>
      </c>
      <c r="AA932" s="43">
        <f t="shared" si="845"/>
        <v>0</v>
      </c>
    </row>
    <row r="933" spans="1:27" ht="18.75" customHeight="1" outlineLevel="6" x14ac:dyDescent="0.3">
      <c r="B933" s="44"/>
      <c r="C933" s="18"/>
      <c r="D933" s="24"/>
      <c r="E933" s="29"/>
      <c r="F933" s="34"/>
      <c r="G933" s="39"/>
      <c r="H933" s="46" t="s">
        <v>931</v>
      </c>
      <c r="I933" s="46" t="s">
        <v>45</v>
      </c>
      <c r="J933" s="47" t="s">
        <v>293</v>
      </c>
      <c r="K933" s="48">
        <v>0.1</v>
      </c>
      <c r="L933" s="49">
        <f>VLOOKUP(H933,[4]Sheet2!K:P,6,0)</f>
        <v>6.0000000000000006E-4</v>
      </c>
      <c r="M933" s="50">
        <f>VLOOKUP(H933,[4]Sheet2!K:Q,7,0)</f>
        <v>36000</v>
      </c>
      <c r="N933" s="51"/>
      <c r="O933" s="51"/>
      <c r="P933" s="51"/>
      <c r="Q933" s="51"/>
      <c r="R933" s="51"/>
      <c r="S933" s="51"/>
      <c r="T933" s="51"/>
      <c r="U933" s="51"/>
      <c r="V933" s="52">
        <f>VLOOKUP(H933,[4]Sheet2!K:N,4,0)</f>
        <v>0</v>
      </c>
      <c r="W933" s="52">
        <f t="shared" ref="W933:W937" si="846">X933-V933</f>
        <v>0</v>
      </c>
      <c r="X933" s="52">
        <f>VLOOKUP(H933,[4]Sheet2!K:N,4,0)</f>
        <v>0</v>
      </c>
      <c r="Y933" s="53">
        <f t="shared" ref="Y933:Y937" si="847">IFERROR(V933/M933,1)</f>
        <v>0</v>
      </c>
      <c r="Z933" s="53">
        <f t="shared" ref="Z933:Z937" si="848">IFERROR(W933/M933,1)</f>
        <v>0</v>
      </c>
      <c r="AA933" s="53">
        <f t="shared" ref="AA933:AA937" si="849">IFERROR(X933/M933,1)</f>
        <v>0</v>
      </c>
    </row>
    <row r="934" spans="1:27" ht="18.75" customHeight="1" outlineLevel="6" x14ac:dyDescent="0.3">
      <c r="A934" s="1" t="s">
        <v>891</v>
      </c>
      <c r="B934" s="44"/>
      <c r="C934" s="18"/>
      <c r="D934" s="24"/>
      <c r="E934" s="29"/>
      <c r="F934" s="34"/>
      <c r="G934" s="39"/>
      <c r="H934" s="46" t="s">
        <v>932</v>
      </c>
      <c r="I934" s="46" t="s">
        <v>48</v>
      </c>
      <c r="J934" s="47" t="s">
        <v>293</v>
      </c>
      <c r="K934" s="48">
        <v>0.6</v>
      </c>
      <c r="L934" s="49">
        <f>VLOOKUP(H934,[4]Sheet2!K:P,6,0)</f>
        <v>3.5999999999999999E-3</v>
      </c>
      <c r="M934" s="50">
        <f>VLOOKUP(H934,[4]Sheet2!K:Q,7,0)</f>
        <v>36000</v>
      </c>
      <c r="N934" s="51"/>
      <c r="O934" s="51"/>
      <c r="P934" s="51"/>
      <c r="Q934" s="51"/>
      <c r="R934" s="51"/>
      <c r="S934" s="51"/>
      <c r="T934" s="51"/>
      <c r="U934" s="51"/>
      <c r="V934" s="52">
        <f>VLOOKUP(H934,[4]Sheet2!K:N,4,0)</f>
        <v>0</v>
      </c>
      <c r="W934" s="52">
        <f t="shared" si="846"/>
        <v>0</v>
      </c>
      <c r="X934" s="52">
        <f>VLOOKUP(H934,[4]Sheet2!K:N,4,0)</f>
        <v>0</v>
      </c>
      <c r="Y934" s="53">
        <f t="shared" si="847"/>
        <v>0</v>
      </c>
      <c r="Z934" s="53">
        <f t="shared" si="848"/>
        <v>0</v>
      </c>
      <c r="AA934" s="53">
        <f t="shared" si="849"/>
        <v>0</v>
      </c>
    </row>
    <row r="935" spans="1:27" ht="18.75" customHeight="1" outlineLevel="6" x14ac:dyDescent="0.3">
      <c r="B935" s="44"/>
      <c r="C935" s="18"/>
      <c r="D935" s="24"/>
      <c r="E935" s="29"/>
      <c r="F935" s="34"/>
      <c r="G935" s="39"/>
      <c r="H935" s="46" t="s">
        <v>933</v>
      </c>
      <c r="I935" s="46" t="s">
        <v>296</v>
      </c>
      <c r="J935" s="47" t="s">
        <v>293</v>
      </c>
      <c r="K935" s="48">
        <v>0.15</v>
      </c>
      <c r="L935" s="49">
        <f>VLOOKUP(H935,[4]Sheet2!K:P,6,0)</f>
        <v>8.9999999999999998E-4</v>
      </c>
      <c r="M935" s="50">
        <f>VLOOKUP(H935,[4]Sheet2!K:Q,7,0)</f>
        <v>36000</v>
      </c>
      <c r="N935" s="51"/>
      <c r="O935" s="51"/>
      <c r="P935" s="51"/>
      <c r="Q935" s="51"/>
      <c r="R935" s="51"/>
      <c r="S935" s="51"/>
      <c r="T935" s="51"/>
      <c r="U935" s="51"/>
      <c r="V935" s="52">
        <f>VLOOKUP(H935,[4]Sheet2!K:N,4,0)</f>
        <v>0</v>
      </c>
      <c r="W935" s="52">
        <f t="shared" si="846"/>
        <v>0</v>
      </c>
      <c r="X935" s="52">
        <f>VLOOKUP(H935,[4]Sheet2!K:N,4,0)</f>
        <v>0</v>
      </c>
      <c r="Y935" s="53">
        <f t="shared" si="847"/>
        <v>0</v>
      </c>
      <c r="Z935" s="53">
        <f t="shared" si="848"/>
        <v>0</v>
      </c>
      <c r="AA935" s="53">
        <f t="shared" si="849"/>
        <v>0</v>
      </c>
    </row>
    <row r="936" spans="1:27" ht="18.75" customHeight="1" outlineLevel="6" x14ac:dyDescent="0.3">
      <c r="B936" s="44"/>
      <c r="C936" s="18"/>
      <c r="D936" s="24"/>
      <c r="E936" s="29"/>
      <c r="F936" s="34"/>
      <c r="G936" s="39"/>
      <c r="H936" s="46" t="s">
        <v>934</v>
      </c>
      <c r="I936" s="46" t="s">
        <v>298</v>
      </c>
      <c r="J936" s="47" t="s">
        <v>293</v>
      </c>
      <c r="K936" s="48">
        <v>0.1</v>
      </c>
      <c r="L936" s="49">
        <f>VLOOKUP(H936,[4]Sheet2!K:P,6,0)</f>
        <v>6.0000000000000006E-4</v>
      </c>
      <c r="M936" s="50">
        <f>VLOOKUP(H936,[4]Sheet2!K:Q,7,0)</f>
        <v>36000</v>
      </c>
      <c r="N936" s="51"/>
      <c r="O936" s="51"/>
      <c r="P936" s="51"/>
      <c r="Q936" s="51"/>
      <c r="R936" s="51"/>
      <c r="S936" s="51"/>
      <c r="T936" s="51"/>
      <c r="U936" s="51"/>
      <c r="V936" s="52">
        <f>VLOOKUP(H936,[4]Sheet2!K:N,4,0)</f>
        <v>0</v>
      </c>
      <c r="W936" s="52">
        <f t="shared" si="846"/>
        <v>0</v>
      </c>
      <c r="X936" s="52">
        <f>VLOOKUP(H936,[4]Sheet2!K:N,4,0)</f>
        <v>0</v>
      </c>
      <c r="Y936" s="53">
        <f t="shared" si="847"/>
        <v>0</v>
      </c>
      <c r="Z936" s="53">
        <f t="shared" si="848"/>
        <v>0</v>
      </c>
      <c r="AA936" s="53">
        <f t="shared" si="849"/>
        <v>0</v>
      </c>
    </row>
    <row r="937" spans="1:27" ht="18.75" customHeight="1" outlineLevel="6" x14ac:dyDescent="0.3">
      <c r="B937" s="44"/>
      <c r="C937" s="18"/>
      <c r="D937" s="24"/>
      <c r="E937" s="29"/>
      <c r="F937" s="34"/>
      <c r="G937" s="39"/>
      <c r="H937" s="46" t="s">
        <v>935</v>
      </c>
      <c r="I937" s="46" t="s">
        <v>56</v>
      </c>
      <c r="J937" s="47" t="s">
        <v>293</v>
      </c>
      <c r="K937" s="48">
        <v>0.05</v>
      </c>
      <c r="L937" s="49">
        <f>VLOOKUP(H937,[4]Sheet2!K:P,6,0)</f>
        <v>3.0000000000000003E-4</v>
      </c>
      <c r="M937" s="50">
        <f>VLOOKUP(H937,[4]Sheet2!K:Q,7,0)</f>
        <v>36000</v>
      </c>
      <c r="N937" s="51"/>
      <c r="O937" s="51"/>
      <c r="P937" s="51"/>
      <c r="Q937" s="51"/>
      <c r="R937" s="51"/>
      <c r="S937" s="51"/>
      <c r="T937" s="51"/>
      <c r="U937" s="51"/>
      <c r="V937" s="52">
        <f>VLOOKUP(H937,[4]Sheet2!K:N,4,0)</f>
        <v>0</v>
      </c>
      <c r="W937" s="52">
        <f t="shared" si="846"/>
        <v>0</v>
      </c>
      <c r="X937" s="52">
        <f>VLOOKUP(H937,[4]Sheet2!K:N,4,0)</f>
        <v>0</v>
      </c>
      <c r="Y937" s="53">
        <f t="shared" si="847"/>
        <v>0</v>
      </c>
      <c r="Z937" s="53">
        <f t="shared" si="848"/>
        <v>0</v>
      </c>
      <c r="AA937" s="53">
        <f t="shared" si="849"/>
        <v>0</v>
      </c>
    </row>
    <row r="938" spans="1:27" ht="18.75" customHeight="1" outlineLevel="5" x14ac:dyDescent="0.3">
      <c r="B938" s="12"/>
      <c r="C938" s="18"/>
      <c r="D938" s="24"/>
      <c r="E938" s="29"/>
      <c r="F938" s="34"/>
      <c r="G938" s="39" t="s">
        <v>437</v>
      </c>
      <c r="H938" s="58"/>
      <c r="I938" s="58"/>
      <c r="J938" s="58"/>
      <c r="K938" s="58"/>
      <c r="L938" s="41">
        <f>SUM(L939:L943)</f>
        <v>2E-3</v>
      </c>
      <c r="M938" s="42">
        <f>M939</f>
        <v>1900</v>
      </c>
      <c r="N938" s="40"/>
      <c r="O938" s="40"/>
      <c r="P938" s="40"/>
      <c r="Q938" s="40"/>
      <c r="R938" s="40"/>
      <c r="S938" s="40"/>
      <c r="T938" s="40"/>
      <c r="U938" s="40"/>
      <c r="V938" s="62">
        <f t="shared" ref="V938:X938" si="850">SUMPRODUCT(V939:V943,$K939:$K943)</f>
        <v>0</v>
      </c>
      <c r="W938" s="62">
        <f t="shared" si="850"/>
        <v>0</v>
      </c>
      <c r="X938" s="62">
        <f t="shared" si="850"/>
        <v>0</v>
      </c>
      <c r="Y938" s="43">
        <f>SUMPRODUCT(Y939:Y943,$K939:$K943)</f>
        <v>0</v>
      </c>
      <c r="Z938" s="43">
        <f t="shared" ref="Z938:AA938" si="851">SUMPRODUCT(Z939:Z943,$K939:$K943)</f>
        <v>0</v>
      </c>
      <c r="AA938" s="43">
        <f t="shared" si="851"/>
        <v>0</v>
      </c>
    </row>
    <row r="939" spans="1:27" ht="18.75" customHeight="1" outlineLevel="6" x14ac:dyDescent="0.3">
      <c r="B939" s="44"/>
      <c r="C939" s="18"/>
      <c r="D939" s="24"/>
      <c r="E939" s="29"/>
      <c r="F939" s="34"/>
      <c r="G939" s="39"/>
      <c r="H939" s="46" t="s">
        <v>936</v>
      </c>
      <c r="I939" s="46" t="s">
        <v>45</v>
      </c>
      <c r="J939" s="47" t="s">
        <v>293</v>
      </c>
      <c r="K939" s="48">
        <v>0.1</v>
      </c>
      <c r="L939" s="49">
        <f>VLOOKUP(H939,[4]Sheet2!K:P,6,0)</f>
        <v>2.0000000000000001E-4</v>
      </c>
      <c r="M939" s="50">
        <f>VLOOKUP(H939,[4]Sheet2!K:Q,7,0)</f>
        <v>1900</v>
      </c>
      <c r="N939" s="51"/>
      <c r="O939" s="51"/>
      <c r="P939" s="51"/>
      <c r="Q939" s="51"/>
      <c r="R939" s="51"/>
      <c r="S939" s="51"/>
      <c r="T939" s="51"/>
      <c r="U939" s="51"/>
      <c r="V939" s="52">
        <f>VLOOKUP(H939,[4]Sheet2!K:N,4,0)</f>
        <v>0</v>
      </c>
      <c r="W939" s="52">
        <f t="shared" ref="W939:W943" si="852">X939-V939</f>
        <v>0</v>
      </c>
      <c r="X939" s="52">
        <f>VLOOKUP(H939,[4]Sheet2!K:N,4,0)</f>
        <v>0</v>
      </c>
      <c r="Y939" s="53">
        <f t="shared" ref="Y939:Y943" si="853">IFERROR(V939/M939,1)</f>
        <v>0</v>
      </c>
      <c r="Z939" s="53">
        <f t="shared" ref="Z939:Z943" si="854">IFERROR(W939/M939,1)</f>
        <v>0</v>
      </c>
      <c r="AA939" s="53">
        <f t="shared" ref="AA939:AA943" si="855">IFERROR(X939/M939,1)</f>
        <v>0</v>
      </c>
    </row>
    <row r="940" spans="1:27" ht="18.75" customHeight="1" outlineLevel="6" x14ac:dyDescent="0.3">
      <c r="A940" s="1" t="s">
        <v>891</v>
      </c>
      <c r="B940" s="44"/>
      <c r="C940" s="18"/>
      <c r="D940" s="24"/>
      <c r="E940" s="29"/>
      <c r="F940" s="34"/>
      <c r="G940" s="39"/>
      <c r="H940" s="46" t="s">
        <v>937</v>
      </c>
      <c r="I940" s="46" t="s">
        <v>48</v>
      </c>
      <c r="J940" s="47" t="s">
        <v>293</v>
      </c>
      <c r="K940" s="48">
        <v>0.6</v>
      </c>
      <c r="L940" s="49">
        <f>VLOOKUP(H940,[4]Sheet2!K:P,6,0)</f>
        <v>1.2000000000000001E-3</v>
      </c>
      <c r="M940" s="50">
        <f>VLOOKUP(H940,[4]Sheet2!K:Q,7,0)</f>
        <v>1900</v>
      </c>
      <c r="N940" s="51"/>
      <c r="O940" s="51"/>
      <c r="P940" s="51"/>
      <c r="Q940" s="51"/>
      <c r="R940" s="51"/>
      <c r="S940" s="51"/>
      <c r="T940" s="51"/>
      <c r="U940" s="51"/>
      <c r="V940" s="52">
        <f>VLOOKUP(H940,[4]Sheet2!K:N,4,0)</f>
        <v>0</v>
      </c>
      <c r="W940" s="52">
        <f t="shared" si="852"/>
        <v>0</v>
      </c>
      <c r="X940" s="52">
        <f>VLOOKUP(H940,[4]Sheet2!K:N,4,0)</f>
        <v>0</v>
      </c>
      <c r="Y940" s="53">
        <f t="shared" si="853"/>
        <v>0</v>
      </c>
      <c r="Z940" s="53">
        <f t="shared" si="854"/>
        <v>0</v>
      </c>
      <c r="AA940" s="53">
        <f t="shared" si="855"/>
        <v>0</v>
      </c>
    </row>
    <row r="941" spans="1:27" ht="18.75" customHeight="1" outlineLevel="6" x14ac:dyDescent="0.3">
      <c r="B941" s="44"/>
      <c r="C941" s="18"/>
      <c r="D941" s="24"/>
      <c r="E941" s="29"/>
      <c r="F941" s="34"/>
      <c r="G941" s="39"/>
      <c r="H941" s="46" t="s">
        <v>938</v>
      </c>
      <c r="I941" s="46" t="s">
        <v>296</v>
      </c>
      <c r="J941" s="47" t="s">
        <v>293</v>
      </c>
      <c r="K941" s="48">
        <v>0.15</v>
      </c>
      <c r="L941" s="49">
        <f>VLOOKUP(H941,[4]Sheet2!K:P,6,0)</f>
        <v>3.0000000000000003E-4</v>
      </c>
      <c r="M941" s="50">
        <f>VLOOKUP(H941,[4]Sheet2!K:Q,7,0)</f>
        <v>1900</v>
      </c>
      <c r="N941" s="51"/>
      <c r="O941" s="51"/>
      <c r="P941" s="51"/>
      <c r="Q941" s="51"/>
      <c r="R941" s="51"/>
      <c r="S941" s="51"/>
      <c r="T941" s="51"/>
      <c r="U941" s="51"/>
      <c r="V941" s="52">
        <f>VLOOKUP(H941,[4]Sheet2!K:N,4,0)</f>
        <v>0</v>
      </c>
      <c r="W941" s="52">
        <f t="shared" si="852"/>
        <v>0</v>
      </c>
      <c r="X941" s="52">
        <f>VLOOKUP(H941,[4]Sheet2!K:N,4,0)</f>
        <v>0</v>
      </c>
      <c r="Y941" s="53">
        <f t="shared" si="853"/>
        <v>0</v>
      </c>
      <c r="Z941" s="53">
        <f t="shared" si="854"/>
        <v>0</v>
      </c>
      <c r="AA941" s="53">
        <f t="shared" si="855"/>
        <v>0</v>
      </c>
    </row>
    <row r="942" spans="1:27" ht="18.75" customHeight="1" outlineLevel="6" x14ac:dyDescent="0.3">
      <c r="B942" s="44"/>
      <c r="C942" s="18"/>
      <c r="D942" s="24"/>
      <c r="E942" s="29"/>
      <c r="F942" s="34"/>
      <c r="G942" s="39"/>
      <c r="H942" s="46" t="s">
        <v>939</v>
      </c>
      <c r="I942" s="46" t="s">
        <v>298</v>
      </c>
      <c r="J942" s="47" t="s">
        <v>293</v>
      </c>
      <c r="K942" s="48">
        <v>0.1</v>
      </c>
      <c r="L942" s="49">
        <f>VLOOKUP(H942,[4]Sheet2!K:P,6,0)</f>
        <v>2.0000000000000001E-4</v>
      </c>
      <c r="M942" s="50">
        <f>VLOOKUP(H942,[4]Sheet2!K:Q,7,0)</f>
        <v>1900</v>
      </c>
      <c r="N942" s="51"/>
      <c r="O942" s="51"/>
      <c r="P942" s="51"/>
      <c r="Q942" s="51"/>
      <c r="R942" s="51"/>
      <c r="S942" s="51"/>
      <c r="T942" s="51"/>
      <c r="U942" s="51"/>
      <c r="V942" s="52">
        <f>VLOOKUP(H942,[4]Sheet2!K:N,4,0)</f>
        <v>0</v>
      </c>
      <c r="W942" s="52">
        <f t="shared" si="852"/>
        <v>0</v>
      </c>
      <c r="X942" s="52">
        <f>VLOOKUP(H942,[4]Sheet2!K:N,4,0)</f>
        <v>0</v>
      </c>
      <c r="Y942" s="53">
        <f t="shared" si="853"/>
        <v>0</v>
      </c>
      <c r="Z942" s="53">
        <f t="shared" si="854"/>
        <v>0</v>
      </c>
      <c r="AA942" s="53">
        <f t="shared" si="855"/>
        <v>0</v>
      </c>
    </row>
    <row r="943" spans="1:27" ht="18.75" customHeight="1" outlineLevel="6" x14ac:dyDescent="0.3">
      <c r="B943" s="44"/>
      <c r="C943" s="18"/>
      <c r="D943" s="24"/>
      <c r="E943" s="29"/>
      <c r="F943" s="34"/>
      <c r="G943" s="39"/>
      <c r="H943" s="46" t="s">
        <v>940</v>
      </c>
      <c r="I943" s="46" t="s">
        <v>56</v>
      </c>
      <c r="J943" s="47" t="s">
        <v>293</v>
      </c>
      <c r="K943" s="48">
        <v>0.05</v>
      </c>
      <c r="L943" s="49">
        <f>VLOOKUP(H943,[4]Sheet2!K:P,6,0)</f>
        <v>1E-4</v>
      </c>
      <c r="M943" s="50">
        <f>VLOOKUP(H943,[4]Sheet2!K:Q,7,0)</f>
        <v>1900</v>
      </c>
      <c r="N943" s="51"/>
      <c r="O943" s="51"/>
      <c r="P943" s="51"/>
      <c r="Q943" s="51"/>
      <c r="R943" s="51"/>
      <c r="S943" s="51"/>
      <c r="T943" s="51"/>
      <c r="U943" s="51"/>
      <c r="V943" s="52">
        <f>VLOOKUP(H943,[4]Sheet2!K:N,4,0)</f>
        <v>0</v>
      </c>
      <c r="W943" s="52">
        <f t="shared" si="852"/>
        <v>0</v>
      </c>
      <c r="X943" s="52">
        <f>VLOOKUP(H943,[4]Sheet2!K:N,4,0)</f>
        <v>0</v>
      </c>
      <c r="Y943" s="53">
        <f t="shared" si="853"/>
        <v>0</v>
      </c>
      <c r="Z943" s="53">
        <f t="shared" si="854"/>
        <v>0</v>
      </c>
      <c r="AA943" s="53">
        <f t="shared" si="855"/>
        <v>0</v>
      </c>
    </row>
    <row r="944" spans="1:27" ht="18.75" customHeight="1" outlineLevel="5" x14ac:dyDescent="0.3">
      <c r="B944" s="12"/>
      <c r="C944" s="18"/>
      <c r="D944" s="24"/>
      <c r="E944" s="29"/>
      <c r="F944" s="34"/>
      <c r="G944" s="39" t="s">
        <v>443</v>
      </c>
      <c r="H944" s="58"/>
      <c r="I944" s="58"/>
      <c r="J944" s="58"/>
      <c r="K944" s="58"/>
      <c r="L944" s="41">
        <f>SUM(L945:L949)</f>
        <v>2.5000000000000005E-3</v>
      </c>
      <c r="M944" s="42">
        <f>M945</f>
        <v>6000</v>
      </c>
      <c r="N944" s="40"/>
      <c r="O944" s="40"/>
      <c r="P944" s="40"/>
      <c r="Q944" s="40"/>
      <c r="R944" s="40"/>
      <c r="S944" s="40"/>
      <c r="T944" s="40"/>
      <c r="U944" s="40"/>
      <c r="V944" s="62">
        <f t="shared" ref="V944:X944" si="856">SUMPRODUCT(V945:V949,$K945:$K949)</f>
        <v>0</v>
      </c>
      <c r="W944" s="62">
        <f t="shared" si="856"/>
        <v>0</v>
      </c>
      <c r="X944" s="62">
        <f t="shared" si="856"/>
        <v>0</v>
      </c>
      <c r="Y944" s="43">
        <f>SUMPRODUCT(Y945:Y949,$K945:$K949)</f>
        <v>0</v>
      </c>
      <c r="Z944" s="43">
        <f t="shared" ref="Z944:AA944" si="857">SUMPRODUCT(Z945:Z949,$K945:$K949)</f>
        <v>0</v>
      </c>
      <c r="AA944" s="43">
        <f t="shared" si="857"/>
        <v>0</v>
      </c>
    </row>
    <row r="945" spans="1:27" ht="18.75" customHeight="1" outlineLevel="6" x14ac:dyDescent="0.3">
      <c r="B945" s="44"/>
      <c r="C945" s="18"/>
      <c r="D945" s="24"/>
      <c r="E945" s="29"/>
      <c r="F945" s="34"/>
      <c r="G945" s="39"/>
      <c r="H945" s="46" t="s">
        <v>941</v>
      </c>
      <c r="I945" s="46" t="s">
        <v>45</v>
      </c>
      <c r="J945" s="47" t="s">
        <v>293</v>
      </c>
      <c r="K945" s="48">
        <v>0.1</v>
      </c>
      <c r="L945" s="49">
        <f>VLOOKUP(H945,[4]Sheet2!K:P,6,0)</f>
        <v>2.5000000000000001E-4</v>
      </c>
      <c r="M945" s="50">
        <f>VLOOKUP(H945,[4]Sheet2!K:Q,7,0)</f>
        <v>6000</v>
      </c>
      <c r="N945" s="51"/>
      <c r="O945" s="51"/>
      <c r="P945" s="51"/>
      <c r="Q945" s="51"/>
      <c r="R945" s="51"/>
      <c r="S945" s="51"/>
      <c r="T945" s="51"/>
      <c r="U945" s="51"/>
      <c r="V945" s="52">
        <f>VLOOKUP(H945,[4]Sheet2!K:N,4,0)</f>
        <v>0</v>
      </c>
      <c r="W945" s="52">
        <f t="shared" ref="W945:W949" si="858">X945-V945</f>
        <v>0</v>
      </c>
      <c r="X945" s="52">
        <f>VLOOKUP(H945,[4]Sheet2!K:N,4,0)</f>
        <v>0</v>
      </c>
      <c r="Y945" s="53">
        <f t="shared" ref="Y945:Y949" si="859">IFERROR(V945/M945,1)</f>
        <v>0</v>
      </c>
      <c r="Z945" s="53">
        <f t="shared" ref="Z945:Z949" si="860">IFERROR(W945/M945,1)</f>
        <v>0</v>
      </c>
      <c r="AA945" s="53">
        <f t="shared" ref="AA945:AA949" si="861">IFERROR(X945/M945,1)</f>
        <v>0</v>
      </c>
    </row>
    <row r="946" spans="1:27" ht="18.75" customHeight="1" outlineLevel="6" x14ac:dyDescent="0.3">
      <c r="A946" s="1" t="s">
        <v>891</v>
      </c>
      <c r="B946" s="44"/>
      <c r="C946" s="18"/>
      <c r="D946" s="24"/>
      <c r="E946" s="29"/>
      <c r="F946" s="34"/>
      <c r="G946" s="39"/>
      <c r="H946" s="46" t="s">
        <v>942</v>
      </c>
      <c r="I946" s="46" t="s">
        <v>48</v>
      </c>
      <c r="J946" s="47" t="s">
        <v>293</v>
      </c>
      <c r="K946" s="48">
        <v>0.6</v>
      </c>
      <c r="L946" s="49">
        <f>VLOOKUP(H946,[4]Sheet2!K:P,6,0)</f>
        <v>1.5E-3</v>
      </c>
      <c r="M946" s="50">
        <f>VLOOKUP(H946,[4]Sheet2!K:Q,7,0)</f>
        <v>6000</v>
      </c>
      <c r="N946" s="51"/>
      <c r="O946" s="51"/>
      <c r="P946" s="51"/>
      <c r="Q946" s="51"/>
      <c r="R946" s="51"/>
      <c r="S946" s="51"/>
      <c r="T946" s="51"/>
      <c r="U946" s="51"/>
      <c r="V946" s="52">
        <f>VLOOKUP(H946,[4]Sheet2!K:N,4,0)</f>
        <v>0</v>
      </c>
      <c r="W946" s="52">
        <f t="shared" si="858"/>
        <v>0</v>
      </c>
      <c r="X946" s="52">
        <f>VLOOKUP(H946,[4]Sheet2!K:N,4,0)</f>
        <v>0</v>
      </c>
      <c r="Y946" s="53">
        <f t="shared" si="859"/>
        <v>0</v>
      </c>
      <c r="Z946" s="53">
        <f t="shared" si="860"/>
        <v>0</v>
      </c>
      <c r="AA946" s="53">
        <f t="shared" si="861"/>
        <v>0</v>
      </c>
    </row>
    <row r="947" spans="1:27" ht="18.75" customHeight="1" outlineLevel="6" x14ac:dyDescent="0.3">
      <c r="B947" s="44"/>
      <c r="C947" s="18"/>
      <c r="D947" s="24"/>
      <c r="E947" s="29"/>
      <c r="F947" s="34"/>
      <c r="G947" s="39"/>
      <c r="H947" s="46" t="s">
        <v>943</v>
      </c>
      <c r="I947" s="46" t="s">
        <v>296</v>
      </c>
      <c r="J947" s="47" t="s">
        <v>293</v>
      </c>
      <c r="K947" s="48">
        <v>0.15</v>
      </c>
      <c r="L947" s="49">
        <f>VLOOKUP(H947,[4]Sheet2!K:P,6,0)</f>
        <v>3.7500000000000001E-4</v>
      </c>
      <c r="M947" s="50">
        <f>VLOOKUP(H947,[4]Sheet2!K:Q,7,0)</f>
        <v>6000</v>
      </c>
      <c r="N947" s="51"/>
      <c r="O947" s="51"/>
      <c r="P947" s="51"/>
      <c r="Q947" s="51"/>
      <c r="R947" s="51"/>
      <c r="S947" s="51"/>
      <c r="T947" s="51"/>
      <c r="U947" s="51"/>
      <c r="V947" s="52">
        <f>VLOOKUP(H947,[4]Sheet2!K:N,4,0)</f>
        <v>0</v>
      </c>
      <c r="W947" s="52">
        <f t="shared" si="858"/>
        <v>0</v>
      </c>
      <c r="X947" s="52">
        <f>VLOOKUP(H947,[4]Sheet2!K:N,4,0)</f>
        <v>0</v>
      </c>
      <c r="Y947" s="53">
        <f t="shared" si="859"/>
        <v>0</v>
      </c>
      <c r="Z947" s="53">
        <f t="shared" si="860"/>
        <v>0</v>
      </c>
      <c r="AA947" s="53">
        <f t="shared" si="861"/>
        <v>0</v>
      </c>
    </row>
    <row r="948" spans="1:27" ht="18.75" customHeight="1" outlineLevel="6" x14ac:dyDescent="0.3">
      <c r="B948" s="44"/>
      <c r="C948" s="18"/>
      <c r="D948" s="24"/>
      <c r="E948" s="29"/>
      <c r="F948" s="34"/>
      <c r="G948" s="39"/>
      <c r="H948" s="46" t="s">
        <v>944</v>
      </c>
      <c r="I948" s="46" t="s">
        <v>298</v>
      </c>
      <c r="J948" s="47" t="s">
        <v>293</v>
      </c>
      <c r="K948" s="48">
        <v>0.1</v>
      </c>
      <c r="L948" s="49">
        <f>VLOOKUP(H948,[4]Sheet2!K:P,6,0)</f>
        <v>2.5000000000000001E-4</v>
      </c>
      <c r="M948" s="50">
        <f>VLOOKUP(H948,[4]Sheet2!K:Q,7,0)</f>
        <v>6000</v>
      </c>
      <c r="N948" s="51"/>
      <c r="O948" s="51"/>
      <c r="P948" s="51"/>
      <c r="Q948" s="51"/>
      <c r="R948" s="51"/>
      <c r="S948" s="51"/>
      <c r="T948" s="51"/>
      <c r="U948" s="51"/>
      <c r="V948" s="52">
        <f>VLOOKUP(H948,[4]Sheet2!K:N,4,0)</f>
        <v>0</v>
      </c>
      <c r="W948" s="52">
        <f t="shared" si="858"/>
        <v>0</v>
      </c>
      <c r="X948" s="52">
        <f>VLOOKUP(H948,[4]Sheet2!K:N,4,0)</f>
        <v>0</v>
      </c>
      <c r="Y948" s="53">
        <f t="shared" si="859"/>
        <v>0</v>
      </c>
      <c r="Z948" s="53">
        <f t="shared" si="860"/>
        <v>0</v>
      </c>
      <c r="AA948" s="53">
        <f t="shared" si="861"/>
        <v>0</v>
      </c>
    </row>
    <row r="949" spans="1:27" ht="18.75" customHeight="1" outlineLevel="6" x14ac:dyDescent="0.3">
      <c r="B949" s="44"/>
      <c r="C949" s="18"/>
      <c r="D949" s="24"/>
      <c r="E949" s="29"/>
      <c r="F949" s="34"/>
      <c r="G949" s="39"/>
      <c r="H949" s="46" t="s">
        <v>945</v>
      </c>
      <c r="I949" s="46" t="s">
        <v>56</v>
      </c>
      <c r="J949" s="47" t="s">
        <v>293</v>
      </c>
      <c r="K949" s="48">
        <v>0.05</v>
      </c>
      <c r="L949" s="49">
        <f>VLOOKUP(H949,[4]Sheet2!K:P,6,0)</f>
        <v>1.25E-4</v>
      </c>
      <c r="M949" s="50">
        <f>VLOOKUP(H949,[4]Sheet2!K:Q,7,0)</f>
        <v>6000</v>
      </c>
      <c r="N949" s="51"/>
      <c r="O949" s="51"/>
      <c r="P949" s="51"/>
      <c r="Q949" s="51"/>
      <c r="R949" s="51"/>
      <c r="S949" s="51"/>
      <c r="T949" s="51"/>
      <c r="U949" s="51"/>
      <c r="V949" s="52">
        <f>VLOOKUP(H949,[4]Sheet2!K:N,4,0)</f>
        <v>0</v>
      </c>
      <c r="W949" s="52">
        <f t="shared" si="858"/>
        <v>0</v>
      </c>
      <c r="X949" s="52">
        <f>VLOOKUP(H949,[4]Sheet2!K:N,4,0)</f>
        <v>0</v>
      </c>
      <c r="Y949" s="53">
        <f t="shared" si="859"/>
        <v>0</v>
      </c>
      <c r="Z949" s="53">
        <f t="shared" si="860"/>
        <v>0</v>
      </c>
      <c r="AA949" s="53">
        <f t="shared" si="861"/>
        <v>0</v>
      </c>
    </row>
    <row r="950" spans="1:27" ht="18.75" customHeight="1" outlineLevel="5" x14ac:dyDescent="0.3">
      <c r="B950" s="12"/>
      <c r="C950" s="18"/>
      <c r="D950" s="24"/>
      <c r="E950" s="29"/>
      <c r="F950" s="34"/>
      <c r="G950" s="39" t="s">
        <v>449</v>
      </c>
      <c r="H950" s="58"/>
      <c r="I950" s="58"/>
      <c r="J950" s="58"/>
      <c r="K950" s="58"/>
      <c r="L950" s="41">
        <f>SUM(L951:L955)</f>
        <v>4.0000000000000001E-3</v>
      </c>
      <c r="M950" s="42">
        <f>M951</f>
        <v>14277</v>
      </c>
      <c r="N950" s="40"/>
      <c r="O950" s="40"/>
      <c r="P950" s="40"/>
      <c r="Q950" s="40"/>
      <c r="R950" s="40"/>
      <c r="S950" s="40"/>
      <c r="T950" s="40"/>
      <c r="U950" s="40"/>
      <c r="V950" s="62">
        <f t="shared" ref="V950:X950" si="862">SUMPRODUCT(V951:V955,$K951:$K955)</f>
        <v>0</v>
      </c>
      <c r="W950" s="62">
        <f t="shared" si="862"/>
        <v>0</v>
      </c>
      <c r="X950" s="62">
        <f t="shared" si="862"/>
        <v>0</v>
      </c>
      <c r="Y950" s="43">
        <f>SUMPRODUCT(Y951:Y955,$K951:$K955)</f>
        <v>0</v>
      </c>
      <c r="Z950" s="43">
        <f t="shared" ref="Z950:AA950" si="863">SUMPRODUCT(Z951:Z955,$K951:$K955)</f>
        <v>0</v>
      </c>
      <c r="AA950" s="43">
        <f t="shared" si="863"/>
        <v>0</v>
      </c>
    </row>
    <row r="951" spans="1:27" ht="18.75" customHeight="1" outlineLevel="6" x14ac:dyDescent="0.3">
      <c r="B951" s="44"/>
      <c r="C951" s="18"/>
      <c r="D951" s="24"/>
      <c r="E951" s="29"/>
      <c r="F951" s="34"/>
      <c r="G951" s="39"/>
      <c r="H951" s="46" t="s">
        <v>946</v>
      </c>
      <c r="I951" s="46" t="s">
        <v>45</v>
      </c>
      <c r="J951" s="47" t="s">
        <v>293</v>
      </c>
      <c r="K951" s="48">
        <v>0.1</v>
      </c>
      <c r="L951" s="49">
        <f>VLOOKUP(H951,[4]Sheet2!K:P,6,0)</f>
        <v>4.0000000000000002E-4</v>
      </c>
      <c r="M951" s="50">
        <f>VLOOKUP(H951,[4]Sheet2!K:Q,7,0)</f>
        <v>14277</v>
      </c>
      <c r="N951" s="51"/>
      <c r="O951" s="51"/>
      <c r="P951" s="51"/>
      <c r="Q951" s="51"/>
      <c r="R951" s="51"/>
      <c r="S951" s="51"/>
      <c r="T951" s="51"/>
      <c r="U951" s="51"/>
      <c r="V951" s="52">
        <f>VLOOKUP(H951,[4]Sheet2!K:N,4,0)</f>
        <v>0</v>
      </c>
      <c r="W951" s="52">
        <f t="shared" ref="W951:W955" si="864">X951-V951</f>
        <v>0</v>
      </c>
      <c r="X951" s="52">
        <f>VLOOKUP(H951,[4]Sheet2!K:N,4,0)</f>
        <v>0</v>
      </c>
      <c r="Y951" s="53">
        <f t="shared" ref="Y951:Y955" si="865">IFERROR(V951/M951,1)</f>
        <v>0</v>
      </c>
      <c r="Z951" s="53">
        <f t="shared" ref="Z951:Z955" si="866">IFERROR(W951/M951,1)</f>
        <v>0</v>
      </c>
      <c r="AA951" s="53">
        <f t="shared" ref="AA951:AA955" si="867">IFERROR(X951/M951,1)</f>
        <v>0</v>
      </c>
    </row>
    <row r="952" spans="1:27" ht="18.75" customHeight="1" outlineLevel="6" x14ac:dyDescent="0.3">
      <c r="A952" s="1" t="s">
        <v>891</v>
      </c>
      <c r="B952" s="44"/>
      <c r="C952" s="18"/>
      <c r="D952" s="24"/>
      <c r="E952" s="29"/>
      <c r="F952" s="34"/>
      <c r="G952" s="39"/>
      <c r="H952" s="46" t="s">
        <v>947</v>
      </c>
      <c r="I952" s="46" t="s">
        <v>48</v>
      </c>
      <c r="J952" s="47" t="s">
        <v>293</v>
      </c>
      <c r="K952" s="48">
        <v>0.6</v>
      </c>
      <c r="L952" s="49">
        <f>VLOOKUP(H952,[4]Sheet2!K:P,6,0)</f>
        <v>2.4000000000000002E-3</v>
      </c>
      <c r="M952" s="50">
        <f>VLOOKUP(H952,[4]Sheet2!K:Q,7,0)</f>
        <v>14277</v>
      </c>
      <c r="N952" s="51"/>
      <c r="O952" s="51"/>
      <c r="P952" s="51"/>
      <c r="Q952" s="51"/>
      <c r="R952" s="51"/>
      <c r="S952" s="51"/>
      <c r="T952" s="51"/>
      <c r="U952" s="51"/>
      <c r="V952" s="52">
        <f>VLOOKUP(H952,[4]Sheet2!K:N,4,0)</f>
        <v>0</v>
      </c>
      <c r="W952" s="52">
        <f t="shared" si="864"/>
        <v>0</v>
      </c>
      <c r="X952" s="52">
        <f>VLOOKUP(H952,[4]Sheet2!K:N,4,0)</f>
        <v>0</v>
      </c>
      <c r="Y952" s="53">
        <f t="shared" si="865"/>
        <v>0</v>
      </c>
      <c r="Z952" s="53">
        <f t="shared" si="866"/>
        <v>0</v>
      </c>
      <c r="AA952" s="53">
        <f t="shared" si="867"/>
        <v>0</v>
      </c>
    </row>
    <row r="953" spans="1:27" ht="18.75" customHeight="1" outlineLevel="6" x14ac:dyDescent="0.3">
      <c r="B953" s="44"/>
      <c r="C953" s="18"/>
      <c r="D953" s="24"/>
      <c r="E953" s="29"/>
      <c r="F953" s="34"/>
      <c r="G953" s="39"/>
      <c r="H953" s="46" t="s">
        <v>948</v>
      </c>
      <c r="I953" s="46" t="s">
        <v>296</v>
      </c>
      <c r="J953" s="47" t="s">
        <v>293</v>
      </c>
      <c r="K953" s="48">
        <v>0.15</v>
      </c>
      <c r="L953" s="49">
        <f>VLOOKUP(H953,[4]Sheet2!K:P,6,0)</f>
        <v>6.0000000000000006E-4</v>
      </c>
      <c r="M953" s="50">
        <f>VLOOKUP(H953,[4]Sheet2!K:Q,7,0)</f>
        <v>14277</v>
      </c>
      <c r="N953" s="51"/>
      <c r="O953" s="51"/>
      <c r="P953" s="51"/>
      <c r="Q953" s="51"/>
      <c r="R953" s="51"/>
      <c r="S953" s="51"/>
      <c r="T953" s="51"/>
      <c r="U953" s="51"/>
      <c r="V953" s="52">
        <f>VLOOKUP(H953,[4]Sheet2!K:N,4,0)</f>
        <v>0</v>
      </c>
      <c r="W953" s="52">
        <f t="shared" si="864"/>
        <v>0</v>
      </c>
      <c r="X953" s="52">
        <f>VLOOKUP(H953,[4]Sheet2!K:N,4,0)</f>
        <v>0</v>
      </c>
      <c r="Y953" s="53">
        <f t="shared" si="865"/>
        <v>0</v>
      </c>
      <c r="Z953" s="53">
        <f t="shared" si="866"/>
        <v>0</v>
      </c>
      <c r="AA953" s="53">
        <f t="shared" si="867"/>
        <v>0</v>
      </c>
    </row>
    <row r="954" spans="1:27" ht="18.75" customHeight="1" outlineLevel="6" x14ac:dyDescent="0.3">
      <c r="B954" s="44"/>
      <c r="C954" s="18"/>
      <c r="D954" s="24"/>
      <c r="E954" s="29"/>
      <c r="F954" s="34"/>
      <c r="G954" s="39"/>
      <c r="H954" s="46" t="s">
        <v>949</v>
      </c>
      <c r="I954" s="46" t="s">
        <v>298</v>
      </c>
      <c r="J954" s="47" t="s">
        <v>293</v>
      </c>
      <c r="K954" s="48">
        <v>0.1</v>
      </c>
      <c r="L954" s="49">
        <f>VLOOKUP(H954,[4]Sheet2!K:P,6,0)</f>
        <v>4.0000000000000002E-4</v>
      </c>
      <c r="M954" s="50">
        <f>VLOOKUP(H954,[4]Sheet2!K:Q,7,0)</f>
        <v>14277</v>
      </c>
      <c r="N954" s="51"/>
      <c r="O954" s="51"/>
      <c r="P954" s="51"/>
      <c r="Q954" s="51"/>
      <c r="R954" s="51"/>
      <c r="S954" s="51"/>
      <c r="T954" s="51"/>
      <c r="U954" s="51"/>
      <c r="V954" s="52">
        <f>VLOOKUP(H954,[4]Sheet2!K:N,4,0)</f>
        <v>0</v>
      </c>
      <c r="W954" s="52">
        <f t="shared" si="864"/>
        <v>0</v>
      </c>
      <c r="X954" s="52">
        <f>VLOOKUP(H954,[4]Sheet2!K:N,4,0)</f>
        <v>0</v>
      </c>
      <c r="Y954" s="53">
        <f t="shared" si="865"/>
        <v>0</v>
      </c>
      <c r="Z954" s="53">
        <f t="shared" si="866"/>
        <v>0</v>
      </c>
      <c r="AA954" s="53">
        <f t="shared" si="867"/>
        <v>0</v>
      </c>
    </row>
    <row r="955" spans="1:27" ht="18.75" customHeight="1" outlineLevel="6" x14ac:dyDescent="0.3">
      <c r="B955" s="44"/>
      <c r="C955" s="18"/>
      <c r="D955" s="24"/>
      <c r="E955" s="29"/>
      <c r="F955" s="34"/>
      <c r="G955" s="39"/>
      <c r="H955" s="46" t="s">
        <v>950</v>
      </c>
      <c r="I955" s="46" t="s">
        <v>56</v>
      </c>
      <c r="J955" s="47" t="s">
        <v>293</v>
      </c>
      <c r="K955" s="48">
        <v>0.05</v>
      </c>
      <c r="L955" s="49">
        <f>VLOOKUP(H955,[4]Sheet2!K:P,6,0)</f>
        <v>2.0000000000000001E-4</v>
      </c>
      <c r="M955" s="50">
        <f>VLOOKUP(H955,[4]Sheet2!K:Q,7,0)</f>
        <v>14277</v>
      </c>
      <c r="N955" s="51"/>
      <c r="O955" s="51"/>
      <c r="P955" s="51"/>
      <c r="Q955" s="51"/>
      <c r="R955" s="51"/>
      <c r="S955" s="51"/>
      <c r="T955" s="51"/>
      <c r="U955" s="51"/>
      <c r="V955" s="52">
        <f>VLOOKUP(H955,[4]Sheet2!K:N,4,0)</f>
        <v>0</v>
      </c>
      <c r="W955" s="52">
        <f t="shared" si="864"/>
        <v>0</v>
      </c>
      <c r="X955" s="52">
        <f>VLOOKUP(H955,[4]Sheet2!K:N,4,0)</f>
        <v>0</v>
      </c>
      <c r="Y955" s="53">
        <f t="shared" si="865"/>
        <v>0</v>
      </c>
      <c r="Z955" s="53">
        <f t="shared" si="866"/>
        <v>0</v>
      </c>
      <c r="AA955" s="53">
        <f t="shared" si="867"/>
        <v>0</v>
      </c>
    </row>
    <row r="956" spans="1:27" ht="18.75" customHeight="1" outlineLevel="3" x14ac:dyDescent="0.3">
      <c r="B956" s="12"/>
      <c r="C956" s="18"/>
      <c r="D956" s="24"/>
      <c r="E956" s="29" t="s">
        <v>455</v>
      </c>
      <c r="F956" s="29"/>
      <c r="G956" s="29"/>
      <c r="H956" s="56"/>
      <c r="I956" s="56"/>
      <c r="J956" s="56"/>
      <c r="K956" s="56"/>
      <c r="L956" s="31">
        <f>L957</f>
        <v>0.11815000000000001</v>
      </c>
      <c r="M956" s="32">
        <f>M957</f>
        <v>333983.55000000005</v>
      </c>
      <c r="N956" s="30"/>
      <c r="O956" s="30"/>
      <c r="P956" s="30"/>
      <c r="Q956" s="30"/>
      <c r="R956" s="30"/>
      <c r="S956" s="30"/>
      <c r="T956" s="30"/>
      <c r="U956" s="30"/>
      <c r="V956" s="63">
        <f t="shared" ref="V956:AA956" si="868">V957</f>
        <v>307144.16000000003</v>
      </c>
      <c r="W956" s="63">
        <f t="shared" si="868"/>
        <v>0</v>
      </c>
      <c r="X956" s="63">
        <f t="shared" si="868"/>
        <v>68597.15981802794</v>
      </c>
      <c r="Y956" s="33">
        <f t="shared" si="868"/>
        <v>0.74126314155457029</v>
      </c>
      <c r="Z956" s="33">
        <f t="shared" si="868"/>
        <v>0</v>
      </c>
      <c r="AA956" s="33">
        <f t="shared" si="868"/>
        <v>0.7488805770179644</v>
      </c>
    </row>
    <row r="957" spans="1:27" ht="18.75" customHeight="1" outlineLevel="4" x14ac:dyDescent="0.3">
      <c r="B957" s="12"/>
      <c r="C957" s="18"/>
      <c r="D957" s="24"/>
      <c r="E957" s="29"/>
      <c r="F957" s="34" t="s">
        <v>456</v>
      </c>
      <c r="G957" s="34"/>
      <c r="H957" s="57"/>
      <c r="I957" s="57"/>
      <c r="J957" s="57"/>
      <c r="K957" s="57"/>
      <c r="L957" s="36">
        <f>L958+L965+L972+L979+L986+L993+L1000+L1007+L1014+L1021+L1028</f>
        <v>0.11815000000000001</v>
      </c>
      <c r="M957" s="37">
        <f>M958+M965+M972+M979+M986+M993+M1000+M1007+M1014+M1021+M1028</f>
        <v>333983.55000000005</v>
      </c>
      <c r="N957" s="35"/>
      <c r="O957" s="35"/>
      <c r="P957" s="35"/>
      <c r="Q957" s="35"/>
      <c r="R957" s="35"/>
      <c r="S957" s="35"/>
      <c r="T957" s="35"/>
      <c r="U957" s="35"/>
      <c r="V957" s="61">
        <f>V958+V965+V972+V979+V986+V993+V1000+V1007+V1014+V1021+V1028</f>
        <v>307144.16000000003</v>
      </c>
      <c r="W957" s="61">
        <f t="shared" ref="W957:X957" si="869">(W958*$L958+W965*$L965+W972*$L972+W979*$L979+W986*$L986+W993*$L993+W1000*$L1000+W1007*$L1007+W1014*$L1014+W1021*$L1021+W1028*$L1028)/$L957</f>
        <v>0</v>
      </c>
      <c r="X957" s="61">
        <f t="shared" si="869"/>
        <v>68597.15981802794</v>
      </c>
      <c r="Y957" s="59">
        <f>(Y958*$L958+Y965*$L965+Y972*$L972+Y979*$L979+Y986*$L986+Y993*$L993+Y1000*$L1000+Y1007*$L1007+Y1014*$L1014+Y1021*$L1021+Y1028*$L1028)/$L957</f>
        <v>0.74126314155457029</v>
      </c>
      <c r="Z957" s="59">
        <f t="shared" ref="Z957:AA957" si="870">(Z958*$L958+Z965*$L965+Z972*$L972+Z979*$L979+Z986*$L986+Z993*$L993+Z1000*$L1000+Z1007*$L1007+Z1014*$L1014+Z1021*$L1021+Z1028*$L1028)/$L957</f>
        <v>0</v>
      </c>
      <c r="AA957" s="59">
        <f t="shared" si="870"/>
        <v>0.7488805770179644</v>
      </c>
    </row>
    <row r="958" spans="1:27" ht="18.75" customHeight="1" outlineLevel="5" x14ac:dyDescent="0.3">
      <c r="B958" s="12"/>
      <c r="C958" s="18"/>
      <c r="D958" s="24"/>
      <c r="E958" s="29"/>
      <c r="F958" s="34"/>
      <c r="G958" s="39" t="s">
        <v>457</v>
      </c>
      <c r="H958" s="58"/>
      <c r="I958" s="58"/>
      <c r="J958" s="58"/>
      <c r="K958" s="58"/>
      <c r="L958" s="41">
        <f>SUM(L959:L964)</f>
        <v>0.01</v>
      </c>
      <c r="M958" s="42">
        <f>M959</f>
        <v>20576</v>
      </c>
      <c r="N958" s="40"/>
      <c r="O958" s="40"/>
      <c r="P958" s="40"/>
      <c r="Q958" s="40"/>
      <c r="R958" s="40"/>
      <c r="S958" s="40"/>
      <c r="T958" s="40"/>
      <c r="U958" s="40"/>
      <c r="V958" s="62">
        <f t="shared" ref="V958:X958" si="871">V959</f>
        <v>0</v>
      </c>
      <c r="W958" s="62">
        <f t="shared" si="871"/>
        <v>0</v>
      </c>
      <c r="X958" s="62">
        <f t="shared" si="871"/>
        <v>0</v>
      </c>
      <c r="Y958" s="43">
        <f>SUMPRODUCT(Y959:Y964,$K959:$K964)</f>
        <v>0</v>
      </c>
      <c r="Z958" s="43">
        <f t="shared" ref="Z958" si="872">Z959</f>
        <v>0</v>
      </c>
      <c r="AA958" s="43">
        <f>SUMPRODUCT(AA959:AA964,$K959:$K964)</f>
        <v>0</v>
      </c>
    </row>
    <row r="959" spans="1:27" ht="18.75" customHeight="1" outlineLevel="6" x14ac:dyDescent="0.3">
      <c r="B959" s="44"/>
      <c r="C959" s="18"/>
      <c r="D959" s="24"/>
      <c r="E959" s="29"/>
      <c r="F959" s="34"/>
      <c r="G959" s="39"/>
      <c r="H959" s="46" t="s">
        <v>951</v>
      </c>
      <c r="I959" s="46" t="s">
        <v>45</v>
      </c>
      <c r="J959" s="47" t="s">
        <v>30</v>
      </c>
      <c r="K959" s="48">
        <v>0.1</v>
      </c>
      <c r="L959" s="49">
        <f>VLOOKUP(H959,[4]Sheet2!K:P,6,0)</f>
        <v>1E-3</v>
      </c>
      <c r="M959" s="50">
        <f>VLOOKUP(H959,[4]Sheet2!K:Q,7,0)</f>
        <v>20576</v>
      </c>
      <c r="N959" s="51"/>
      <c r="O959" s="51"/>
      <c r="P959" s="51"/>
      <c r="Q959" s="51"/>
      <c r="R959" s="51"/>
      <c r="S959" s="51"/>
      <c r="T959" s="51"/>
      <c r="U959" s="51"/>
      <c r="V959" s="52">
        <f>VLOOKUP(H959,[4]Sheet2!K:N,4,0)</f>
        <v>0</v>
      </c>
      <c r="W959" s="52">
        <f t="shared" ref="W959:W964" si="873">X959-V959</f>
        <v>0</v>
      </c>
      <c r="X959" s="52">
        <f>VLOOKUP(H959,[4]Sheet2!K:N,4,0)</f>
        <v>0</v>
      </c>
      <c r="Y959" s="53">
        <f t="shared" ref="Y959:Y964" si="874">IFERROR(V959/M959,1)</f>
        <v>0</v>
      </c>
      <c r="Z959" s="53">
        <f t="shared" ref="Z959:Z964" si="875">IFERROR(W959/M959,1)</f>
        <v>0</v>
      </c>
      <c r="AA959" s="53">
        <f t="shared" ref="AA959:AA964" si="876">IFERROR(X959/M959,1)</f>
        <v>0</v>
      </c>
    </row>
    <row r="960" spans="1:27" ht="18.75" customHeight="1" outlineLevel="6" x14ac:dyDescent="0.3">
      <c r="B960" s="44"/>
      <c r="C960" s="18"/>
      <c r="D960" s="24"/>
      <c r="E960" s="29"/>
      <c r="F960" s="34"/>
      <c r="G960" s="39"/>
      <c r="H960" s="46" t="s">
        <v>952</v>
      </c>
      <c r="I960" s="46" t="s">
        <v>460</v>
      </c>
      <c r="J960" s="47" t="s">
        <v>30</v>
      </c>
      <c r="K960" s="48">
        <v>0.05</v>
      </c>
      <c r="L960" s="49">
        <f>VLOOKUP(H960,[4]Sheet2!K:P,6,0)</f>
        <v>5.0000000000000001E-4</v>
      </c>
      <c r="M960" s="50">
        <f>VLOOKUP(H960,[4]Sheet2!K:Q,7,0)</f>
        <v>20576</v>
      </c>
      <c r="N960" s="51"/>
      <c r="O960" s="51"/>
      <c r="P960" s="51"/>
      <c r="Q960" s="51"/>
      <c r="R960" s="51"/>
      <c r="S960" s="51"/>
      <c r="T960" s="51"/>
      <c r="U960" s="51"/>
      <c r="V960" s="52">
        <f>VLOOKUP(H960,[4]Sheet2!K:N,4,0)</f>
        <v>0</v>
      </c>
      <c r="W960" s="52">
        <f t="shared" si="873"/>
        <v>0</v>
      </c>
      <c r="X960" s="52">
        <f>VLOOKUP(H960,[4]Sheet2!K:N,4,0)</f>
        <v>0</v>
      </c>
      <c r="Y960" s="53">
        <f t="shared" si="874"/>
        <v>0</v>
      </c>
      <c r="Z960" s="53">
        <f t="shared" si="875"/>
        <v>0</v>
      </c>
      <c r="AA960" s="53">
        <f t="shared" si="876"/>
        <v>0</v>
      </c>
    </row>
    <row r="961" spans="1:27" ht="18.75" customHeight="1" outlineLevel="6" x14ac:dyDescent="0.3">
      <c r="A961" s="1" t="s">
        <v>953</v>
      </c>
      <c r="B961" s="44"/>
      <c r="C961" s="18"/>
      <c r="D961" s="24"/>
      <c r="E961" s="29"/>
      <c r="F961" s="34"/>
      <c r="G961" s="39"/>
      <c r="H961" s="46" t="s">
        <v>954</v>
      </c>
      <c r="I961" s="46" t="s">
        <v>48</v>
      </c>
      <c r="J961" s="47" t="s">
        <v>30</v>
      </c>
      <c r="K961" s="48">
        <v>0.6</v>
      </c>
      <c r="L961" s="49">
        <f>VLOOKUP(H961,[4]Sheet2!K:P,6,0)</f>
        <v>6.0000000000000001E-3</v>
      </c>
      <c r="M961" s="50">
        <f>VLOOKUP(H961,[4]Sheet2!K:Q,7,0)</f>
        <v>20576</v>
      </c>
      <c r="N961" s="51"/>
      <c r="O961" s="51"/>
      <c r="P961" s="51"/>
      <c r="Q961" s="51"/>
      <c r="R961" s="51"/>
      <c r="S961" s="51"/>
      <c r="T961" s="51"/>
      <c r="U961" s="51"/>
      <c r="V961" s="52">
        <f>VLOOKUP(H961,[4]Sheet2!K:N,4,0)</f>
        <v>0</v>
      </c>
      <c r="W961" s="52">
        <f t="shared" si="873"/>
        <v>0</v>
      </c>
      <c r="X961" s="52">
        <f>VLOOKUP(H961,[4]Sheet2!K:N,4,0)</f>
        <v>0</v>
      </c>
      <c r="Y961" s="53">
        <f t="shared" si="874"/>
        <v>0</v>
      </c>
      <c r="Z961" s="53">
        <f t="shared" si="875"/>
        <v>0</v>
      </c>
      <c r="AA961" s="53">
        <f t="shared" si="876"/>
        <v>0</v>
      </c>
    </row>
    <row r="962" spans="1:27" ht="18.75" customHeight="1" outlineLevel="6" x14ac:dyDescent="0.3">
      <c r="B962" s="44"/>
      <c r="C962" s="18"/>
      <c r="D962" s="24"/>
      <c r="E962" s="29"/>
      <c r="F962" s="34"/>
      <c r="G962" s="39"/>
      <c r="H962" s="46" t="s">
        <v>955</v>
      </c>
      <c r="I962" s="46" t="s">
        <v>464</v>
      </c>
      <c r="J962" s="47" t="s">
        <v>30</v>
      </c>
      <c r="K962" s="48">
        <v>0.15</v>
      </c>
      <c r="L962" s="49">
        <f>VLOOKUP(H962,[4]Sheet2!K:P,6,0)</f>
        <v>1.5E-3</v>
      </c>
      <c r="M962" s="50">
        <f>VLOOKUP(H962,[4]Sheet2!K:Q,7,0)</f>
        <v>20576</v>
      </c>
      <c r="N962" s="51"/>
      <c r="O962" s="51"/>
      <c r="P962" s="51"/>
      <c r="Q962" s="51"/>
      <c r="R962" s="51"/>
      <c r="S962" s="51"/>
      <c r="T962" s="51"/>
      <c r="U962" s="51"/>
      <c r="V962" s="52">
        <f>VLOOKUP(H962,[4]Sheet2!K:N,4,0)</f>
        <v>0</v>
      </c>
      <c r="W962" s="52">
        <f t="shared" si="873"/>
        <v>0</v>
      </c>
      <c r="X962" s="52">
        <f>VLOOKUP(H962,[4]Sheet2!K:N,4,0)</f>
        <v>0</v>
      </c>
      <c r="Y962" s="53">
        <f t="shared" si="874"/>
        <v>0</v>
      </c>
      <c r="Z962" s="53">
        <f t="shared" si="875"/>
        <v>0</v>
      </c>
      <c r="AA962" s="53">
        <f t="shared" si="876"/>
        <v>0</v>
      </c>
    </row>
    <row r="963" spans="1:27" ht="18.75" customHeight="1" outlineLevel="6" x14ac:dyDescent="0.3">
      <c r="B963" s="44"/>
      <c r="C963" s="18"/>
      <c r="D963" s="24"/>
      <c r="E963" s="29"/>
      <c r="F963" s="34"/>
      <c r="G963" s="39"/>
      <c r="H963" s="46" t="s">
        <v>956</v>
      </c>
      <c r="I963" s="46" t="s">
        <v>466</v>
      </c>
      <c r="J963" s="47" t="s">
        <v>30</v>
      </c>
      <c r="K963" s="48">
        <v>0.05</v>
      </c>
      <c r="L963" s="49">
        <f>VLOOKUP(H963,[4]Sheet2!K:P,6,0)</f>
        <v>5.0000000000000001E-4</v>
      </c>
      <c r="M963" s="50">
        <f>VLOOKUP(H963,[4]Sheet2!K:Q,7,0)</f>
        <v>20576</v>
      </c>
      <c r="N963" s="51"/>
      <c r="O963" s="51"/>
      <c r="P963" s="51"/>
      <c r="Q963" s="51"/>
      <c r="R963" s="51"/>
      <c r="S963" s="51"/>
      <c r="T963" s="51"/>
      <c r="U963" s="51"/>
      <c r="V963" s="52">
        <f>VLOOKUP(H963,[4]Sheet2!K:N,4,0)</f>
        <v>0</v>
      </c>
      <c r="W963" s="52">
        <f t="shared" si="873"/>
        <v>0</v>
      </c>
      <c r="X963" s="52">
        <f>VLOOKUP(H963,[4]Sheet2!K:N,4,0)</f>
        <v>0</v>
      </c>
      <c r="Y963" s="53">
        <f t="shared" si="874"/>
        <v>0</v>
      </c>
      <c r="Z963" s="53">
        <f t="shared" si="875"/>
        <v>0</v>
      </c>
      <c r="AA963" s="53">
        <f t="shared" si="876"/>
        <v>0</v>
      </c>
    </row>
    <row r="964" spans="1:27" ht="18.75" customHeight="1" outlineLevel="6" x14ac:dyDescent="0.3">
      <c r="B964" s="44"/>
      <c r="C964" s="18"/>
      <c r="D964" s="24"/>
      <c r="E964" s="29"/>
      <c r="F964" s="34"/>
      <c r="G964" s="39"/>
      <c r="H964" s="46" t="s">
        <v>957</v>
      </c>
      <c r="I964" s="46" t="s">
        <v>56</v>
      </c>
      <c r="J964" s="47" t="s">
        <v>30</v>
      </c>
      <c r="K964" s="48">
        <v>0.05</v>
      </c>
      <c r="L964" s="49">
        <f>VLOOKUP(H964,[4]Sheet2!K:P,6,0)</f>
        <v>5.0000000000000001E-4</v>
      </c>
      <c r="M964" s="50">
        <f>VLOOKUP(H964,[4]Sheet2!K:Q,7,0)</f>
        <v>20576</v>
      </c>
      <c r="N964" s="51"/>
      <c r="O964" s="51"/>
      <c r="P964" s="51"/>
      <c r="Q964" s="51"/>
      <c r="R964" s="51"/>
      <c r="S964" s="51"/>
      <c r="T964" s="51"/>
      <c r="U964" s="51"/>
      <c r="V964" s="52">
        <f>VLOOKUP(H964,[4]Sheet2!K:N,4,0)</f>
        <v>0</v>
      </c>
      <c r="W964" s="52">
        <f t="shared" si="873"/>
        <v>0</v>
      </c>
      <c r="X964" s="52">
        <f>VLOOKUP(H964,[4]Sheet2!K:N,4,0)</f>
        <v>0</v>
      </c>
      <c r="Y964" s="53">
        <f t="shared" si="874"/>
        <v>0</v>
      </c>
      <c r="Z964" s="53">
        <f t="shared" si="875"/>
        <v>0</v>
      </c>
      <c r="AA964" s="53">
        <f t="shared" si="876"/>
        <v>0</v>
      </c>
    </row>
    <row r="965" spans="1:27" ht="18.75" customHeight="1" outlineLevel="5" x14ac:dyDescent="0.3">
      <c r="B965" s="12"/>
      <c r="C965" s="18"/>
      <c r="D965" s="24"/>
      <c r="E965" s="29"/>
      <c r="F965" s="34"/>
      <c r="G965" s="39" t="s">
        <v>468</v>
      </c>
      <c r="H965" s="58"/>
      <c r="I965" s="58"/>
      <c r="J965" s="58"/>
      <c r="K965" s="58"/>
      <c r="L965" s="41">
        <f>SUM(L966:L971)</f>
        <v>3.5150000000000008E-2</v>
      </c>
      <c r="M965" s="42">
        <f>M966</f>
        <v>202745.25</v>
      </c>
      <c r="N965" s="40"/>
      <c r="O965" s="40"/>
      <c r="P965" s="40"/>
      <c r="Q965" s="40"/>
      <c r="R965" s="40"/>
      <c r="S965" s="40"/>
      <c r="T965" s="40"/>
      <c r="U965" s="40"/>
      <c r="V965" s="62">
        <f t="shared" ref="V965:X965" si="877">V966</f>
        <v>202745.25</v>
      </c>
      <c r="W965" s="62">
        <f t="shared" si="877"/>
        <v>0</v>
      </c>
      <c r="X965" s="62">
        <f t="shared" si="877"/>
        <v>202745.25</v>
      </c>
      <c r="Y965" s="43">
        <f>SUMPRODUCT(Y966:Y971,$K966:$K971)</f>
        <v>1</v>
      </c>
      <c r="Z965" s="43">
        <f t="shared" ref="Z965" si="878">Z966</f>
        <v>0</v>
      </c>
      <c r="AA965" s="43">
        <f>SUMPRODUCT(AA966:AA971,$K966:$K971)</f>
        <v>1</v>
      </c>
    </row>
    <row r="966" spans="1:27" ht="18.75" customHeight="1" outlineLevel="6" x14ac:dyDescent="0.3">
      <c r="B966" s="44"/>
      <c r="C966" s="18"/>
      <c r="D966" s="24"/>
      <c r="E966" s="29"/>
      <c r="F966" s="34"/>
      <c r="G966" s="39"/>
      <c r="H966" s="46" t="s">
        <v>958</v>
      </c>
      <c r="I966" s="46" t="s">
        <v>45</v>
      </c>
      <c r="J966" s="47" t="s">
        <v>30</v>
      </c>
      <c r="K966" s="48">
        <v>0.1</v>
      </c>
      <c r="L966" s="49">
        <f>VLOOKUP(H966,[4]Sheet2!K:P,6,0)</f>
        <v>3.5149999999999999E-3</v>
      </c>
      <c r="M966" s="50">
        <f>VLOOKUP(H966,[4]Sheet2!K:Q,7,0)</f>
        <v>202745.25</v>
      </c>
      <c r="N966" s="51"/>
      <c r="O966" s="51"/>
      <c r="P966" s="51"/>
      <c r="Q966" s="51"/>
      <c r="R966" s="51"/>
      <c r="S966" s="51"/>
      <c r="T966" s="51"/>
      <c r="U966" s="51"/>
      <c r="V966" s="52">
        <f>VLOOKUP(H966,[4]Sheet2!K:N,4,0)</f>
        <v>202745.25</v>
      </c>
      <c r="W966" s="52">
        <f t="shared" ref="W966:W971" si="879">X966-V966</f>
        <v>0</v>
      </c>
      <c r="X966" s="52">
        <f>VLOOKUP(H966,[4]Sheet2!K:N,4,0)</f>
        <v>202745.25</v>
      </c>
      <c r="Y966" s="53">
        <f t="shared" ref="Y966:Y971" si="880">IFERROR(V966/M966,1)</f>
        <v>1</v>
      </c>
      <c r="Z966" s="53">
        <f t="shared" ref="Z966:Z971" si="881">IFERROR(W966/M966,1)</f>
        <v>0</v>
      </c>
      <c r="AA966" s="53">
        <f t="shared" ref="AA966:AA971" si="882">IFERROR(X966/M966,1)</f>
        <v>1</v>
      </c>
    </row>
    <row r="967" spans="1:27" ht="18.75" customHeight="1" outlineLevel="6" x14ac:dyDescent="0.3">
      <c r="B967" s="44"/>
      <c r="C967" s="18"/>
      <c r="D967" s="24"/>
      <c r="E967" s="29"/>
      <c r="F967" s="34"/>
      <c r="G967" s="39"/>
      <c r="H967" s="46" t="s">
        <v>959</v>
      </c>
      <c r="I967" s="46" t="s">
        <v>460</v>
      </c>
      <c r="J967" s="47" t="s">
        <v>30</v>
      </c>
      <c r="K967" s="48">
        <v>0.05</v>
      </c>
      <c r="L967" s="49">
        <f>VLOOKUP(H967,[4]Sheet2!K:P,6,0)</f>
        <v>1.7574999999999999E-3</v>
      </c>
      <c r="M967" s="50">
        <f>VLOOKUP(H967,[4]Sheet2!K:Q,7,0)</f>
        <v>202745.25</v>
      </c>
      <c r="N967" s="51"/>
      <c r="O967" s="51"/>
      <c r="P967" s="51"/>
      <c r="Q967" s="51"/>
      <c r="R967" s="51"/>
      <c r="S967" s="51"/>
      <c r="T967" s="51"/>
      <c r="U967" s="51"/>
      <c r="V967" s="52">
        <f>VLOOKUP(H967,[4]Sheet2!K:N,4,0)</f>
        <v>202745.25</v>
      </c>
      <c r="W967" s="52">
        <f t="shared" si="879"/>
        <v>0</v>
      </c>
      <c r="X967" s="52">
        <f>VLOOKUP(H967,[4]Sheet2!K:N,4,0)</f>
        <v>202745.25</v>
      </c>
      <c r="Y967" s="53">
        <f t="shared" si="880"/>
        <v>1</v>
      </c>
      <c r="Z967" s="53">
        <f t="shared" si="881"/>
        <v>0</v>
      </c>
      <c r="AA967" s="53">
        <f t="shared" si="882"/>
        <v>1</v>
      </c>
    </row>
    <row r="968" spans="1:27" ht="18.75" customHeight="1" outlineLevel="6" x14ac:dyDescent="0.3">
      <c r="A968" s="1" t="s">
        <v>953</v>
      </c>
      <c r="B968" s="44"/>
      <c r="C968" s="18"/>
      <c r="D968" s="24"/>
      <c r="E968" s="29"/>
      <c r="F968" s="34"/>
      <c r="G968" s="39"/>
      <c r="H968" s="46" t="s">
        <v>960</v>
      </c>
      <c r="I968" s="46" t="s">
        <v>48</v>
      </c>
      <c r="J968" s="47" t="s">
        <v>30</v>
      </c>
      <c r="K968" s="48">
        <v>0.6</v>
      </c>
      <c r="L968" s="49">
        <f>VLOOKUP(H968,[4]Sheet2!K:P,6,0)</f>
        <v>2.1090000000000001E-2</v>
      </c>
      <c r="M968" s="50">
        <f>VLOOKUP(H968,[4]Sheet2!K:Q,7,0)</f>
        <v>202745.25</v>
      </c>
      <c r="N968" s="51"/>
      <c r="O968" s="51"/>
      <c r="P968" s="51"/>
      <c r="Q968" s="51"/>
      <c r="R968" s="51"/>
      <c r="S968" s="51"/>
      <c r="T968" s="51"/>
      <c r="U968" s="51"/>
      <c r="V968" s="52">
        <f>VLOOKUP(H968,[4]Sheet2!K:N,4,0)</f>
        <v>202745.25</v>
      </c>
      <c r="W968" s="52">
        <f t="shared" si="879"/>
        <v>0</v>
      </c>
      <c r="X968" s="52">
        <f>VLOOKUP(H968,[4]Sheet2!K:N,4,0)</f>
        <v>202745.25</v>
      </c>
      <c r="Y968" s="53">
        <f t="shared" si="880"/>
        <v>1</v>
      </c>
      <c r="Z968" s="53">
        <f t="shared" si="881"/>
        <v>0</v>
      </c>
      <c r="AA968" s="53">
        <f t="shared" si="882"/>
        <v>1</v>
      </c>
    </row>
    <row r="969" spans="1:27" ht="18.75" customHeight="1" outlineLevel="6" x14ac:dyDescent="0.3">
      <c r="B969" s="44"/>
      <c r="C969" s="18"/>
      <c r="D969" s="24"/>
      <c r="E969" s="29"/>
      <c r="F969" s="34"/>
      <c r="G969" s="39"/>
      <c r="H969" s="46" t="s">
        <v>961</v>
      </c>
      <c r="I969" s="46" t="s">
        <v>464</v>
      </c>
      <c r="J969" s="47" t="s">
        <v>30</v>
      </c>
      <c r="K969" s="48">
        <v>0.15</v>
      </c>
      <c r="L969" s="49">
        <f>VLOOKUP(H969,[4]Sheet2!K:P,6,0)</f>
        <v>5.2725000000000003E-3</v>
      </c>
      <c r="M969" s="50">
        <f>VLOOKUP(H969,[4]Sheet2!K:Q,7,0)</f>
        <v>202745.25</v>
      </c>
      <c r="N969" s="51"/>
      <c r="O969" s="51"/>
      <c r="P969" s="51"/>
      <c r="Q969" s="51"/>
      <c r="R969" s="51"/>
      <c r="S969" s="51"/>
      <c r="T969" s="51"/>
      <c r="U969" s="51"/>
      <c r="V969" s="52">
        <f>VLOOKUP(H969,[4]Sheet2!K:N,4,0)</f>
        <v>202745.25</v>
      </c>
      <c r="W969" s="52">
        <f t="shared" si="879"/>
        <v>0</v>
      </c>
      <c r="X969" s="52">
        <f>VLOOKUP(H969,[4]Sheet2!K:N,4,0)</f>
        <v>202745.25</v>
      </c>
      <c r="Y969" s="53">
        <f t="shared" si="880"/>
        <v>1</v>
      </c>
      <c r="Z969" s="53">
        <f t="shared" si="881"/>
        <v>0</v>
      </c>
      <c r="AA969" s="53">
        <f t="shared" si="882"/>
        <v>1</v>
      </c>
    </row>
    <row r="970" spans="1:27" ht="18.75" customHeight="1" outlineLevel="6" x14ac:dyDescent="0.3">
      <c r="B970" s="44"/>
      <c r="C970" s="18"/>
      <c r="D970" s="24"/>
      <c r="E970" s="29"/>
      <c r="F970" s="34"/>
      <c r="G970" s="39"/>
      <c r="H970" s="46" t="s">
        <v>962</v>
      </c>
      <c r="I970" s="46" t="s">
        <v>466</v>
      </c>
      <c r="J970" s="47" t="s">
        <v>30</v>
      </c>
      <c r="K970" s="48">
        <v>0.05</v>
      </c>
      <c r="L970" s="49">
        <f>VLOOKUP(H970,[4]Sheet2!K:P,6,0)</f>
        <v>1.7574999999999999E-3</v>
      </c>
      <c r="M970" s="50">
        <f>VLOOKUP(H970,[4]Sheet2!K:Q,7,0)</f>
        <v>202745.25</v>
      </c>
      <c r="N970" s="51"/>
      <c r="O970" s="51"/>
      <c r="P970" s="51"/>
      <c r="Q970" s="51"/>
      <c r="R970" s="51"/>
      <c r="S970" s="51"/>
      <c r="T970" s="51"/>
      <c r="U970" s="51"/>
      <c r="V970" s="52">
        <f>VLOOKUP(H970,[4]Sheet2!K:N,4,0)</f>
        <v>202745.25</v>
      </c>
      <c r="W970" s="52">
        <f t="shared" si="879"/>
        <v>0</v>
      </c>
      <c r="X970" s="52">
        <f>VLOOKUP(H970,[4]Sheet2!K:N,4,0)</f>
        <v>202745.25</v>
      </c>
      <c r="Y970" s="53">
        <f t="shared" si="880"/>
        <v>1</v>
      </c>
      <c r="Z970" s="53">
        <f t="shared" si="881"/>
        <v>0</v>
      </c>
      <c r="AA970" s="53">
        <f t="shared" si="882"/>
        <v>1</v>
      </c>
    </row>
    <row r="971" spans="1:27" ht="18.75" customHeight="1" outlineLevel="6" x14ac:dyDescent="0.3">
      <c r="B971" s="44"/>
      <c r="C971" s="18"/>
      <c r="D971" s="24"/>
      <c r="E971" s="29"/>
      <c r="F971" s="34"/>
      <c r="G971" s="39"/>
      <c r="H971" s="46" t="s">
        <v>963</v>
      </c>
      <c r="I971" s="46" t="s">
        <v>56</v>
      </c>
      <c r="J971" s="47" t="s">
        <v>30</v>
      </c>
      <c r="K971" s="48">
        <v>0.05</v>
      </c>
      <c r="L971" s="49">
        <f>VLOOKUP(H971,[4]Sheet2!K:P,6,0)</f>
        <v>1.7574999999999999E-3</v>
      </c>
      <c r="M971" s="50">
        <f>VLOOKUP(H971,[4]Sheet2!K:Q,7,0)</f>
        <v>202745.25</v>
      </c>
      <c r="N971" s="51"/>
      <c r="O971" s="51"/>
      <c r="P971" s="51"/>
      <c r="Q971" s="51"/>
      <c r="R971" s="51"/>
      <c r="S971" s="51"/>
      <c r="T971" s="51"/>
      <c r="U971" s="51"/>
      <c r="V971" s="52">
        <f>VLOOKUP(H971,[4]Sheet2!K:N,4,0)</f>
        <v>202745.25</v>
      </c>
      <c r="W971" s="52">
        <f t="shared" si="879"/>
        <v>0</v>
      </c>
      <c r="X971" s="52">
        <f>VLOOKUP(H971,[4]Sheet2!K:N,4,0)</f>
        <v>202745.25</v>
      </c>
      <c r="Y971" s="53">
        <f t="shared" si="880"/>
        <v>1</v>
      </c>
      <c r="Z971" s="53">
        <f t="shared" si="881"/>
        <v>0</v>
      </c>
      <c r="AA971" s="53">
        <f t="shared" si="882"/>
        <v>1</v>
      </c>
    </row>
    <row r="972" spans="1:27" ht="18.75" customHeight="1" outlineLevel="5" x14ac:dyDescent="0.3">
      <c r="B972" s="12"/>
      <c r="C972" s="18"/>
      <c r="D972" s="24"/>
      <c r="E972" s="29"/>
      <c r="F972" s="34"/>
      <c r="G972" s="39" t="s">
        <v>475</v>
      </c>
      <c r="H972" s="58"/>
      <c r="I972" s="58"/>
      <c r="J972" s="58"/>
      <c r="K972" s="58"/>
      <c r="L972" s="41">
        <f>SUM(L973:L978)</f>
        <v>5.9999999999999993E-3</v>
      </c>
      <c r="M972" s="42">
        <f>M973</f>
        <v>20385.38</v>
      </c>
      <c r="N972" s="40"/>
      <c r="O972" s="40"/>
      <c r="P972" s="40"/>
      <c r="Q972" s="40"/>
      <c r="R972" s="40"/>
      <c r="S972" s="40"/>
      <c r="T972" s="40"/>
      <c r="U972" s="40"/>
      <c r="V972" s="62">
        <f t="shared" ref="V972:X972" si="883">V973</f>
        <v>20385.38</v>
      </c>
      <c r="W972" s="62">
        <f t="shared" si="883"/>
        <v>0</v>
      </c>
      <c r="X972" s="62">
        <f t="shared" si="883"/>
        <v>20385.38</v>
      </c>
      <c r="Y972" s="43">
        <f>SUMPRODUCT(Y973:Y978,$K973:$K978)</f>
        <v>0.75</v>
      </c>
      <c r="Z972" s="43">
        <f t="shared" ref="Z972" si="884">Z973</f>
        <v>0</v>
      </c>
      <c r="AA972" s="43">
        <f>SUMPRODUCT(AA973:AA978,$K973:$K978)</f>
        <v>0.9</v>
      </c>
    </row>
    <row r="973" spans="1:27" ht="18.75" customHeight="1" outlineLevel="6" x14ac:dyDescent="0.3">
      <c r="B973" s="44"/>
      <c r="C973" s="18"/>
      <c r="D973" s="24"/>
      <c r="E973" s="29"/>
      <c r="F973" s="34"/>
      <c r="G973" s="39"/>
      <c r="H973" s="46" t="s">
        <v>964</v>
      </c>
      <c r="I973" s="46" t="s">
        <v>45</v>
      </c>
      <c r="J973" s="47" t="s">
        <v>30</v>
      </c>
      <c r="K973" s="48">
        <v>0.1</v>
      </c>
      <c r="L973" s="49">
        <f>VLOOKUP(H973,[4]Sheet2!K:P,6,0)</f>
        <v>6.0000000000000006E-4</v>
      </c>
      <c r="M973" s="50">
        <f>VLOOKUP(H973,[4]Sheet2!K:Q,7,0)</f>
        <v>20385.38</v>
      </c>
      <c r="N973" s="51"/>
      <c r="O973" s="51"/>
      <c r="P973" s="51"/>
      <c r="Q973" s="51"/>
      <c r="R973" s="51"/>
      <c r="S973" s="51"/>
      <c r="T973" s="51"/>
      <c r="U973" s="51"/>
      <c r="V973" s="52">
        <f>VLOOKUP(H973,[4]Sheet2!K:N,4,0)</f>
        <v>20385.38</v>
      </c>
      <c r="W973" s="52">
        <f t="shared" ref="W973:W978" si="885">X973-V973</f>
        <v>0</v>
      </c>
      <c r="X973" s="52">
        <f>VLOOKUP(H973,[4]Sheet2!K:N,4,0)</f>
        <v>20385.38</v>
      </c>
      <c r="Y973" s="53">
        <f t="shared" ref="Y973:Y978" si="886">IFERROR(V973/M973,1)</f>
        <v>1</v>
      </c>
      <c r="Z973" s="53">
        <f t="shared" ref="Z973:Z978" si="887">IFERROR(W973/M973,1)</f>
        <v>0</v>
      </c>
      <c r="AA973" s="53">
        <f t="shared" ref="AA973:AA978" si="888">IFERROR(X973/M973,1)</f>
        <v>1</v>
      </c>
    </row>
    <row r="974" spans="1:27" ht="18.75" customHeight="1" outlineLevel="6" x14ac:dyDescent="0.3">
      <c r="B974" s="44"/>
      <c r="C974" s="18"/>
      <c r="D974" s="24"/>
      <c r="E974" s="29"/>
      <c r="F974" s="34"/>
      <c r="G974" s="39"/>
      <c r="H974" s="46" t="s">
        <v>965</v>
      </c>
      <c r="I974" s="46" t="s">
        <v>460</v>
      </c>
      <c r="J974" s="47" t="s">
        <v>30</v>
      </c>
      <c r="K974" s="48">
        <v>0.05</v>
      </c>
      <c r="L974" s="49">
        <f>VLOOKUP(H974,[4]Sheet2!K:P,6,0)</f>
        <v>3.0000000000000003E-4</v>
      </c>
      <c r="M974" s="50">
        <f>VLOOKUP(H974,[4]Sheet2!K:Q,7,0)</f>
        <v>20385.38</v>
      </c>
      <c r="N974" s="51"/>
      <c r="O974" s="51"/>
      <c r="P974" s="51"/>
      <c r="Q974" s="51"/>
      <c r="R974" s="51"/>
      <c r="S974" s="51"/>
      <c r="T974" s="51"/>
      <c r="U974" s="51"/>
      <c r="V974" s="52">
        <f>VLOOKUP(H974,[4]Sheet2!K:N,4,0)</f>
        <v>20385.38</v>
      </c>
      <c r="W974" s="52">
        <f t="shared" si="885"/>
        <v>0</v>
      </c>
      <c r="X974" s="52">
        <f>VLOOKUP(H974,[4]Sheet2!K:N,4,0)</f>
        <v>20385.38</v>
      </c>
      <c r="Y974" s="53">
        <f t="shared" si="886"/>
        <v>1</v>
      </c>
      <c r="Z974" s="53">
        <f t="shared" si="887"/>
        <v>0</v>
      </c>
      <c r="AA974" s="53">
        <f t="shared" si="888"/>
        <v>1</v>
      </c>
    </row>
    <row r="975" spans="1:27" ht="18.75" customHeight="1" outlineLevel="6" x14ac:dyDescent="0.3">
      <c r="A975" s="1" t="s">
        <v>953</v>
      </c>
      <c r="B975" s="44"/>
      <c r="C975" s="18"/>
      <c r="D975" s="24"/>
      <c r="E975" s="29"/>
      <c r="F975" s="34"/>
      <c r="G975" s="39"/>
      <c r="H975" s="46" t="s">
        <v>966</v>
      </c>
      <c r="I975" s="46" t="s">
        <v>48</v>
      </c>
      <c r="J975" s="47" t="s">
        <v>30</v>
      </c>
      <c r="K975" s="48">
        <v>0.6</v>
      </c>
      <c r="L975" s="49">
        <f>VLOOKUP(H975,[4]Sheet2!K:P,6,0)</f>
        <v>3.5999999999999999E-3</v>
      </c>
      <c r="M975" s="50">
        <f>VLOOKUP(H975,[4]Sheet2!K:Q,7,0)</f>
        <v>20385.38</v>
      </c>
      <c r="N975" s="51"/>
      <c r="O975" s="51"/>
      <c r="P975" s="51"/>
      <c r="Q975" s="51"/>
      <c r="R975" s="51"/>
      <c r="S975" s="51"/>
      <c r="T975" s="51"/>
      <c r="U975" s="51"/>
      <c r="V975" s="52">
        <f>VLOOKUP(H975,[4]Sheet2!K:N,4,0)</f>
        <v>20385.38</v>
      </c>
      <c r="W975" s="52">
        <f t="shared" si="885"/>
        <v>0</v>
      </c>
      <c r="X975" s="52">
        <f>VLOOKUP(H975,[4]Sheet2!K:N,4,0)</f>
        <v>20385.38</v>
      </c>
      <c r="Y975" s="53">
        <f t="shared" si="886"/>
        <v>1</v>
      </c>
      <c r="Z975" s="53">
        <f t="shared" si="887"/>
        <v>0</v>
      </c>
      <c r="AA975" s="53">
        <f t="shared" si="888"/>
        <v>1</v>
      </c>
    </row>
    <row r="976" spans="1:27" ht="18.75" customHeight="1" outlineLevel="6" x14ac:dyDescent="0.3">
      <c r="B976" s="44"/>
      <c r="C976" s="18"/>
      <c r="D976" s="24"/>
      <c r="E976" s="29"/>
      <c r="F976" s="34"/>
      <c r="G976" s="39"/>
      <c r="H976" s="46" t="s">
        <v>967</v>
      </c>
      <c r="I976" s="46" t="s">
        <v>464</v>
      </c>
      <c r="J976" s="47" t="s">
        <v>30</v>
      </c>
      <c r="K976" s="48">
        <v>0.15</v>
      </c>
      <c r="L976" s="49">
        <f>VLOOKUP(H976,[4]Sheet2!K:P,6,0)</f>
        <v>8.9999999999999998E-4</v>
      </c>
      <c r="M976" s="50">
        <f>VLOOKUP(H976,[4]Sheet2!K:Q,7,0)</f>
        <v>20385.38</v>
      </c>
      <c r="N976" s="51"/>
      <c r="O976" s="51"/>
      <c r="P976" s="51"/>
      <c r="Q976" s="51"/>
      <c r="R976" s="51"/>
      <c r="S976" s="51"/>
      <c r="T976" s="51"/>
      <c r="U976" s="51"/>
      <c r="V976" s="52">
        <f>VLOOKUP(H976,[4]Sheet2!K:N,4,0)</f>
        <v>0</v>
      </c>
      <c r="W976" s="52">
        <f t="shared" si="885"/>
        <v>0</v>
      </c>
      <c r="X976" s="52">
        <f>VLOOKUP(H976,[4]Sheet2!K:N,4,0)</f>
        <v>0</v>
      </c>
      <c r="Y976" s="53">
        <f t="shared" si="886"/>
        <v>0</v>
      </c>
      <c r="Z976" s="53">
        <f t="shared" si="887"/>
        <v>0</v>
      </c>
      <c r="AA976" s="53">
        <v>1</v>
      </c>
    </row>
    <row r="977" spans="1:27" ht="18.75" customHeight="1" outlineLevel="6" x14ac:dyDescent="0.3">
      <c r="B977" s="44"/>
      <c r="C977" s="18"/>
      <c r="D977" s="24"/>
      <c r="E977" s="29"/>
      <c r="F977" s="34"/>
      <c r="G977" s="39"/>
      <c r="H977" s="46" t="s">
        <v>968</v>
      </c>
      <c r="I977" s="46" t="s">
        <v>466</v>
      </c>
      <c r="J977" s="47" t="s">
        <v>30</v>
      </c>
      <c r="K977" s="48">
        <v>0.05</v>
      </c>
      <c r="L977" s="49">
        <f>VLOOKUP(H977,[4]Sheet2!K:P,6,0)</f>
        <v>3.0000000000000003E-4</v>
      </c>
      <c r="M977" s="50">
        <f>VLOOKUP(H977,[4]Sheet2!K:Q,7,0)</f>
        <v>20385.38</v>
      </c>
      <c r="N977" s="51"/>
      <c r="O977" s="51"/>
      <c r="P977" s="51"/>
      <c r="Q977" s="51"/>
      <c r="R977" s="51"/>
      <c r="S977" s="51"/>
      <c r="T977" s="51"/>
      <c r="U977" s="51"/>
      <c r="V977" s="52">
        <f>VLOOKUP(H977,[4]Sheet2!K:N,4,0)</f>
        <v>0</v>
      </c>
      <c r="W977" s="52">
        <f t="shared" si="885"/>
        <v>0</v>
      </c>
      <c r="X977" s="52">
        <f>VLOOKUP(H977,[4]Sheet2!K:N,4,0)</f>
        <v>0</v>
      </c>
      <c r="Y977" s="53">
        <f t="shared" si="886"/>
        <v>0</v>
      </c>
      <c r="Z977" s="53">
        <f t="shared" si="887"/>
        <v>0</v>
      </c>
      <c r="AA977" s="53">
        <f t="shared" si="888"/>
        <v>0</v>
      </c>
    </row>
    <row r="978" spans="1:27" ht="18.75" customHeight="1" outlineLevel="6" x14ac:dyDescent="0.3">
      <c r="B978" s="44"/>
      <c r="C978" s="18"/>
      <c r="D978" s="24"/>
      <c r="E978" s="29"/>
      <c r="F978" s="34"/>
      <c r="G978" s="39"/>
      <c r="H978" s="46" t="s">
        <v>969</v>
      </c>
      <c r="I978" s="46" t="s">
        <v>56</v>
      </c>
      <c r="J978" s="47" t="s">
        <v>30</v>
      </c>
      <c r="K978" s="48">
        <v>0.05</v>
      </c>
      <c r="L978" s="49">
        <f>VLOOKUP(H978,[4]Sheet2!K:P,6,0)</f>
        <v>3.0000000000000003E-4</v>
      </c>
      <c r="M978" s="50">
        <f>VLOOKUP(H978,[4]Sheet2!K:Q,7,0)</f>
        <v>20385.38</v>
      </c>
      <c r="N978" s="51"/>
      <c r="O978" s="51"/>
      <c r="P978" s="51"/>
      <c r="Q978" s="51"/>
      <c r="R978" s="51"/>
      <c r="S978" s="51"/>
      <c r="T978" s="51"/>
      <c r="U978" s="51"/>
      <c r="V978" s="52">
        <f>VLOOKUP(H978,[4]Sheet2!K:N,4,0)</f>
        <v>0</v>
      </c>
      <c r="W978" s="52">
        <f t="shared" si="885"/>
        <v>0</v>
      </c>
      <c r="X978" s="52">
        <f>VLOOKUP(H978,[4]Sheet2!K:N,4,0)</f>
        <v>0</v>
      </c>
      <c r="Y978" s="53">
        <f t="shared" si="886"/>
        <v>0</v>
      </c>
      <c r="Z978" s="53">
        <f t="shared" si="887"/>
        <v>0</v>
      </c>
      <c r="AA978" s="53">
        <f t="shared" si="888"/>
        <v>0</v>
      </c>
    </row>
    <row r="979" spans="1:27" ht="18.75" customHeight="1" outlineLevel="5" x14ac:dyDescent="0.3">
      <c r="B979" s="12"/>
      <c r="C979" s="18"/>
      <c r="D979" s="24"/>
      <c r="E979" s="29"/>
      <c r="F979" s="34"/>
      <c r="G979" s="39" t="s">
        <v>482</v>
      </c>
      <c r="H979" s="58"/>
      <c r="I979" s="58"/>
      <c r="J979" s="58"/>
      <c r="K979" s="58"/>
      <c r="L979" s="41">
        <f>SUM(L980:L985)</f>
        <v>3.4999999999999992E-3</v>
      </c>
      <c r="M979" s="42">
        <f>M980</f>
        <v>4958.25</v>
      </c>
      <c r="N979" s="40"/>
      <c r="O979" s="40"/>
      <c r="P979" s="40"/>
      <c r="Q979" s="40"/>
      <c r="R979" s="40"/>
      <c r="S979" s="40"/>
      <c r="T979" s="40"/>
      <c r="U979" s="40"/>
      <c r="V979" s="62">
        <f t="shared" ref="V979:X979" si="889">V980</f>
        <v>4958.25</v>
      </c>
      <c r="W979" s="62">
        <f t="shared" si="889"/>
        <v>0</v>
      </c>
      <c r="X979" s="62">
        <f t="shared" si="889"/>
        <v>4958.25</v>
      </c>
      <c r="Y979" s="43">
        <f>SUMPRODUCT(Y980:Y985,$K980:$K985)</f>
        <v>0.75</v>
      </c>
      <c r="Z979" s="43">
        <f t="shared" ref="Z979" si="890">Z980</f>
        <v>0</v>
      </c>
      <c r="AA979" s="43">
        <f>SUMPRODUCT(AA980:AA985,$K980:$K985)</f>
        <v>0.75</v>
      </c>
    </row>
    <row r="980" spans="1:27" ht="18.75" customHeight="1" outlineLevel="6" x14ac:dyDescent="0.3">
      <c r="B980" s="44"/>
      <c r="C980" s="18"/>
      <c r="D980" s="24"/>
      <c r="E980" s="29"/>
      <c r="F980" s="34"/>
      <c r="G980" s="39"/>
      <c r="H980" s="46" t="s">
        <v>970</v>
      </c>
      <c r="I980" s="46" t="s">
        <v>45</v>
      </c>
      <c r="J980" s="47" t="s">
        <v>30</v>
      </c>
      <c r="K980" s="48">
        <v>0.1</v>
      </c>
      <c r="L980" s="49">
        <f>VLOOKUP(H980,[4]Sheet2!K:P,6,0)</f>
        <v>3.4999999999999994E-4</v>
      </c>
      <c r="M980" s="50">
        <f>VLOOKUP(H980,[4]Sheet2!K:Q,7,0)</f>
        <v>4958.25</v>
      </c>
      <c r="N980" s="51"/>
      <c r="O980" s="51"/>
      <c r="P980" s="51"/>
      <c r="Q980" s="51"/>
      <c r="R980" s="51"/>
      <c r="S980" s="51"/>
      <c r="T980" s="51"/>
      <c r="U980" s="51"/>
      <c r="V980" s="52">
        <f>VLOOKUP(H980,[4]Sheet2!K:N,4,0)</f>
        <v>4958.25</v>
      </c>
      <c r="W980" s="52">
        <f t="shared" ref="W980:W985" si="891">X980-V980</f>
        <v>0</v>
      </c>
      <c r="X980" s="52">
        <f>VLOOKUP(H980,[4]Sheet2!K:N,4,0)</f>
        <v>4958.25</v>
      </c>
      <c r="Y980" s="53">
        <f t="shared" ref="Y980:Y985" si="892">IFERROR(V980/M980,1)</f>
        <v>1</v>
      </c>
      <c r="Z980" s="53">
        <f t="shared" ref="Z980:Z985" si="893">IFERROR(W980/M980,1)</f>
        <v>0</v>
      </c>
      <c r="AA980" s="53">
        <f t="shared" ref="AA980:AA985" si="894">IFERROR(X980/M980,1)</f>
        <v>1</v>
      </c>
    </row>
    <row r="981" spans="1:27" ht="18.75" customHeight="1" outlineLevel="6" x14ac:dyDescent="0.3">
      <c r="B981" s="44"/>
      <c r="C981" s="18"/>
      <c r="D981" s="24"/>
      <c r="E981" s="29"/>
      <c r="F981" s="34"/>
      <c r="G981" s="39"/>
      <c r="H981" s="46" t="s">
        <v>971</v>
      </c>
      <c r="I981" s="46" t="s">
        <v>460</v>
      </c>
      <c r="J981" s="47" t="s">
        <v>30</v>
      </c>
      <c r="K981" s="48">
        <v>0.05</v>
      </c>
      <c r="L981" s="49">
        <f>VLOOKUP(H981,[4]Sheet2!K:P,6,0)</f>
        <v>1.7499999999999997E-4</v>
      </c>
      <c r="M981" s="50">
        <f>VLOOKUP(H981,[4]Sheet2!K:Q,7,0)</f>
        <v>4958.25</v>
      </c>
      <c r="N981" s="51"/>
      <c r="O981" s="51"/>
      <c r="P981" s="51"/>
      <c r="Q981" s="51"/>
      <c r="R981" s="51"/>
      <c r="S981" s="51"/>
      <c r="T981" s="51"/>
      <c r="U981" s="51"/>
      <c r="V981" s="52">
        <f>VLOOKUP(H981,[4]Sheet2!K:N,4,0)</f>
        <v>4958.25</v>
      </c>
      <c r="W981" s="52">
        <f t="shared" si="891"/>
        <v>0</v>
      </c>
      <c r="X981" s="52">
        <f>VLOOKUP(H981,[4]Sheet2!K:N,4,0)</f>
        <v>4958.25</v>
      </c>
      <c r="Y981" s="53">
        <f t="shared" si="892"/>
        <v>1</v>
      </c>
      <c r="Z981" s="53">
        <f t="shared" si="893"/>
        <v>0</v>
      </c>
      <c r="AA981" s="53">
        <f t="shared" si="894"/>
        <v>1</v>
      </c>
    </row>
    <row r="982" spans="1:27" ht="18.75" customHeight="1" outlineLevel="6" x14ac:dyDescent="0.3">
      <c r="A982" s="1" t="s">
        <v>953</v>
      </c>
      <c r="B982" s="44"/>
      <c r="C982" s="18"/>
      <c r="D982" s="24"/>
      <c r="E982" s="29"/>
      <c r="F982" s="34"/>
      <c r="G982" s="39"/>
      <c r="H982" s="46" t="s">
        <v>972</v>
      </c>
      <c r="I982" s="46" t="s">
        <v>48</v>
      </c>
      <c r="J982" s="47" t="s">
        <v>30</v>
      </c>
      <c r="K982" s="48">
        <v>0.6</v>
      </c>
      <c r="L982" s="49">
        <f>VLOOKUP(H982,[4]Sheet2!K:P,6,0)</f>
        <v>2.0999999999999999E-3</v>
      </c>
      <c r="M982" s="50">
        <f>VLOOKUP(H982,[4]Sheet2!K:Q,7,0)</f>
        <v>4958.25</v>
      </c>
      <c r="N982" s="51"/>
      <c r="O982" s="51"/>
      <c r="P982" s="51"/>
      <c r="Q982" s="51"/>
      <c r="R982" s="51"/>
      <c r="S982" s="51"/>
      <c r="T982" s="51"/>
      <c r="U982" s="51"/>
      <c r="V982" s="52">
        <f>VLOOKUP(H982,[4]Sheet2!K:N,4,0)</f>
        <v>4958.25</v>
      </c>
      <c r="W982" s="52">
        <f t="shared" si="891"/>
        <v>0</v>
      </c>
      <c r="X982" s="52">
        <f>VLOOKUP(H982,[4]Sheet2!K:N,4,0)</f>
        <v>4958.25</v>
      </c>
      <c r="Y982" s="53">
        <f t="shared" si="892"/>
        <v>1</v>
      </c>
      <c r="Z982" s="53">
        <f t="shared" si="893"/>
        <v>0</v>
      </c>
      <c r="AA982" s="53">
        <f t="shared" si="894"/>
        <v>1</v>
      </c>
    </row>
    <row r="983" spans="1:27" ht="18.75" customHeight="1" outlineLevel="6" x14ac:dyDescent="0.3">
      <c r="B983" s="44"/>
      <c r="C983" s="18"/>
      <c r="D983" s="24"/>
      <c r="E983" s="29"/>
      <c r="F983" s="34"/>
      <c r="G983" s="39"/>
      <c r="H983" s="46" t="s">
        <v>973</v>
      </c>
      <c r="I983" s="46" t="s">
        <v>464</v>
      </c>
      <c r="J983" s="47" t="s">
        <v>30</v>
      </c>
      <c r="K983" s="48">
        <v>0.15</v>
      </c>
      <c r="L983" s="49">
        <f>VLOOKUP(H983,[4]Sheet2!K:P,6,0)</f>
        <v>5.2499999999999997E-4</v>
      </c>
      <c r="M983" s="50">
        <f>VLOOKUP(H983,[4]Sheet2!K:Q,7,0)</f>
        <v>4958.25</v>
      </c>
      <c r="N983" s="51"/>
      <c r="O983" s="51"/>
      <c r="P983" s="51"/>
      <c r="Q983" s="51"/>
      <c r="R983" s="51"/>
      <c r="S983" s="51"/>
      <c r="T983" s="51"/>
      <c r="U983" s="51"/>
      <c r="V983" s="52">
        <f>VLOOKUP(H983,[4]Sheet2!K:N,4,0)</f>
        <v>0</v>
      </c>
      <c r="W983" s="52">
        <f t="shared" si="891"/>
        <v>0</v>
      </c>
      <c r="X983" s="52">
        <f>VLOOKUP(H983,[4]Sheet2!K:N,4,0)</f>
        <v>0</v>
      </c>
      <c r="Y983" s="53">
        <f t="shared" si="892"/>
        <v>0</v>
      </c>
      <c r="Z983" s="53">
        <f t="shared" si="893"/>
        <v>0</v>
      </c>
      <c r="AA983" s="53">
        <f t="shared" si="894"/>
        <v>0</v>
      </c>
    </row>
    <row r="984" spans="1:27" ht="18.75" customHeight="1" outlineLevel="6" x14ac:dyDescent="0.3">
      <c r="B984" s="44"/>
      <c r="C984" s="18"/>
      <c r="D984" s="24"/>
      <c r="E984" s="29"/>
      <c r="F984" s="34"/>
      <c r="G984" s="39"/>
      <c r="H984" s="46" t="s">
        <v>974</v>
      </c>
      <c r="I984" s="46" t="s">
        <v>466</v>
      </c>
      <c r="J984" s="47" t="s">
        <v>30</v>
      </c>
      <c r="K984" s="48">
        <v>0.05</v>
      </c>
      <c r="L984" s="49">
        <f>VLOOKUP(H984,[4]Sheet2!K:P,6,0)</f>
        <v>1.7499999999999997E-4</v>
      </c>
      <c r="M984" s="50">
        <f>VLOOKUP(H984,[4]Sheet2!K:Q,7,0)</f>
        <v>4958.25</v>
      </c>
      <c r="N984" s="51"/>
      <c r="O984" s="51"/>
      <c r="P984" s="51"/>
      <c r="Q984" s="51"/>
      <c r="R984" s="51"/>
      <c r="S984" s="51"/>
      <c r="T984" s="51"/>
      <c r="U984" s="51"/>
      <c r="V984" s="52">
        <f>VLOOKUP(H984,[4]Sheet2!K:N,4,0)</f>
        <v>0</v>
      </c>
      <c r="W984" s="52">
        <f t="shared" si="891"/>
        <v>0</v>
      </c>
      <c r="X984" s="52">
        <f>VLOOKUP(H984,[4]Sheet2!K:N,4,0)</f>
        <v>0</v>
      </c>
      <c r="Y984" s="53">
        <f t="shared" si="892"/>
        <v>0</v>
      </c>
      <c r="Z984" s="53">
        <f t="shared" si="893"/>
        <v>0</v>
      </c>
      <c r="AA984" s="53">
        <f t="shared" si="894"/>
        <v>0</v>
      </c>
    </row>
    <row r="985" spans="1:27" ht="18.75" customHeight="1" outlineLevel="6" x14ac:dyDescent="0.3">
      <c r="B985" s="44"/>
      <c r="C985" s="18"/>
      <c r="D985" s="24"/>
      <c r="E985" s="29"/>
      <c r="F985" s="34"/>
      <c r="G985" s="39"/>
      <c r="H985" s="46" t="s">
        <v>975</v>
      </c>
      <c r="I985" s="46" t="s">
        <v>56</v>
      </c>
      <c r="J985" s="47" t="s">
        <v>30</v>
      </c>
      <c r="K985" s="48">
        <v>0.05</v>
      </c>
      <c r="L985" s="49">
        <f>VLOOKUP(H985,[4]Sheet2!K:P,6,0)</f>
        <v>1.7499999999999997E-4</v>
      </c>
      <c r="M985" s="50">
        <f>VLOOKUP(H985,[4]Sheet2!K:Q,7,0)</f>
        <v>4958.25</v>
      </c>
      <c r="N985" s="51"/>
      <c r="O985" s="51"/>
      <c r="P985" s="51"/>
      <c r="Q985" s="51"/>
      <c r="R985" s="51"/>
      <c r="S985" s="51"/>
      <c r="T985" s="51"/>
      <c r="U985" s="51"/>
      <c r="V985" s="52">
        <f>VLOOKUP(H985,[4]Sheet2!K:N,4,0)</f>
        <v>0</v>
      </c>
      <c r="W985" s="52">
        <f t="shared" si="891"/>
        <v>0</v>
      </c>
      <c r="X985" s="52">
        <f>VLOOKUP(H985,[4]Sheet2!K:N,4,0)</f>
        <v>0</v>
      </c>
      <c r="Y985" s="53">
        <f t="shared" si="892"/>
        <v>0</v>
      </c>
      <c r="Z985" s="53">
        <f t="shared" si="893"/>
        <v>0</v>
      </c>
      <c r="AA985" s="53">
        <f t="shared" si="894"/>
        <v>0</v>
      </c>
    </row>
    <row r="986" spans="1:27" ht="18.75" customHeight="1" outlineLevel="5" x14ac:dyDescent="0.3">
      <c r="B986" s="12"/>
      <c r="C986" s="18"/>
      <c r="D986" s="24"/>
      <c r="E986" s="29"/>
      <c r="F986" s="34"/>
      <c r="G986" s="39" t="s">
        <v>489</v>
      </c>
      <c r="H986" s="58"/>
      <c r="I986" s="58"/>
      <c r="J986" s="58"/>
      <c r="K986" s="58"/>
      <c r="L986" s="41">
        <f>SUM(L987:L992)</f>
        <v>5.0000000000000001E-3</v>
      </c>
      <c r="M986" s="42">
        <f>M987</f>
        <v>18896</v>
      </c>
      <c r="N986" s="40"/>
      <c r="O986" s="40"/>
      <c r="P986" s="40"/>
      <c r="Q986" s="40"/>
      <c r="R986" s="40"/>
      <c r="S986" s="40"/>
      <c r="T986" s="40"/>
      <c r="U986" s="40"/>
      <c r="V986" s="62">
        <f t="shared" ref="V986:X986" si="895">V987</f>
        <v>18896</v>
      </c>
      <c r="W986" s="62">
        <f t="shared" si="895"/>
        <v>0</v>
      </c>
      <c r="X986" s="62">
        <f t="shared" si="895"/>
        <v>18896</v>
      </c>
      <c r="Y986" s="43">
        <f>SUMPRODUCT(Y987:Y992,$K987:$K992)</f>
        <v>1</v>
      </c>
      <c r="Z986" s="43">
        <f t="shared" ref="Z986" si="896">Z987</f>
        <v>0</v>
      </c>
      <c r="AA986" s="43">
        <f>SUMPRODUCT(AA987:AA992,$K987:$K992)</f>
        <v>1</v>
      </c>
    </row>
    <row r="987" spans="1:27" ht="18.75" customHeight="1" outlineLevel="6" x14ac:dyDescent="0.3">
      <c r="B987" s="44"/>
      <c r="C987" s="18"/>
      <c r="D987" s="24"/>
      <c r="E987" s="29"/>
      <c r="F987" s="34"/>
      <c r="G987" s="39"/>
      <c r="H987" s="46" t="s">
        <v>976</v>
      </c>
      <c r="I987" s="46" t="s">
        <v>45</v>
      </c>
      <c r="J987" s="47" t="s">
        <v>30</v>
      </c>
      <c r="K987" s="48">
        <v>0.1</v>
      </c>
      <c r="L987" s="49">
        <f>VLOOKUP(H987,[4]Sheet2!K:P,6,0)</f>
        <v>5.0000000000000001E-4</v>
      </c>
      <c r="M987" s="50">
        <f>VLOOKUP(H987,[4]Sheet2!K:Q,7,0)</f>
        <v>18896</v>
      </c>
      <c r="N987" s="51"/>
      <c r="O987" s="51"/>
      <c r="P987" s="51"/>
      <c r="Q987" s="51"/>
      <c r="R987" s="51"/>
      <c r="S987" s="51"/>
      <c r="T987" s="51"/>
      <c r="U987" s="51"/>
      <c r="V987" s="52">
        <f>VLOOKUP(H987,[4]Sheet2!K:N,4,0)</f>
        <v>18896</v>
      </c>
      <c r="W987" s="52">
        <f t="shared" ref="W987:W992" si="897">X987-V987</f>
        <v>0</v>
      </c>
      <c r="X987" s="52">
        <f>VLOOKUP(H987,[4]Sheet2!K:N,4,0)</f>
        <v>18896</v>
      </c>
      <c r="Y987" s="53">
        <f t="shared" ref="Y987:Y992" si="898">IFERROR(V987/M987,1)</f>
        <v>1</v>
      </c>
      <c r="Z987" s="53">
        <f t="shared" ref="Z987:Z992" si="899">IFERROR(W987/M987,1)</f>
        <v>0</v>
      </c>
      <c r="AA987" s="53">
        <f t="shared" ref="AA987:AA992" si="900">IFERROR(X987/M987,1)</f>
        <v>1</v>
      </c>
    </row>
    <row r="988" spans="1:27" ht="18.75" customHeight="1" outlineLevel="6" x14ac:dyDescent="0.3">
      <c r="B988" s="44"/>
      <c r="C988" s="18"/>
      <c r="D988" s="24"/>
      <c r="E988" s="29"/>
      <c r="F988" s="34"/>
      <c r="G988" s="39"/>
      <c r="H988" s="46" t="s">
        <v>977</v>
      </c>
      <c r="I988" s="46" t="s">
        <v>460</v>
      </c>
      <c r="J988" s="47" t="s">
        <v>30</v>
      </c>
      <c r="K988" s="48">
        <v>0.05</v>
      </c>
      <c r="L988" s="49">
        <f>VLOOKUP(H988,[4]Sheet2!K:P,6,0)</f>
        <v>2.5000000000000001E-4</v>
      </c>
      <c r="M988" s="50">
        <f>VLOOKUP(H988,[4]Sheet2!K:Q,7,0)</f>
        <v>18896</v>
      </c>
      <c r="N988" s="51"/>
      <c r="O988" s="51"/>
      <c r="P988" s="51"/>
      <c r="Q988" s="51"/>
      <c r="R988" s="51"/>
      <c r="S988" s="51"/>
      <c r="T988" s="51"/>
      <c r="U988" s="51"/>
      <c r="V988" s="52">
        <f>VLOOKUP(H988,[4]Sheet2!K:N,4,0)</f>
        <v>18896</v>
      </c>
      <c r="W988" s="52">
        <f t="shared" si="897"/>
        <v>0</v>
      </c>
      <c r="X988" s="52">
        <f>VLOOKUP(H988,[4]Sheet2!K:N,4,0)</f>
        <v>18896</v>
      </c>
      <c r="Y988" s="53">
        <f t="shared" si="898"/>
        <v>1</v>
      </c>
      <c r="Z988" s="53">
        <f t="shared" si="899"/>
        <v>0</v>
      </c>
      <c r="AA988" s="53">
        <f t="shared" si="900"/>
        <v>1</v>
      </c>
    </row>
    <row r="989" spans="1:27" ht="18.75" customHeight="1" outlineLevel="6" x14ac:dyDescent="0.3">
      <c r="A989" s="1" t="s">
        <v>953</v>
      </c>
      <c r="B989" s="44"/>
      <c r="C989" s="18"/>
      <c r="D989" s="24"/>
      <c r="E989" s="29"/>
      <c r="F989" s="34"/>
      <c r="G989" s="39"/>
      <c r="H989" s="46" t="s">
        <v>978</v>
      </c>
      <c r="I989" s="46" t="s">
        <v>48</v>
      </c>
      <c r="J989" s="47" t="s">
        <v>30</v>
      </c>
      <c r="K989" s="48">
        <v>0.6</v>
      </c>
      <c r="L989" s="49">
        <f>VLOOKUP(H989,[4]Sheet2!K:P,6,0)</f>
        <v>3.0000000000000001E-3</v>
      </c>
      <c r="M989" s="50">
        <f>VLOOKUP(H989,[4]Sheet2!K:Q,7,0)</f>
        <v>18896</v>
      </c>
      <c r="N989" s="51"/>
      <c r="O989" s="51"/>
      <c r="P989" s="51"/>
      <c r="Q989" s="51"/>
      <c r="R989" s="51"/>
      <c r="S989" s="51"/>
      <c r="T989" s="51"/>
      <c r="U989" s="51"/>
      <c r="V989" s="52">
        <f>VLOOKUP(H989,[4]Sheet2!K:N,4,0)</f>
        <v>18896</v>
      </c>
      <c r="W989" s="52">
        <f t="shared" si="897"/>
        <v>0</v>
      </c>
      <c r="X989" s="52">
        <f>VLOOKUP(H989,[4]Sheet2!K:N,4,0)</f>
        <v>18896</v>
      </c>
      <c r="Y989" s="53">
        <f t="shared" si="898"/>
        <v>1</v>
      </c>
      <c r="Z989" s="53">
        <f t="shared" si="899"/>
        <v>0</v>
      </c>
      <c r="AA989" s="53">
        <f t="shared" si="900"/>
        <v>1</v>
      </c>
    </row>
    <row r="990" spans="1:27" ht="18.75" customHeight="1" outlineLevel="6" x14ac:dyDescent="0.3">
      <c r="B990" s="44"/>
      <c r="C990" s="18"/>
      <c r="D990" s="24"/>
      <c r="E990" s="29"/>
      <c r="F990" s="34"/>
      <c r="G990" s="39"/>
      <c r="H990" s="46" t="s">
        <v>979</v>
      </c>
      <c r="I990" s="46" t="s">
        <v>464</v>
      </c>
      <c r="J990" s="47" t="s">
        <v>30</v>
      </c>
      <c r="K990" s="48">
        <v>0.15</v>
      </c>
      <c r="L990" s="49">
        <f>VLOOKUP(H990,[4]Sheet2!K:P,6,0)</f>
        <v>7.5000000000000002E-4</v>
      </c>
      <c r="M990" s="50">
        <f>VLOOKUP(H990,[4]Sheet2!K:Q,7,0)</f>
        <v>18896</v>
      </c>
      <c r="N990" s="51"/>
      <c r="O990" s="51"/>
      <c r="P990" s="51"/>
      <c r="Q990" s="51"/>
      <c r="R990" s="51"/>
      <c r="S990" s="51"/>
      <c r="T990" s="51"/>
      <c r="U990" s="51"/>
      <c r="V990" s="52">
        <f>VLOOKUP(H990,[4]Sheet2!K:N,4,0)</f>
        <v>18896</v>
      </c>
      <c r="W990" s="52">
        <f t="shared" si="897"/>
        <v>0</v>
      </c>
      <c r="X990" s="52">
        <f>VLOOKUP(H990,[4]Sheet2!K:N,4,0)</f>
        <v>18896</v>
      </c>
      <c r="Y990" s="53">
        <f t="shared" si="898"/>
        <v>1</v>
      </c>
      <c r="Z990" s="53">
        <f t="shared" si="899"/>
        <v>0</v>
      </c>
      <c r="AA990" s="53">
        <f t="shared" si="900"/>
        <v>1</v>
      </c>
    </row>
    <row r="991" spans="1:27" ht="18.75" customHeight="1" outlineLevel="6" x14ac:dyDescent="0.3">
      <c r="B991" s="44"/>
      <c r="C991" s="18"/>
      <c r="D991" s="24"/>
      <c r="E991" s="29"/>
      <c r="F991" s="34"/>
      <c r="G991" s="39"/>
      <c r="H991" s="46" t="s">
        <v>980</v>
      </c>
      <c r="I991" s="46" t="s">
        <v>466</v>
      </c>
      <c r="J991" s="47" t="s">
        <v>30</v>
      </c>
      <c r="K991" s="48">
        <v>0.05</v>
      </c>
      <c r="L991" s="49">
        <f>VLOOKUP(H991,[4]Sheet2!K:P,6,0)</f>
        <v>2.5000000000000001E-4</v>
      </c>
      <c r="M991" s="50">
        <f>VLOOKUP(H991,[4]Sheet2!K:Q,7,0)</f>
        <v>18896</v>
      </c>
      <c r="N991" s="51"/>
      <c r="O991" s="51"/>
      <c r="P991" s="51"/>
      <c r="Q991" s="51"/>
      <c r="R991" s="51"/>
      <c r="S991" s="51"/>
      <c r="T991" s="51"/>
      <c r="U991" s="51"/>
      <c r="V991" s="52">
        <f>VLOOKUP(H991,[4]Sheet2!K:N,4,0)</f>
        <v>18896</v>
      </c>
      <c r="W991" s="52">
        <f t="shared" si="897"/>
        <v>0</v>
      </c>
      <c r="X991" s="52">
        <f>VLOOKUP(H991,[4]Sheet2!K:N,4,0)</f>
        <v>18896</v>
      </c>
      <c r="Y991" s="53">
        <f t="shared" si="898"/>
        <v>1</v>
      </c>
      <c r="Z991" s="53">
        <f t="shared" si="899"/>
        <v>0</v>
      </c>
      <c r="AA991" s="53">
        <f t="shared" si="900"/>
        <v>1</v>
      </c>
    </row>
    <row r="992" spans="1:27" ht="18.75" customHeight="1" outlineLevel="6" x14ac:dyDescent="0.3">
      <c r="B992" s="44"/>
      <c r="C992" s="18"/>
      <c r="D992" s="24"/>
      <c r="E992" s="29"/>
      <c r="F992" s="34"/>
      <c r="G992" s="39"/>
      <c r="H992" s="46" t="s">
        <v>981</v>
      </c>
      <c r="I992" s="46" t="s">
        <v>56</v>
      </c>
      <c r="J992" s="47" t="s">
        <v>30</v>
      </c>
      <c r="K992" s="48">
        <v>0.05</v>
      </c>
      <c r="L992" s="49">
        <f>VLOOKUP(H992,[4]Sheet2!K:P,6,0)</f>
        <v>2.5000000000000001E-4</v>
      </c>
      <c r="M992" s="50">
        <f>VLOOKUP(H992,[4]Sheet2!K:Q,7,0)</f>
        <v>18896</v>
      </c>
      <c r="N992" s="51"/>
      <c r="O992" s="51"/>
      <c r="P992" s="51"/>
      <c r="Q992" s="51"/>
      <c r="R992" s="51"/>
      <c r="S992" s="51"/>
      <c r="T992" s="51"/>
      <c r="U992" s="51"/>
      <c r="V992" s="52">
        <f>VLOOKUP(H992,[4]Sheet2!K:N,4,0)</f>
        <v>18896</v>
      </c>
      <c r="W992" s="52">
        <f t="shared" si="897"/>
        <v>0</v>
      </c>
      <c r="X992" s="52">
        <f>VLOOKUP(H992,[4]Sheet2!K:N,4,0)</f>
        <v>18896</v>
      </c>
      <c r="Y992" s="53">
        <f t="shared" si="898"/>
        <v>1</v>
      </c>
      <c r="Z992" s="53">
        <f t="shared" si="899"/>
        <v>0</v>
      </c>
      <c r="AA992" s="53">
        <f t="shared" si="900"/>
        <v>1</v>
      </c>
    </row>
    <row r="993" spans="1:27" ht="18.75" customHeight="1" outlineLevel="5" x14ac:dyDescent="0.3">
      <c r="B993" s="12"/>
      <c r="C993" s="18"/>
      <c r="D993" s="24"/>
      <c r="E993" s="29"/>
      <c r="F993" s="34"/>
      <c r="G993" s="39" t="s">
        <v>496</v>
      </c>
      <c r="H993" s="58"/>
      <c r="I993" s="58"/>
      <c r="J993" s="58"/>
      <c r="K993" s="58"/>
      <c r="L993" s="41">
        <f>SUM(L994:L999)</f>
        <v>1.2199999999999997E-2</v>
      </c>
      <c r="M993" s="42">
        <f>M994</f>
        <v>17435.95</v>
      </c>
      <c r="N993" s="40"/>
      <c r="O993" s="40"/>
      <c r="P993" s="40"/>
      <c r="Q993" s="40"/>
      <c r="R993" s="40"/>
      <c r="S993" s="40"/>
      <c r="T993" s="40"/>
      <c r="U993" s="40"/>
      <c r="V993" s="62">
        <f t="shared" ref="V993:X993" si="901">V994</f>
        <v>17435.95</v>
      </c>
      <c r="W993" s="62">
        <f t="shared" si="901"/>
        <v>0</v>
      </c>
      <c r="X993" s="62">
        <f t="shared" si="901"/>
        <v>17435.95</v>
      </c>
      <c r="Y993" s="43">
        <f>SUMPRODUCT(Y994:Y999,$K994:$K999)</f>
        <v>1</v>
      </c>
      <c r="Z993" s="43">
        <f t="shared" ref="Z993" si="902">Z994</f>
        <v>0</v>
      </c>
      <c r="AA993" s="43">
        <f>SUMPRODUCT(AA994:AA999,$K994:$K999)</f>
        <v>1</v>
      </c>
    </row>
    <row r="994" spans="1:27" ht="18.75" customHeight="1" outlineLevel="6" x14ac:dyDescent="0.3">
      <c r="B994" s="44"/>
      <c r="C994" s="18"/>
      <c r="D994" s="24"/>
      <c r="E994" s="29"/>
      <c r="F994" s="34"/>
      <c r="G994" s="39"/>
      <c r="H994" s="46" t="s">
        <v>982</v>
      </c>
      <c r="I994" s="46" t="s">
        <v>45</v>
      </c>
      <c r="J994" s="47" t="s">
        <v>30</v>
      </c>
      <c r="K994" s="48">
        <v>0.1</v>
      </c>
      <c r="L994" s="49">
        <f>VLOOKUP(H994,[4]Sheet2!K:P,6,0)</f>
        <v>1.2199999999999999E-3</v>
      </c>
      <c r="M994" s="50">
        <f>VLOOKUP(H994,[4]Sheet2!K:Q,7,0)</f>
        <v>17435.95</v>
      </c>
      <c r="N994" s="51"/>
      <c r="O994" s="51"/>
      <c r="P994" s="51"/>
      <c r="Q994" s="51"/>
      <c r="R994" s="51"/>
      <c r="S994" s="51"/>
      <c r="T994" s="51"/>
      <c r="U994" s="51"/>
      <c r="V994" s="52">
        <f>VLOOKUP(H994,[4]Sheet2!K:N,4,0)</f>
        <v>17435.95</v>
      </c>
      <c r="W994" s="52">
        <f t="shared" ref="W994:W999" si="903">X994-V994</f>
        <v>0</v>
      </c>
      <c r="X994" s="52">
        <f>VLOOKUP(H994,[4]Sheet2!K:N,4,0)</f>
        <v>17435.95</v>
      </c>
      <c r="Y994" s="53">
        <f t="shared" ref="Y994:Y999" si="904">IFERROR(V994/M994,1)</f>
        <v>1</v>
      </c>
      <c r="Z994" s="53">
        <f t="shared" ref="Z994:Z999" si="905">IFERROR(W994/M994,1)</f>
        <v>0</v>
      </c>
      <c r="AA994" s="53">
        <f t="shared" ref="AA994:AA999" si="906">IFERROR(X994/M994,1)</f>
        <v>1</v>
      </c>
    </row>
    <row r="995" spans="1:27" ht="18.75" customHeight="1" outlineLevel="6" x14ac:dyDescent="0.3">
      <c r="B995" s="44"/>
      <c r="C995" s="18"/>
      <c r="D995" s="24"/>
      <c r="E995" s="29"/>
      <c r="F995" s="34"/>
      <c r="G995" s="39"/>
      <c r="H995" s="46" t="s">
        <v>983</v>
      </c>
      <c r="I995" s="46" t="s">
        <v>460</v>
      </c>
      <c r="J995" s="47" t="s">
        <v>30</v>
      </c>
      <c r="K995" s="48">
        <v>0.05</v>
      </c>
      <c r="L995" s="49">
        <f>VLOOKUP(H995,[4]Sheet2!K:P,6,0)</f>
        <v>6.0999999999999997E-4</v>
      </c>
      <c r="M995" s="50">
        <f>VLOOKUP(H995,[4]Sheet2!K:Q,7,0)</f>
        <v>17435.95</v>
      </c>
      <c r="N995" s="51"/>
      <c r="O995" s="51"/>
      <c r="P995" s="51"/>
      <c r="Q995" s="51"/>
      <c r="R995" s="51"/>
      <c r="S995" s="51"/>
      <c r="T995" s="51"/>
      <c r="U995" s="51"/>
      <c r="V995" s="52">
        <f>VLOOKUP(H995,[4]Sheet2!K:N,4,0)</f>
        <v>17435.95</v>
      </c>
      <c r="W995" s="52">
        <f t="shared" si="903"/>
        <v>0</v>
      </c>
      <c r="X995" s="52">
        <f>VLOOKUP(H995,[4]Sheet2!K:N,4,0)</f>
        <v>17435.95</v>
      </c>
      <c r="Y995" s="53">
        <f t="shared" si="904"/>
        <v>1</v>
      </c>
      <c r="Z995" s="53">
        <f t="shared" si="905"/>
        <v>0</v>
      </c>
      <c r="AA995" s="53">
        <f t="shared" si="906"/>
        <v>1</v>
      </c>
    </row>
    <row r="996" spans="1:27" ht="18.75" customHeight="1" outlineLevel="6" x14ac:dyDescent="0.3">
      <c r="A996" s="1" t="s">
        <v>953</v>
      </c>
      <c r="B996" s="44"/>
      <c r="C996" s="18"/>
      <c r="D996" s="24"/>
      <c r="E996" s="29"/>
      <c r="F996" s="34"/>
      <c r="G996" s="39"/>
      <c r="H996" s="46" t="s">
        <v>984</v>
      </c>
      <c r="I996" s="46" t="s">
        <v>48</v>
      </c>
      <c r="J996" s="47" t="s">
        <v>30</v>
      </c>
      <c r="K996" s="48">
        <v>0.6</v>
      </c>
      <c r="L996" s="49">
        <f>VLOOKUP(H996,[4]Sheet2!K:P,6,0)</f>
        <v>7.3199999999999993E-3</v>
      </c>
      <c r="M996" s="50">
        <f>VLOOKUP(H996,[4]Sheet2!K:Q,7,0)</f>
        <v>17435.95</v>
      </c>
      <c r="N996" s="51"/>
      <c r="O996" s="51"/>
      <c r="P996" s="51"/>
      <c r="Q996" s="51"/>
      <c r="R996" s="51"/>
      <c r="S996" s="51"/>
      <c r="T996" s="51"/>
      <c r="U996" s="51"/>
      <c r="V996" s="52">
        <f>VLOOKUP(H996,[4]Sheet2!K:N,4,0)</f>
        <v>17435.95</v>
      </c>
      <c r="W996" s="52">
        <f t="shared" si="903"/>
        <v>0</v>
      </c>
      <c r="X996" s="52">
        <f>VLOOKUP(H996,[4]Sheet2!K:N,4,0)</f>
        <v>17435.95</v>
      </c>
      <c r="Y996" s="53">
        <f t="shared" si="904"/>
        <v>1</v>
      </c>
      <c r="Z996" s="53">
        <f t="shared" si="905"/>
        <v>0</v>
      </c>
      <c r="AA996" s="53">
        <f t="shared" si="906"/>
        <v>1</v>
      </c>
    </row>
    <row r="997" spans="1:27" ht="18.75" customHeight="1" outlineLevel="6" x14ac:dyDescent="0.3">
      <c r="B997" s="44"/>
      <c r="C997" s="18"/>
      <c r="D997" s="24"/>
      <c r="E997" s="29"/>
      <c r="F997" s="34"/>
      <c r="G997" s="39"/>
      <c r="H997" s="46" t="s">
        <v>985</v>
      </c>
      <c r="I997" s="46" t="s">
        <v>464</v>
      </c>
      <c r="J997" s="47" t="s">
        <v>30</v>
      </c>
      <c r="K997" s="48">
        <v>0.15</v>
      </c>
      <c r="L997" s="49">
        <f>VLOOKUP(H997,[4]Sheet2!K:P,6,0)</f>
        <v>1.8299999999999998E-3</v>
      </c>
      <c r="M997" s="50">
        <f>VLOOKUP(H997,[4]Sheet2!K:Q,7,0)</f>
        <v>17435.95</v>
      </c>
      <c r="N997" s="51"/>
      <c r="O997" s="51"/>
      <c r="P997" s="51"/>
      <c r="Q997" s="51"/>
      <c r="R997" s="51"/>
      <c r="S997" s="51"/>
      <c r="T997" s="51"/>
      <c r="U997" s="51"/>
      <c r="V997" s="52">
        <f>VLOOKUP(H997,[4]Sheet2!K:N,4,0)</f>
        <v>17435.95</v>
      </c>
      <c r="W997" s="52">
        <f t="shared" si="903"/>
        <v>0</v>
      </c>
      <c r="X997" s="52">
        <f>VLOOKUP(H997,[4]Sheet2!K:N,4,0)</f>
        <v>17435.95</v>
      </c>
      <c r="Y997" s="53">
        <f t="shared" si="904"/>
        <v>1</v>
      </c>
      <c r="Z997" s="53">
        <f t="shared" si="905"/>
        <v>0</v>
      </c>
      <c r="AA997" s="53">
        <f t="shared" si="906"/>
        <v>1</v>
      </c>
    </row>
    <row r="998" spans="1:27" ht="18.75" customHeight="1" outlineLevel="6" x14ac:dyDescent="0.3">
      <c r="B998" s="44"/>
      <c r="C998" s="18"/>
      <c r="D998" s="24"/>
      <c r="E998" s="29"/>
      <c r="F998" s="34"/>
      <c r="G998" s="39"/>
      <c r="H998" s="46" t="s">
        <v>986</v>
      </c>
      <c r="I998" s="46" t="s">
        <v>466</v>
      </c>
      <c r="J998" s="47" t="s">
        <v>30</v>
      </c>
      <c r="K998" s="48">
        <v>0.05</v>
      </c>
      <c r="L998" s="49">
        <f>VLOOKUP(H998,[4]Sheet2!K:P,6,0)</f>
        <v>6.0999999999999997E-4</v>
      </c>
      <c r="M998" s="50">
        <f>VLOOKUP(H998,[4]Sheet2!K:Q,7,0)</f>
        <v>17435.95</v>
      </c>
      <c r="N998" s="51"/>
      <c r="O998" s="51"/>
      <c r="P998" s="51"/>
      <c r="Q998" s="51"/>
      <c r="R998" s="51"/>
      <c r="S998" s="51"/>
      <c r="T998" s="51"/>
      <c r="U998" s="51"/>
      <c r="V998" s="52">
        <f>VLOOKUP(H998,[4]Sheet2!K:N,4,0)</f>
        <v>17435.95</v>
      </c>
      <c r="W998" s="52">
        <f t="shared" si="903"/>
        <v>0</v>
      </c>
      <c r="X998" s="52">
        <f>VLOOKUP(H998,[4]Sheet2!K:N,4,0)</f>
        <v>17435.95</v>
      </c>
      <c r="Y998" s="53">
        <f t="shared" si="904"/>
        <v>1</v>
      </c>
      <c r="Z998" s="53">
        <f t="shared" si="905"/>
        <v>0</v>
      </c>
      <c r="AA998" s="53">
        <f t="shared" si="906"/>
        <v>1</v>
      </c>
    </row>
    <row r="999" spans="1:27" ht="18.75" customHeight="1" outlineLevel="6" x14ac:dyDescent="0.3">
      <c r="B999" s="44"/>
      <c r="C999" s="18"/>
      <c r="D999" s="24"/>
      <c r="E999" s="29"/>
      <c r="F999" s="34"/>
      <c r="G999" s="39"/>
      <c r="H999" s="46" t="s">
        <v>987</v>
      </c>
      <c r="I999" s="46" t="s">
        <v>56</v>
      </c>
      <c r="J999" s="47" t="s">
        <v>30</v>
      </c>
      <c r="K999" s="48">
        <v>0.05</v>
      </c>
      <c r="L999" s="49">
        <f>VLOOKUP(H999,[4]Sheet2!K:P,6,0)</f>
        <v>6.0999999999999997E-4</v>
      </c>
      <c r="M999" s="50">
        <f>VLOOKUP(H999,[4]Sheet2!K:Q,7,0)</f>
        <v>17435.95</v>
      </c>
      <c r="N999" s="51"/>
      <c r="O999" s="51"/>
      <c r="P999" s="51"/>
      <c r="Q999" s="51"/>
      <c r="R999" s="51"/>
      <c r="S999" s="51"/>
      <c r="T999" s="51"/>
      <c r="U999" s="51"/>
      <c r="V999" s="52">
        <f>VLOOKUP(H999,[4]Sheet2!K:N,4,0)</f>
        <v>17435.95</v>
      </c>
      <c r="W999" s="52">
        <f t="shared" si="903"/>
        <v>0</v>
      </c>
      <c r="X999" s="52">
        <f>VLOOKUP(H999,[4]Sheet2!K:N,4,0)</f>
        <v>17435.95</v>
      </c>
      <c r="Y999" s="53">
        <f t="shared" si="904"/>
        <v>1</v>
      </c>
      <c r="Z999" s="53">
        <f t="shared" si="905"/>
        <v>0</v>
      </c>
      <c r="AA999" s="53">
        <f t="shared" si="906"/>
        <v>1</v>
      </c>
    </row>
    <row r="1000" spans="1:27" ht="18.75" customHeight="1" outlineLevel="5" x14ac:dyDescent="0.3">
      <c r="B1000" s="12"/>
      <c r="C1000" s="18"/>
      <c r="D1000" s="24"/>
      <c r="E1000" s="29"/>
      <c r="F1000" s="34"/>
      <c r="G1000" s="39" t="s">
        <v>503</v>
      </c>
      <c r="H1000" s="58"/>
      <c r="I1000" s="58"/>
      <c r="J1000" s="58"/>
      <c r="K1000" s="58"/>
      <c r="L1000" s="41">
        <f>SUM(L1001:L1006)</f>
        <v>8.0000000000000002E-3</v>
      </c>
      <c r="M1000" s="42">
        <f>M1001</f>
        <v>11450</v>
      </c>
      <c r="N1000" s="40"/>
      <c r="O1000" s="40"/>
      <c r="P1000" s="40"/>
      <c r="Q1000" s="40"/>
      <c r="R1000" s="40"/>
      <c r="S1000" s="40"/>
      <c r="T1000" s="40"/>
      <c r="U1000" s="40"/>
      <c r="V1000" s="62">
        <f t="shared" ref="V1000:X1000" si="907">V1001</f>
        <v>11450</v>
      </c>
      <c r="W1000" s="62">
        <f t="shared" si="907"/>
        <v>0</v>
      </c>
      <c r="X1000" s="62">
        <f t="shared" si="907"/>
        <v>11450</v>
      </c>
      <c r="Y1000" s="43">
        <f>SUMPRODUCT(Y1001:Y1006,$K1001:$K1006)</f>
        <v>0.60065502183406116</v>
      </c>
      <c r="Z1000" s="43">
        <f t="shared" ref="Z1000" si="908">Z1001</f>
        <v>0</v>
      </c>
      <c r="AA1000" s="43">
        <f>SUMPRODUCT(AA1001:AA1006,$K1001:$K1006)</f>
        <v>0.60065502183406116</v>
      </c>
    </row>
    <row r="1001" spans="1:27" ht="18.75" customHeight="1" outlineLevel="6" x14ac:dyDescent="0.3">
      <c r="B1001" s="44"/>
      <c r="C1001" s="18"/>
      <c r="D1001" s="24"/>
      <c r="E1001" s="29"/>
      <c r="F1001" s="34"/>
      <c r="G1001" s="39"/>
      <c r="H1001" s="46" t="s">
        <v>988</v>
      </c>
      <c r="I1001" s="46" t="s">
        <v>45</v>
      </c>
      <c r="J1001" s="47" t="s">
        <v>30</v>
      </c>
      <c r="K1001" s="48">
        <v>0.1</v>
      </c>
      <c r="L1001" s="49">
        <f>VLOOKUP(H1001,[4]Sheet2!K:P,6,0)</f>
        <v>8.0000000000000004E-4</v>
      </c>
      <c r="M1001" s="50">
        <f>VLOOKUP(H1001,[4]Sheet2!K:Q,7,0)</f>
        <v>11450</v>
      </c>
      <c r="N1001" s="51"/>
      <c r="O1001" s="51"/>
      <c r="P1001" s="51"/>
      <c r="Q1001" s="51"/>
      <c r="R1001" s="51"/>
      <c r="S1001" s="51"/>
      <c r="T1001" s="51"/>
      <c r="U1001" s="51"/>
      <c r="V1001" s="52">
        <f>VLOOKUP(H1001,[4]Sheet2!K:N,4,0)</f>
        <v>11450</v>
      </c>
      <c r="W1001" s="52">
        <f t="shared" ref="W1001:W1006" si="909">X1001-V1001</f>
        <v>0</v>
      </c>
      <c r="X1001" s="52">
        <f>VLOOKUP(H1001,[4]Sheet2!K:N,4,0)</f>
        <v>11450</v>
      </c>
      <c r="Y1001" s="53">
        <f t="shared" ref="Y1001:Y1006" si="910">IFERROR(V1001/M1001,1)</f>
        <v>1</v>
      </c>
      <c r="Z1001" s="53">
        <f t="shared" ref="Z1001:Z1006" si="911">IFERROR(W1001/M1001,1)</f>
        <v>0</v>
      </c>
      <c r="AA1001" s="53">
        <f t="shared" ref="AA1001:AA1006" si="912">IFERROR(X1001/M1001,1)</f>
        <v>1</v>
      </c>
    </row>
    <row r="1002" spans="1:27" ht="18.75" customHeight="1" outlineLevel="6" x14ac:dyDescent="0.3">
      <c r="B1002" s="44"/>
      <c r="C1002" s="18"/>
      <c r="D1002" s="24"/>
      <c r="E1002" s="29"/>
      <c r="F1002" s="34"/>
      <c r="G1002" s="39"/>
      <c r="H1002" s="46" t="s">
        <v>989</v>
      </c>
      <c r="I1002" s="46" t="s">
        <v>460</v>
      </c>
      <c r="J1002" s="47" t="s">
        <v>30</v>
      </c>
      <c r="K1002" s="48">
        <v>0.05</v>
      </c>
      <c r="L1002" s="49">
        <f>VLOOKUP(H1002,[4]Sheet2!K:P,6,0)</f>
        <v>4.0000000000000002E-4</v>
      </c>
      <c r="M1002" s="50">
        <f>VLOOKUP(H1002,[4]Sheet2!K:Q,7,0)</f>
        <v>11450</v>
      </c>
      <c r="N1002" s="51"/>
      <c r="O1002" s="51"/>
      <c r="P1002" s="51"/>
      <c r="Q1002" s="51"/>
      <c r="R1002" s="51"/>
      <c r="S1002" s="51"/>
      <c r="T1002" s="51"/>
      <c r="U1002" s="51"/>
      <c r="V1002" s="52">
        <f>VLOOKUP(H1002,[4]Sheet2!K:N,4,0)</f>
        <v>11450</v>
      </c>
      <c r="W1002" s="52">
        <f t="shared" si="909"/>
        <v>0</v>
      </c>
      <c r="X1002" s="52">
        <f>VLOOKUP(H1002,[4]Sheet2!K:N,4,0)</f>
        <v>11450</v>
      </c>
      <c r="Y1002" s="53">
        <f t="shared" si="910"/>
        <v>1</v>
      </c>
      <c r="Z1002" s="53">
        <f t="shared" si="911"/>
        <v>0</v>
      </c>
      <c r="AA1002" s="53">
        <f t="shared" si="912"/>
        <v>1</v>
      </c>
    </row>
    <row r="1003" spans="1:27" ht="18.75" customHeight="1" outlineLevel="6" x14ac:dyDescent="0.3">
      <c r="A1003" s="1" t="s">
        <v>953</v>
      </c>
      <c r="B1003" s="44"/>
      <c r="C1003" s="18"/>
      <c r="D1003" s="24"/>
      <c r="E1003" s="29"/>
      <c r="F1003" s="34"/>
      <c r="G1003" s="39"/>
      <c r="H1003" s="46" t="s">
        <v>990</v>
      </c>
      <c r="I1003" s="46" t="s">
        <v>48</v>
      </c>
      <c r="J1003" s="47" t="s">
        <v>30</v>
      </c>
      <c r="K1003" s="48">
        <v>0.6</v>
      </c>
      <c r="L1003" s="49">
        <f>VLOOKUP(H1003,[4]Sheet2!K:P,6,0)</f>
        <v>4.8000000000000004E-3</v>
      </c>
      <c r="M1003" s="50">
        <f>VLOOKUP(H1003,[4]Sheet2!K:Q,7,0)</f>
        <v>11450</v>
      </c>
      <c r="N1003" s="51"/>
      <c r="O1003" s="51"/>
      <c r="P1003" s="51"/>
      <c r="Q1003" s="51"/>
      <c r="R1003" s="51"/>
      <c r="S1003" s="51"/>
      <c r="T1003" s="51"/>
      <c r="U1003" s="51"/>
      <c r="V1003" s="52">
        <f>VLOOKUP(H1003,[4]Sheet2!K:N,4,0)</f>
        <v>8600</v>
      </c>
      <c r="W1003" s="52">
        <f t="shared" si="909"/>
        <v>0</v>
      </c>
      <c r="X1003" s="52">
        <f>VLOOKUP(H1003,[4]Sheet2!K:N,4,0)</f>
        <v>8600</v>
      </c>
      <c r="Y1003" s="53">
        <f t="shared" si="910"/>
        <v>0.75109170305676853</v>
      </c>
      <c r="Z1003" s="53">
        <f t="shared" si="911"/>
        <v>0</v>
      </c>
      <c r="AA1003" s="53">
        <f t="shared" si="912"/>
        <v>0.75109170305676853</v>
      </c>
    </row>
    <row r="1004" spans="1:27" ht="18.75" customHeight="1" outlineLevel="6" x14ac:dyDescent="0.3">
      <c r="B1004" s="44"/>
      <c r="C1004" s="18"/>
      <c r="D1004" s="24"/>
      <c r="E1004" s="29"/>
      <c r="F1004" s="34"/>
      <c r="G1004" s="39"/>
      <c r="H1004" s="46" t="s">
        <v>991</v>
      </c>
      <c r="I1004" s="46" t="s">
        <v>464</v>
      </c>
      <c r="J1004" s="47" t="s">
        <v>30</v>
      </c>
      <c r="K1004" s="48">
        <v>0.15</v>
      </c>
      <c r="L1004" s="49">
        <f>VLOOKUP(H1004,[4]Sheet2!K:P,6,0)</f>
        <v>1.2000000000000001E-3</v>
      </c>
      <c r="M1004" s="50">
        <f>VLOOKUP(H1004,[4]Sheet2!K:Q,7,0)</f>
        <v>11450</v>
      </c>
      <c r="N1004" s="51"/>
      <c r="O1004" s="51"/>
      <c r="P1004" s="51"/>
      <c r="Q1004" s="51"/>
      <c r="R1004" s="51"/>
      <c r="S1004" s="51"/>
      <c r="T1004" s="51"/>
      <c r="U1004" s="51"/>
      <c r="V1004" s="52">
        <f>VLOOKUP(H1004,[4]Sheet2!K:N,4,0)</f>
        <v>0</v>
      </c>
      <c r="W1004" s="52">
        <f t="shared" si="909"/>
        <v>0</v>
      </c>
      <c r="X1004" s="52">
        <f>VLOOKUP(H1004,[4]Sheet2!K:N,4,0)</f>
        <v>0</v>
      </c>
      <c r="Y1004" s="53">
        <f t="shared" si="910"/>
        <v>0</v>
      </c>
      <c r="Z1004" s="53">
        <f t="shared" si="911"/>
        <v>0</v>
      </c>
      <c r="AA1004" s="53">
        <f t="shared" si="912"/>
        <v>0</v>
      </c>
    </row>
    <row r="1005" spans="1:27" ht="18.75" customHeight="1" outlineLevel="6" x14ac:dyDescent="0.3">
      <c r="B1005" s="44"/>
      <c r="C1005" s="18"/>
      <c r="D1005" s="24"/>
      <c r="E1005" s="29"/>
      <c r="F1005" s="34"/>
      <c r="G1005" s="39"/>
      <c r="H1005" s="46" t="s">
        <v>992</v>
      </c>
      <c r="I1005" s="46" t="s">
        <v>466</v>
      </c>
      <c r="J1005" s="47" t="s">
        <v>30</v>
      </c>
      <c r="K1005" s="48">
        <v>0.05</v>
      </c>
      <c r="L1005" s="49">
        <f>VLOOKUP(H1005,[4]Sheet2!K:P,6,0)</f>
        <v>4.0000000000000002E-4</v>
      </c>
      <c r="M1005" s="50">
        <f>VLOOKUP(H1005,[4]Sheet2!K:Q,7,0)</f>
        <v>11450</v>
      </c>
      <c r="N1005" s="51"/>
      <c r="O1005" s="51"/>
      <c r="P1005" s="51"/>
      <c r="Q1005" s="51"/>
      <c r="R1005" s="51"/>
      <c r="S1005" s="51"/>
      <c r="T1005" s="51"/>
      <c r="U1005" s="51"/>
      <c r="V1005" s="52">
        <f>VLOOKUP(H1005,[4]Sheet2!K:N,4,0)</f>
        <v>0</v>
      </c>
      <c r="W1005" s="52">
        <f t="shared" si="909"/>
        <v>0</v>
      </c>
      <c r="X1005" s="52">
        <f>VLOOKUP(H1005,[4]Sheet2!K:N,4,0)</f>
        <v>0</v>
      </c>
      <c r="Y1005" s="53">
        <f t="shared" si="910"/>
        <v>0</v>
      </c>
      <c r="Z1005" s="53">
        <f t="shared" si="911"/>
        <v>0</v>
      </c>
      <c r="AA1005" s="53">
        <f t="shared" si="912"/>
        <v>0</v>
      </c>
    </row>
    <row r="1006" spans="1:27" ht="18.75" customHeight="1" outlineLevel="6" x14ac:dyDescent="0.3">
      <c r="B1006" s="44"/>
      <c r="C1006" s="18"/>
      <c r="D1006" s="24"/>
      <c r="E1006" s="29"/>
      <c r="F1006" s="34"/>
      <c r="G1006" s="39"/>
      <c r="H1006" s="46" t="s">
        <v>993</v>
      </c>
      <c r="I1006" s="46" t="s">
        <v>56</v>
      </c>
      <c r="J1006" s="47" t="s">
        <v>30</v>
      </c>
      <c r="K1006" s="48">
        <v>0.05</v>
      </c>
      <c r="L1006" s="49">
        <f>VLOOKUP(H1006,[4]Sheet2!K:P,6,0)</f>
        <v>4.0000000000000002E-4</v>
      </c>
      <c r="M1006" s="50">
        <f>VLOOKUP(H1006,[4]Sheet2!K:Q,7,0)</f>
        <v>11450</v>
      </c>
      <c r="N1006" s="51"/>
      <c r="O1006" s="51"/>
      <c r="P1006" s="51"/>
      <c r="Q1006" s="51"/>
      <c r="R1006" s="51"/>
      <c r="S1006" s="51"/>
      <c r="T1006" s="51"/>
      <c r="U1006" s="51"/>
      <c r="V1006" s="52">
        <f>VLOOKUP(H1006,[4]Sheet2!K:N,4,0)</f>
        <v>0</v>
      </c>
      <c r="W1006" s="52">
        <f t="shared" si="909"/>
        <v>0</v>
      </c>
      <c r="X1006" s="52">
        <f>VLOOKUP(H1006,[4]Sheet2!K:N,4,0)</f>
        <v>0</v>
      </c>
      <c r="Y1006" s="53">
        <f t="shared" si="910"/>
        <v>0</v>
      </c>
      <c r="Z1006" s="53">
        <f t="shared" si="911"/>
        <v>0</v>
      </c>
      <c r="AA1006" s="53">
        <f t="shared" si="912"/>
        <v>0</v>
      </c>
    </row>
    <row r="1007" spans="1:27" ht="18.75" customHeight="1" outlineLevel="5" x14ac:dyDescent="0.3">
      <c r="B1007" s="12"/>
      <c r="C1007" s="18"/>
      <c r="D1007" s="24"/>
      <c r="E1007" s="29"/>
      <c r="F1007" s="34"/>
      <c r="G1007" s="39" t="s">
        <v>510</v>
      </c>
      <c r="H1007" s="58"/>
      <c r="I1007" s="58"/>
      <c r="J1007" s="58"/>
      <c r="K1007" s="58"/>
      <c r="L1007" s="41">
        <f>SUM(L1008:L1013)</f>
        <v>1.5000000000000001E-2</v>
      </c>
      <c r="M1007" s="42">
        <f>M1008</f>
        <v>26899.33</v>
      </c>
      <c r="N1007" s="40"/>
      <c r="O1007" s="40"/>
      <c r="P1007" s="40"/>
      <c r="Q1007" s="40"/>
      <c r="R1007" s="40"/>
      <c r="S1007" s="40"/>
      <c r="T1007" s="40"/>
      <c r="U1007" s="40"/>
      <c r="V1007" s="62">
        <f t="shared" ref="V1007:X1007" si="913">V1008</f>
        <v>26899.33</v>
      </c>
      <c r="W1007" s="62">
        <f t="shared" si="913"/>
        <v>0</v>
      </c>
      <c r="X1007" s="62">
        <f t="shared" si="913"/>
        <v>26899.33</v>
      </c>
      <c r="Y1007" s="43">
        <f>SUMPRODUCT(Y1008:Y1013,$K1008:$K1013)</f>
        <v>1</v>
      </c>
      <c r="Z1007" s="43">
        <f t="shared" ref="Z1007" si="914">Z1008</f>
        <v>0</v>
      </c>
      <c r="AA1007" s="43">
        <f>SUMPRODUCT(AA1008:AA1013,$K1008:$K1013)</f>
        <v>1</v>
      </c>
    </row>
    <row r="1008" spans="1:27" ht="18.75" customHeight="1" outlineLevel="6" x14ac:dyDescent="0.3">
      <c r="B1008" s="44"/>
      <c r="C1008" s="18"/>
      <c r="D1008" s="24"/>
      <c r="E1008" s="29"/>
      <c r="F1008" s="34"/>
      <c r="G1008" s="39"/>
      <c r="H1008" s="46" t="s">
        <v>994</v>
      </c>
      <c r="I1008" s="46" t="s">
        <v>45</v>
      </c>
      <c r="J1008" s="47" t="s">
        <v>30</v>
      </c>
      <c r="K1008" s="48">
        <v>0.1</v>
      </c>
      <c r="L1008" s="49">
        <f>VLOOKUP(H1008,[4]Sheet2!K:P,6,0)</f>
        <v>1.5E-3</v>
      </c>
      <c r="M1008" s="50">
        <f>VLOOKUP(H1008,[4]Sheet2!K:Q,7,0)</f>
        <v>26899.33</v>
      </c>
      <c r="N1008" s="51"/>
      <c r="O1008" s="51"/>
      <c r="P1008" s="51"/>
      <c r="Q1008" s="51"/>
      <c r="R1008" s="51"/>
      <c r="S1008" s="51"/>
      <c r="T1008" s="51"/>
      <c r="U1008" s="51"/>
      <c r="V1008" s="52">
        <f>VLOOKUP(H1008,[4]Sheet2!K:N,4,0)</f>
        <v>26899.33</v>
      </c>
      <c r="W1008" s="52">
        <f t="shared" ref="W1008:W1013" si="915">X1008-V1008</f>
        <v>0</v>
      </c>
      <c r="X1008" s="52">
        <f>VLOOKUP(H1008,[4]Sheet2!K:N,4,0)</f>
        <v>26899.33</v>
      </c>
      <c r="Y1008" s="53">
        <f t="shared" ref="Y1008:Y1013" si="916">IFERROR(V1008/M1008,1)</f>
        <v>1</v>
      </c>
      <c r="Z1008" s="53">
        <f t="shared" ref="Z1008:Z1013" si="917">IFERROR(W1008/M1008,1)</f>
        <v>0</v>
      </c>
      <c r="AA1008" s="53">
        <f t="shared" ref="AA1008:AA1013" si="918">IFERROR(X1008/M1008,1)</f>
        <v>1</v>
      </c>
    </row>
    <row r="1009" spans="1:27" ht="18.75" customHeight="1" outlineLevel="6" x14ac:dyDescent="0.3">
      <c r="B1009" s="44"/>
      <c r="C1009" s="18"/>
      <c r="D1009" s="24"/>
      <c r="E1009" s="29"/>
      <c r="F1009" s="34"/>
      <c r="G1009" s="39"/>
      <c r="H1009" s="46" t="s">
        <v>995</v>
      </c>
      <c r="I1009" s="46" t="s">
        <v>460</v>
      </c>
      <c r="J1009" s="47" t="s">
        <v>30</v>
      </c>
      <c r="K1009" s="48">
        <v>0.05</v>
      </c>
      <c r="L1009" s="49">
        <f>VLOOKUP(H1009,[4]Sheet2!K:P,6,0)</f>
        <v>7.5000000000000002E-4</v>
      </c>
      <c r="M1009" s="50">
        <f>VLOOKUP(H1009,[4]Sheet2!K:Q,7,0)</f>
        <v>26899.33</v>
      </c>
      <c r="N1009" s="51"/>
      <c r="O1009" s="51"/>
      <c r="P1009" s="51"/>
      <c r="Q1009" s="51"/>
      <c r="R1009" s="51"/>
      <c r="S1009" s="51"/>
      <c r="T1009" s="51"/>
      <c r="U1009" s="51"/>
      <c r="V1009" s="52">
        <f>VLOOKUP(H1009,[4]Sheet2!K:N,4,0)</f>
        <v>26899.33</v>
      </c>
      <c r="W1009" s="52">
        <f t="shared" si="915"/>
        <v>0</v>
      </c>
      <c r="X1009" s="52">
        <f>VLOOKUP(H1009,[4]Sheet2!K:N,4,0)</f>
        <v>26899.33</v>
      </c>
      <c r="Y1009" s="53">
        <f t="shared" si="916"/>
        <v>1</v>
      </c>
      <c r="Z1009" s="53">
        <f t="shared" si="917"/>
        <v>0</v>
      </c>
      <c r="AA1009" s="53">
        <f t="shared" si="918"/>
        <v>1</v>
      </c>
    </row>
    <row r="1010" spans="1:27" ht="18.75" customHeight="1" outlineLevel="6" x14ac:dyDescent="0.3">
      <c r="A1010" s="1" t="s">
        <v>953</v>
      </c>
      <c r="B1010" s="44"/>
      <c r="C1010" s="18"/>
      <c r="D1010" s="24"/>
      <c r="E1010" s="29"/>
      <c r="F1010" s="34"/>
      <c r="G1010" s="39"/>
      <c r="H1010" s="46" t="s">
        <v>996</v>
      </c>
      <c r="I1010" s="46" t="s">
        <v>48</v>
      </c>
      <c r="J1010" s="47" t="s">
        <v>30</v>
      </c>
      <c r="K1010" s="48">
        <v>0.6</v>
      </c>
      <c r="L1010" s="49">
        <f>VLOOKUP(H1010,[4]Sheet2!K:P,6,0)</f>
        <v>8.9999999999999993E-3</v>
      </c>
      <c r="M1010" s="50">
        <f>VLOOKUP(H1010,[4]Sheet2!K:Q,7,0)</f>
        <v>26899.33</v>
      </c>
      <c r="N1010" s="51"/>
      <c r="O1010" s="51"/>
      <c r="P1010" s="51"/>
      <c r="Q1010" s="51"/>
      <c r="R1010" s="51"/>
      <c r="S1010" s="51"/>
      <c r="T1010" s="51"/>
      <c r="U1010" s="51"/>
      <c r="V1010" s="52">
        <f>VLOOKUP(H1010,[4]Sheet2!K:N,4,0)</f>
        <v>26899.33</v>
      </c>
      <c r="W1010" s="52">
        <f t="shared" si="915"/>
        <v>0</v>
      </c>
      <c r="X1010" s="52">
        <f>VLOOKUP(H1010,[4]Sheet2!K:N,4,0)</f>
        <v>26899.33</v>
      </c>
      <c r="Y1010" s="53">
        <f t="shared" si="916"/>
        <v>1</v>
      </c>
      <c r="Z1010" s="53">
        <f t="shared" si="917"/>
        <v>0</v>
      </c>
      <c r="AA1010" s="53">
        <f t="shared" si="918"/>
        <v>1</v>
      </c>
    </row>
    <row r="1011" spans="1:27" ht="18.75" customHeight="1" outlineLevel="6" x14ac:dyDescent="0.3">
      <c r="B1011" s="44"/>
      <c r="C1011" s="18"/>
      <c r="D1011" s="24"/>
      <c r="E1011" s="29"/>
      <c r="F1011" s="34"/>
      <c r="G1011" s="39"/>
      <c r="H1011" s="46" t="s">
        <v>997</v>
      </c>
      <c r="I1011" s="46" t="s">
        <v>464</v>
      </c>
      <c r="J1011" s="47" t="s">
        <v>30</v>
      </c>
      <c r="K1011" s="48">
        <v>0.15</v>
      </c>
      <c r="L1011" s="49">
        <f>VLOOKUP(H1011,[4]Sheet2!K:P,6,0)</f>
        <v>2.2499999999999998E-3</v>
      </c>
      <c r="M1011" s="50">
        <f>VLOOKUP(H1011,[4]Sheet2!K:Q,7,0)</f>
        <v>26899.33</v>
      </c>
      <c r="N1011" s="51"/>
      <c r="O1011" s="51"/>
      <c r="P1011" s="51"/>
      <c r="Q1011" s="51"/>
      <c r="R1011" s="51"/>
      <c r="S1011" s="51"/>
      <c r="T1011" s="51"/>
      <c r="U1011" s="51"/>
      <c r="V1011" s="52">
        <f>VLOOKUP(H1011,[4]Sheet2!K:N,4,0)</f>
        <v>26899.33</v>
      </c>
      <c r="W1011" s="52">
        <f t="shared" si="915"/>
        <v>0</v>
      </c>
      <c r="X1011" s="52">
        <f>VLOOKUP(H1011,[4]Sheet2!K:N,4,0)</f>
        <v>26899.33</v>
      </c>
      <c r="Y1011" s="53">
        <f t="shared" si="916"/>
        <v>1</v>
      </c>
      <c r="Z1011" s="53">
        <f t="shared" si="917"/>
        <v>0</v>
      </c>
      <c r="AA1011" s="53">
        <f t="shared" si="918"/>
        <v>1</v>
      </c>
    </row>
    <row r="1012" spans="1:27" ht="18.75" customHeight="1" outlineLevel="6" x14ac:dyDescent="0.3">
      <c r="B1012" s="44"/>
      <c r="C1012" s="18"/>
      <c r="D1012" s="24"/>
      <c r="E1012" s="29"/>
      <c r="F1012" s="34"/>
      <c r="G1012" s="39"/>
      <c r="H1012" s="46" t="s">
        <v>998</v>
      </c>
      <c r="I1012" s="46" t="s">
        <v>466</v>
      </c>
      <c r="J1012" s="47" t="s">
        <v>30</v>
      </c>
      <c r="K1012" s="48">
        <v>0.05</v>
      </c>
      <c r="L1012" s="49">
        <f>VLOOKUP(H1012,[4]Sheet2!K:P,6,0)</f>
        <v>7.5000000000000002E-4</v>
      </c>
      <c r="M1012" s="50">
        <f>VLOOKUP(H1012,[4]Sheet2!K:Q,7,0)</f>
        <v>26899.33</v>
      </c>
      <c r="N1012" s="51"/>
      <c r="O1012" s="51"/>
      <c r="P1012" s="51"/>
      <c r="Q1012" s="51"/>
      <c r="R1012" s="51"/>
      <c r="S1012" s="51"/>
      <c r="T1012" s="51"/>
      <c r="U1012" s="51"/>
      <c r="V1012" s="52">
        <f>VLOOKUP(H1012,[4]Sheet2!K:N,4,0)</f>
        <v>26899.33</v>
      </c>
      <c r="W1012" s="52">
        <f t="shared" si="915"/>
        <v>0</v>
      </c>
      <c r="X1012" s="52">
        <f>VLOOKUP(H1012,[4]Sheet2!K:N,4,0)</f>
        <v>26899.33</v>
      </c>
      <c r="Y1012" s="53">
        <f t="shared" si="916"/>
        <v>1</v>
      </c>
      <c r="Z1012" s="53">
        <f t="shared" si="917"/>
        <v>0</v>
      </c>
      <c r="AA1012" s="53">
        <f t="shared" si="918"/>
        <v>1</v>
      </c>
    </row>
    <row r="1013" spans="1:27" ht="18.75" customHeight="1" outlineLevel="6" x14ac:dyDescent="0.3">
      <c r="B1013" s="44"/>
      <c r="C1013" s="18"/>
      <c r="D1013" s="24"/>
      <c r="E1013" s="29"/>
      <c r="F1013" s="34"/>
      <c r="G1013" s="39"/>
      <c r="H1013" s="46" t="s">
        <v>999</v>
      </c>
      <c r="I1013" s="46" t="s">
        <v>56</v>
      </c>
      <c r="J1013" s="47" t="s">
        <v>30</v>
      </c>
      <c r="K1013" s="48">
        <v>0.05</v>
      </c>
      <c r="L1013" s="49">
        <f>VLOOKUP(H1013,[4]Sheet2!K:P,6,0)</f>
        <v>7.5000000000000002E-4</v>
      </c>
      <c r="M1013" s="50">
        <f>VLOOKUP(H1013,[4]Sheet2!K:Q,7,0)</f>
        <v>26899.33</v>
      </c>
      <c r="N1013" s="51"/>
      <c r="O1013" s="51"/>
      <c r="P1013" s="51"/>
      <c r="Q1013" s="51"/>
      <c r="R1013" s="51"/>
      <c r="S1013" s="51"/>
      <c r="T1013" s="51"/>
      <c r="U1013" s="51"/>
      <c r="V1013" s="52">
        <f>VLOOKUP(H1013,[4]Sheet2!K:N,4,0)</f>
        <v>26899.33</v>
      </c>
      <c r="W1013" s="52">
        <f t="shared" si="915"/>
        <v>0</v>
      </c>
      <c r="X1013" s="52">
        <f>VLOOKUP(H1013,[4]Sheet2!K:N,4,0)</f>
        <v>26899.33</v>
      </c>
      <c r="Y1013" s="53">
        <f t="shared" si="916"/>
        <v>1</v>
      </c>
      <c r="Z1013" s="53">
        <f t="shared" si="917"/>
        <v>0</v>
      </c>
      <c r="AA1013" s="53">
        <f t="shared" si="918"/>
        <v>1</v>
      </c>
    </row>
    <row r="1014" spans="1:27" ht="18.75" customHeight="1" outlineLevel="5" x14ac:dyDescent="0.3">
      <c r="B1014" s="12"/>
      <c r="C1014" s="18"/>
      <c r="D1014" s="24"/>
      <c r="E1014" s="29"/>
      <c r="F1014" s="34"/>
      <c r="G1014" s="39" t="s">
        <v>517</v>
      </c>
      <c r="H1014" s="58"/>
      <c r="I1014" s="58"/>
      <c r="J1014" s="58"/>
      <c r="K1014" s="58"/>
      <c r="L1014" s="41">
        <f>SUM(L1015:L1020)</f>
        <v>0.01</v>
      </c>
      <c r="M1014" s="42">
        <f>M1015</f>
        <v>1220.1400000000001</v>
      </c>
      <c r="N1014" s="40"/>
      <c r="O1014" s="40"/>
      <c r="P1014" s="40"/>
      <c r="Q1014" s="40"/>
      <c r="R1014" s="40"/>
      <c r="S1014" s="40"/>
      <c r="T1014" s="40"/>
      <c r="U1014" s="40"/>
      <c r="V1014" s="62">
        <f t="shared" ref="V1014:X1014" si="919">V1015</f>
        <v>0</v>
      </c>
      <c r="W1014" s="62">
        <f t="shared" si="919"/>
        <v>0</v>
      </c>
      <c r="X1014" s="62">
        <f t="shared" si="919"/>
        <v>0</v>
      </c>
      <c r="Y1014" s="43">
        <f>SUMPRODUCT(Y1015:Y1020,$K1015:$K1020)</f>
        <v>0</v>
      </c>
      <c r="Z1014" s="43">
        <f t="shared" ref="Z1014" si="920">Z1015</f>
        <v>0</v>
      </c>
      <c r="AA1014" s="43">
        <f>SUMPRODUCT(AA1015:AA1020,$K1015:$K1020)</f>
        <v>0</v>
      </c>
    </row>
    <row r="1015" spans="1:27" ht="18.75" customHeight="1" outlineLevel="6" x14ac:dyDescent="0.3">
      <c r="B1015" s="44"/>
      <c r="C1015" s="18"/>
      <c r="D1015" s="24"/>
      <c r="E1015" s="29"/>
      <c r="F1015" s="34"/>
      <c r="G1015" s="39"/>
      <c r="H1015" s="46" t="s">
        <v>1000</v>
      </c>
      <c r="I1015" s="46" t="s">
        <v>45</v>
      </c>
      <c r="J1015" s="47" t="s">
        <v>30</v>
      </c>
      <c r="K1015" s="48">
        <v>0.1</v>
      </c>
      <c r="L1015" s="49">
        <f>VLOOKUP(H1015,[4]Sheet2!K:P,6,0)</f>
        <v>1E-3</v>
      </c>
      <c r="M1015" s="50">
        <f>VLOOKUP(H1015,[4]Sheet2!K:Q,7,0)</f>
        <v>1220.1400000000001</v>
      </c>
      <c r="N1015" s="51"/>
      <c r="O1015" s="51"/>
      <c r="P1015" s="51"/>
      <c r="Q1015" s="51"/>
      <c r="R1015" s="51"/>
      <c r="S1015" s="51"/>
      <c r="T1015" s="51"/>
      <c r="U1015" s="51"/>
      <c r="V1015" s="52">
        <f>VLOOKUP(H1015,[4]Sheet2!K:N,4,0)</f>
        <v>0</v>
      </c>
      <c r="W1015" s="52">
        <f t="shared" ref="W1015:W1020" si="921">X1015-V1015</f>
        <v>0</v>
      </c>
      <c r="X1015" s="52">
        <f>VLOOKUP(H1015,[4]Sheet2!K:N,4,0)</f>
        <v>0</v>
      </c>
      <c r="Y1015" s="53">
        <f t="shared" ref="Y1015:Y1020" si="922">IFERROR(V1015/M1015,1)</f>
        <v>0</v>
      </c>
      <c r="Z1015" s="53">
        <f t="shared" ref="Z1015:Z1020" si="923">IFERROR(W1015/M1015,1)</f>
        <v>0</v>
      </c>
      <c r="AA1015" s="53">
        <f t="shared" ref="AA1015:AA1020" si="924">IFERROR(X1015/M1015,1)</f>
        <v>0</v>
      </c>
    </row>
    <row r="1016" spans="1:27" ht="18.75" customHeight="1" outlineLevel="6" x14ac:dyDescent="0.3">
      <c r="B1016" s="44"/>
      <c r="C1016" s="18"/>
      <c r="D1016" s="24"/>
      <c r="E1016" s="29"/>
      <c r="F1016" s="34"/>
      <c r="G1016" s="39"/>
      <c r="H1016" s="46" t="s">
        <v>1001</v>
      </c>
      <c r="I1016" s="46" t="s">
        <v>460</v>
      </c>
      <c r="J1016" s="47" t="s">
        <v>30</v>
      </c>
      <c r="K1016" s="48">
        <v>0.05</v>
      </c>
      <c r="L1016" s="49">
        <f>VLOOKUP(H1016,[4]Sheet2!K:P,6,0)</f>
        <v>5.0000000000000001E-4</v>
      </c>
      <c r="M1016" s="50">
        <f>VLOOKUP(H1016,[4]Sheet2!K:Q,7,0)</f>
        <v>1220.1400000000001</v>
      </c>
      <c r="N1016" s="51"/>
      <c r="O1016" s="51"/>
      <c r="P1016" s="51"/>
      <c r="Q1016" s="51"/>
      <c r="R1016" s="51"/>
      <c r="S1016" s="51"/>
      <c r="T1016" s="51"/>
      <c r="U1016" s="51"/>
      <c r="V1016" s="52">
        <f>VLOOKUP(H1016,[4]Sheet2!K:N,4,0)</f>
        <v>0</v>
      </c>
      <c r="W1016" s="52">
        <f t="shared" si="921"/>
        <v>0</v>
      </c>
      <c r="X1016" s="52">
        <f>VLOOKUP(H1016,[4]Sheet2!K:N,4,0)</f>
        <v>0</v>
      </c>
      <c r="Y1016" s="53">
        <f t="shared" si="922"/>
        <v>0</v>
      </c>
      <c r="Z1016" s="53">
        <f t="shared" si="923"/>
        <v>0</v>
      </c>
      <c r="AA1016" s="53">
        <f t="shared" si="924"/>
        <v>0</v>
      </c>
    </row>
    <row r="1017" spans="1:27" ht="18.75" customHeight="1" outlineLevel="6" x14ac:dyDescent="0.3">
      <c r="A1017" s="1" t="s">
        <v>953</v>
      </c>
      <c r="B1017" s="44"/>
      <c r="C1017" s="18"/>
      <c r="D1017" s="24"/>
      <c r="E1017" s="29"/>
      <c r="F1017" s="34"/>
      <c r="G1017" s="39"/>
      <c r="H1017" s="46" t="s">
        <v>1002</v>
      </c>
      <c r="I1017" s="46" t="s">
        <v>48</v>
      </c>
      <c r="J1017" s="47" t="s">
        <v>30</v>
      </c>
      <c r="K1017" s="48">
        <v>0.6</v>
      </c>
      <c r="L1017" s="49">
        <f>VLOOKUP(H1017,[4]Sheet2!K:P,6,0)</f>
        <v>6.0000000000000001E-3</v>
      </c>
      <c r="M1017" s="50">
        <f>VLOOKUP(H1017,[4]Sheet2!K:Q,7,0)</f>
        <v>1220.1400000000001</v>
      </c>
      <c r="N1017" s="51"/>
      <c r="O1017" s="51"/>
      <c r="P1017" s="51"/>
      <c r="Q1017" s="51"/>
      <c r="R1017" s="51"/>
      <c r="S1017" s="51"/>
      <c r="T1017" s="51"/>
      <c r="U1017" s="51"/>
      <c r="V1017" s="52">
        <f>VLOOKUP(H1017,[4]Sheet2!K:N,4,0)</f>
        <v>0</v>
      </c>
      <c r="W1017" s="52">
        <f t="shared" si="921"/>
        <v>0</v>
      </c>
      <c r="X1017" s="52">
        <f>VLOOKUP(H1017,[4]Sheet2!K:N,4,0)</f>
        <v>0</v>
      </c>
      <c r="Y1017" s="53">
        <f t="shared" si="922"/>
        <v>0</v>
      </c>
      <c r="Z1017" s="53">
        <f t="shared" si="923"/>
        <v>0</v>
      </c>
      <c r="AA1017" s="53">
        <f t="shared" si="924"/>
        <v>0</v>
      </c>
    </row>
    <row r="1018" spans="1:27" ht="18.75" customHeight="1" outlineLevel="6" x14ac:dyDescent="0.3">
      <c r="B1018" s="44"/>
      <c r="C1018" s="18"/>
      <c r="D1018" s="24"/>
      <c r="E1018" s="29"/>
      <c r="F1018" s="34"/>
      <c r="G1018" s="39"/>
      <c r="H1018" s="46" t="s">
        <v>1003</v>
      </c>
      <c r="I1018" s="46" t="s">
        <v>464</v>
      </c>
      <c r="J1018" s="47" t="s">
        <v>30</v>
      </c>
      <c r="K1018" s="48">
        <v>0.15</v>
      </c>
      <c r="L1018" s="49">
        <f>VLOOKUP(H1018,[4]Sheet2!K:P,6,0)</f>
        <v>1.5E-3</v>
      </c>
      <c r="M1018" s="50">
        <f>VLOOKUP(H1018,[4]Sheet2!K:Q,7,0)</f>
        <v>1220.1400000000001</v>
      </c>
      <c r="N1018" s="51"/>
      <c r="O1018" s="51"/>
      <c r="P1018" s="51"/>
      <c r="Q1018" s="51"/>
      <c r="R1018" s="51"/>
      <c r="S1018" s="51"/>
      <c r="T1018" s="51"/>
      <c r="U1018" s="51"/>
      <c r="V1018" s="52">
        <f>VLOOKUP(H1018,[4]Sheet2!K:N,4,0)</f>
        <v>0</v>
      </c>
      <c r="W1018" s="52">
        <f t="shared" si="921"/>
        <v>0</v>
      </c>
      <c r="X1018" s="52">
        <f>VLOOKUP(H1018,[4]Sheet2!K:N,4,0)</f>
        <v>0</v>
      </c>
      <c r="Y1018" s="53">
        <f t="shared" si="922"/>
        <v>0</v>
      </c>
      <c r="Z1018" s="53">
        <f t="shared" si="923"/>
        <v>0</v>
      </c>
      <c r="AA1018" s="53">
        <f t="shared" si="924"/>
        <v>0</v>
      </c>
    </row>
    <row r="1019" spans="1:27" ht="18.75" customHeight="1" outlineLevel="6" x14ac:dyDescent="0.3">
      <c r="B1019" s="44"/>
      <c r="C1019" s="18"/>
      <c r="D1019" s="24"/>
      <c r="E1019" s="29"/>
      <c r="F1019" s="34"/>
      <c r="G1019" s="39"/>
      <c r="H1019" s="46" t="s">
        <v>1004</v>
      </c>
      <c r="I1019" s="46" t="s">
        <v>466</v>
      </c>
      <c r="J1019" s="47" t="s">
        <v>30</v>
      </c>
      <c r="K1019" s="48">
        <v>0.05</v>
      </c>
      <c r="L1019" s="49">
        <f>VLOOKUP(H1019,[4]Sheet2!K:P,6,0)</f>
        <v>5.0000000000000001E-4</v>
      </c>
      <c r="M1019" s="50">
        <f>VLOOKUP(H1019,[4]Sheet2!K:Q,7,0)</f>
        <v>1220.1400000000001</v>
      </c>
      <c r="N1019" s="51"/>
      <c r="O1019" s="51"/>
      <c r="P1019" s="51"/>
      <c r="Q1019" s="51"/>
      <c r="R1019" s="51"/>
      <c r="S1019" s="51"/>
      <c r="T1019" s="51"/>
      <c r="U1019" s="51"/>
      <c r="V1019" s="52">
        <f>VLOOKUP(H1019,[4]Sheet2!K:N,4,0)</f>
        <v>0</v>
      </c>
      <c r="W1019" s="52">
        <f t="shared" si="921"/>
        <v>0</v>
      </c>
      <c r="X1019" s="52">
        <f>VLOOKUP(H1019,[4]Sheet2!K:N,4,0)</f>
        <v>0</v>
      </c>
      <c r="Y1019" s="53">
        <f t="shared" si="922"/>
        <v>0</v>
      </c>
      <c r="Z1019" s="53">
        <f t="shared" si="923"/>
        <v>0</v>
      </c>
      <c r="AA1019" s="53">
        <f t="shared" si="924"/>
        <v>0</v>
      </c>
    </row>
    <row r="1020" spans="1:27" ht="18.75" customHeight="1" outlineLevel="6" x14ac:dyDescent="0.3">
      <c r="B1020" s="44"/>
      <c r="C1020" s="18"/>
      <c r="D1020" s="24"/>
      <c r="E1020" s="29"/>
      <c r="F1020" s="34"/>
      <c r="G1020" s="39"/>
      <c r="H1020" s="46" t="s">
        <v>1005</v>
      </c>
      <c r="I1020" s="46" t="s">
        <v>56</v>
      </c>
      <c r="J1020" s="47" t="s">
        <v>30</v>
      </c>
      <c r="K1020" s="48">
        <v>0.05</v>
      </c>
      <c r="L1020" s="49">
        <f>VLOOKUP(H1020,[4]Sheet2!K:P,6,0)</f>
        <v>5.0000000000000001E-4</v>
      </c>
      <c r="M1020" s="50">
        <f>VLOOKUP(H1020,[4]Sheet2!K:Q,7,0)</f>
        <v>1220.1400000000001</v>
      </c>
      <c r="N1020" s="51"/>
      <c r="O1020" s="51"/>
      <c r="P1020" s="51"/>
      <c r="Q1020" s="51"/>
      <c r="R1020" s="51"/>
      <c r="S1020" s="51"/>
      <c r="T1020" s="51"/>
      <c r="U1020" s="51"/>
      <c r="V1020" s="52">
        <f>VLOOKUP(H1020,[4]Sheet2!K:N,4,0)</f>
        <v>0</v>
      </c>
      <c r="W1020" s="52">
        <f t="shared" si="921"/>
        <v>0</v>
      </c>
      <c r="X1020" s="52">
        <f>VLOOKUP(H1020,[4]Sheet2!K:N,4,0)</f>
        <v>0</v>
      </c>
      <c r="Y1020" s="53">
        <f t="shared" si="922"/>
        <v>0</v>
      </c>
      <c r="Z1020" s="53">
        <f t="shared" si="923"/>
        <v>0</v>
      </c>
      <c r="AA1020" s="53">
        <f t="shared" si="924"/>
        <v>0</v>
      </c>
    </row>
    <row r="1021" spans="1:27" ht="18.75" customHeight="1" outlineLevel="5" x14ac:dyDescent="0.3">
      <c r="B1021" s="12"/>
      <c r="C1021" s="18"/>
      <c r="D1021" s="24"/>
      <c r="E1021" s="29"/>
      <c r="F1021" s="34"/>
      <c r="G1021" s="39" t="s">
        <v>524</v>
      </c>
      <c r="H1021" s="58"/>
      <c r="I1021" s="58"/>
      <c r="J1021" s="58"/>
      <c r="K1021" s="58"/>
      <c r="L1021" s="41">
        <f>SUM(L1022:L1027)</f>
        <v>8.3000000000000001E-3</v>
      </c>
      <c r="M1021" s="42">
        <f>M1022</f>
        <v>4374</v>
      </c>
      <c r="N1021" s="40"/>
      <c r="O1021" s="40"/>
      <c r="P1021" s="40"/>
      <c r="Q1021" s="40"/>
      <c r="R1021" s="40"/>
      <c r="S1021" s="40"/>
      <c r="T1021" s="40"/>
      <c r="U1021" s="40"/>
      <c r="V1021" s="62">
        <f t="shared" ref="V1021:X1021" si="925">V1022</f>
        <v>4374</v>
      </c>
      <c r="W1021" s="62">
        <f t="shared" si="925"/>
        <v>0</v>
      </c>
      <c r="X1021" s="62">
        <f t="shared" si="925"/>
        <v>4374</v>
      </c>
      <c r="Y1021" s="43">
        <f>SUMPRODUCT(Y1022:Y1027,$K1022:$K1027)</f>
        <v>1</v>
      </c>
      <c r="Z1021" s="43">
        <f t="shared" ref="Z1021" si="926">Z1022</f>
        <v>0</v>
      </c>
      <c r="AA1021" s="43">
        <f>SUMPRODUCT(AA1022:AA1027,$K1022:$K1027)</f>
        <v>1</v>
      </c>
    </row>
    <row r="1022" spans="1:27" ht="18.75" customHeight="1" outlineLevel="6" x14ac:dyDescent="0.3">
      <c r="B1022" s="44"/>
      <c r="C1022" s="18"/>
      <c r="D1022" s="24"/>
      <c r="E1022" s="29"/>
      <c r="F1022" s="34"/>
      <c r="G1022" s="39"/>
      <c r="H1022" s="46" t="s">
        <v>1006</v>
      </c>
      <c r="I1022" s="46" t="s">
        <v>45</v>
      </c>
      <c r="J1022" s="47" t="s">
        <v>30</v>
      </c>
      <c r="K1022" s="48">
        <v>0.1</v>
      </c>
      <c r="L1022" s="49">
        <f>VLOOKUP(H1022,[4]Sheet2!K:P,6,0)</f>
        <v>8.3000000000000001E-4</v>
      </c>
      <c r="M1022" s="50">
        <f>VLOOKUP(H1022,[4]Sheet2!K:Q,7,0)</f>
        <v>4374</v>
      </c>
      <c r="N1022" s="51"/>
      <c r="O1022" s="51"/>
      <c r="P1022" s="51"/>
      <c r="Q1022" s="51"/>
      <c r="R1022" s="51"/>
      <c r="S1022" s="51"/>
      <c r="T1022" s="51"/>
      <c r="U1022" s="51"/>
      <c r="V1022" s="52">
        <f>VLOOKUP(H1022,[4]Sheet2!K:N,4,0)</f>
        <v>4374</v>
      </c>
      <c r="W1022" s="52">
        <f t="shared" ref="W1022:W1027" si="927">X1022-V1022</f>
        <v>0</v>
      </c>
      <c r="X1022" s="52">
        <f>VLOOKUP(H1022,[4]Sheet2!K:N,4,0)</f>
        <v>4374</v>
      </c>
      <c r="Y1022" s="53">
        <f t="shared" ref="Y1022:Y1027" si="928">IFERROR(V1022/M1022,1)</f>
        <v>1</v>
      </c>
      <c r="Z1022" s="53">
        <f t="shared" ref="Z1022:Z1027" si="929">IFERROR(W1022/M1022,1)</f>
        <v>0</v>
      </c>
      <c r="AA1022" s="53">
        <f t="shared" ref="AA1022:AA1027" si="930">IFERROR(X1022/M1022,1)</f>
        <v>1</v>
      </c>
    </row>
    <row r="1023" spans="1:27" ht="18.75" customHeight="1" outlineLevel="6" x14ac:dyDescent="0.3">
      <c r="B1023" s="44"/>
      <c r="C1023" s="18"/>
      <c r="D1023" s="24"/>
      <c r="E1023" s="29"/>
      <c r="F1023" s="34"/>
      <c r="G1023" s="39"/>
      <c r="H1023" s="46" t="s">
        <v>1007</v>
      </c>
      <c r="I1023" s="46" t="s">
        <v>460</v>
      </c>
      <c r="J1023" s="47" t="s">
        <v>30</v>
      </c>
      <c r="K1023" s="48">
        <v>0.05</v>
      </c>
      <c r="L1023" s="49">
        <f>VLOOKUP(H1023,[4]Sheet2!K:P,6,0)</f>
        <v>4.15E-4</v>
      </c>
      <c r="M1023" s="50">
        <f>VLOOKUP(H1023,[4]Sheet2!K:Q,7,0)</f>
        <v>4374</v>
      </c>
      <c r="N1023" s="51"/>
      <c r="O1023" s="51"/>
      <c r="P1023" s="51"/>
      <c r="Q1023" s="51"/>
      <c r="R1023" s="51"/>
      <c r="S1023" s="51"/>
      <c r="T1023" s="51"/>
      <c r="U1023" s="51"/>
      <c r="V1023" s="52">
        <f>VLOOKUP(H1023,[4]Sheet2!K:N,4,0)</f>
        <v>4374</v>
      </c>
      <c r="W1023" s="52">
        <f t="shared" si="927"/>
        <v>0</v>
      </c>
      <c r="X1023" s="52">
        <f>VLOOKUP(H1023,[4]Sheet2!K:N,4,0)</f>
        <v>4374</v>
      </c>
      <c r="Y1023" s="53">
        <f t="shared" si="928"/>
        <v>1</v>
      </c>
      <c r="Z1023" s="53">
        <f t="shared" si="929"/>
        <v>0</v>
      </c>
      <c r="AA1023" s="53">
        <f t="shared" si="930"/>
        <v>1</v>
      </c>
    </row>
    <row r="1024" spans="1:27" ht="18.75" customHeight="1" outlineLevel="6" x14ac:dyDescent="0.3">
      <c r="A1024" s="1" t="s">
        <v>953</v>
      </c>
      <c r="B1024" s="44"/>
      <c r="C1024" s="18"/>
      <c r="D1024" s="24"/>
      <c r="E1024" s="29"/>
      <c r="F1024" s="34"/>
      <c r="G1024" s="39"/>
      <c r="H1024" s="46" t="s">
        <v>1008</v>
      </c>
      <c r="I1024" s="46" t="s">
        <v>48</v>
      </c>
      <c r="J1024" s="47" t="s">
        <v>30</v>
      </c>
      <c r="K1024" s="48">
        <v>0.6</v>
      </c>
      <c r="L1024" s="49">
        <f>VLOOKUP(H1024,[4]Sheet2!K:P,6,0)</f>
        <v>4.9800000000000001E-3</v>
      </c>
      <c r="M1024" s="50">
        <f>VLOOKUP(H1024,[4]Sheet2!K:Q,7,0)</f>
        <v>4374</v>
      </c>
      <c r="N1024" s="51"/>
      <c r="O1024" s="51"/>
      <c r="P1024" s="51"/>
      <c r="Q1024" s="51"/>
      <c r="R1024" s="51"/>
      <c r="S1024" s="51"/>
      <c r="T1024" s="51"/>
      <c r="U1024" s="51"/>
      <c r="V1024" s="52">
        <f>VLOOKUP(H1024,[4]Sheet2!K:N,4,0)</f>
        <v>4374</v>
      </c>
      <c r="W1024" s="52">
        <f t="shared" si="927"/>
        <v>0</v>
      </c>
      <c r="X1024" s="52">
        <f>VLOOKUP(H1024,[4]Sheet2!K:N,4,0)</f>
        <v>4374</v>
      </c>
      <c r="Y1024" s="53">
        <f t="shared" si="928"/>
        <v>1</v>
      </c>
      <c r="Z1024" s="53">
        <f t="shared" si="929"/>
        <v>0</v>
      </c>
      <c r="AA1024" s="53">
        <f t="shared" si="930"/>
        <v>1</v>
      </c>
    </row>
    <row r="1025" spans="1:27" ht="18.75" customHeight="1" outlineLevel="6" x14ac:dyDescent="0.3">
      <c r="B1025" s="44"/>
      <c r="C1025" s="18"/>
      <c r="D1025" s="24"/>
      <c r="E1025" s="29"/>
      <c r="F1025" s="34"/>
      <c r="G1025" s="39"/>
      <c r="H1025" s="46" t="s">
        <v>1009</v>
      </c>
      <c r="I1025" s="46" t="s">
        <v>464</v>
      </c>
      <c r="J1025" s="47" t="s">
        <v>30</v>
      </c>
      <c r="K1025" s="48">
        <v>0.15</v>
      </c>
      <c r="L1025" s="49">
        <f>VLOOKUP(H1025,[4]Sheet2!K:P,6,0)</f>
        <v>1.245E-3</v>
      </c>
      <c r="M1025" s="50">
        <f>VLOOKUP(H1025,[4]Sheet2!K:Q,7,0)</f>
        <v>4374</v>
      </c>
      <c r="N1025" s="51"/>
      <c r="O1025" s="51"/>
      <c r="P1025" s="51"/>
      <c r="Q1025" s="51"/>
      <c r="R1025" s="51"/>
      <c r="S1025" s="51"/>
      <c r="T1025" s="51"/>
      <c r="U1025" s="51"/>
      <c r="V1025" s="52">
        <f>VLOOKUP(H1025,[4]Sheet2!K:N,4,0)</f>
        <v>4374</v>
      </c>
      <c r="W1025" s="52">
        <f t="shared" si="927"/>
        <v>0</v>
      </c>
      <c r="X1025" s="52">
        <f>VLOOKUP(H1025,[4]Sheet2!K:N,4,0)</f>
        <v>4374</v>
      </c>
      <c r="Y1025" s="53">
        <f t="shared" si="928"/>
        <v>1</v>
      </c>
      <c r="Z1025" s="53">
        <f t="shared" si="929"/>
        <v>0</v>
      </c>
      <c r="AA1025" s="53">
        <f t="shared" si="930"/>
        <v>1</v>
      </c>
    </row>
    <row r="1026" spans="1:27" ht="18.75" customHeight="1" outlineLevel="6" x14ac:dyDescent="0.3">
      <c r="B1026" s="44"/>
      <c r="C1026" s="18"/>
      <c r="D1026" s="24"/>
      <c r="E1026" s="29"/>
      <c r="F1026" s="34"/>
      <c r="G1026" s="39"/>
      <c r="H1026" s="46" t="s">
        <v>1010</v>
      </c>
      <c r="I1026" s="46" t="s">
        <v>466</v>
      </c>
      <c r="J1026" s="47" t="s">
        <v>30</v>
      </c>
      <c r="K1026" s="48">
        <v>0.05</v>
      </c>
      <c r="L1026" s="49">
        <f>VLOOKUP(H1026,[4]Sheet2!K:P,6,0)</f>
        <v>4.15E-4</v>
      </c>
      <c r="M1026" s="50">
        <f>VLOOKUP(H1026,[4]Sheet2!K:Q,7,0)</f>
        <v>4374</v>
      </c>
      <c r="N1026" s="51"/>
      <c r="O1026" s="51"/>
      <c r="P1026" s="51"/>
      <c r="Q1026" s="51"/>
      <c r="R1026" s="51"/>
      <c r="S1026" s="51"/>
      <c r="T1026" s="51"/>
      <c r="U1026" s="51"/>
      <c r="V1026" s="52">
        <f>VLOOKUP(H1026,[4]Sheet2!K:N,4,0)</f>
        <v>4374</v>
      </c>
      <c r="W1026" s="52">
        <f t="shared" si="927"/>
        <v>0</v>
      </c>
      <c r="X1026" s="52">
        <f>VLOOKUP(H1026,[4]Sheet2!K:N,4,0)</f>
        <v>4374</v>
      </c>
      <c r="Y1026" s="53">
        <f t="shared" si="928"/>
        <v>1</v>
      </c>
      <c r="Z1026" s="53">
        <f t="shared" si="929"/>
        <v>0</v>
      </c>
      <c r="AA1026" s="53">
        <f t="shared" si="930"/>
        <v>1</v>
      </c>
    </row>
    <row r="1027" spans="1:27" ht="18.75" customHeight="1" outlineLevel="6" x14ac:dyDescent="0.3">
      <c r="B1027" s="44"/>
      <c r="C1027" s="18"/>
      <c r="D1027" s="24"/>
      <c r="E1027" s="29"/>
      <c r="F1027" s="34"/>
      <c r="G1027" s="39"/>
      <c r="H1027" s="46" t="s">
        <v>1011</v>
      </c>
      <c r="I1027" s="46" t="s">
        <v>56</v>
      </c>
      <c r="J1027" s="47" t="s">
        <v>30</v>
      </c>
      <c r="K1027" s="48">
        <v>0.05</v>
      </c>
      <c r="L1027" s="49">
        <f>VLOOKUP(H1027,[4]Sheet2!K:P,6,0)</f>
        <v>4.15E-4</v>
      </c>
      <c r="M1027" s="50">
        <f>VLOOKUP(H1027,[4]Sheet2!K:Q,7,0)</f>
        <v>4374</v>
      </c>
      <c r="N1027" s="51"/>
      <c r="O1027" s="51"/>
      <c r="P1027" s="51"/>
      <c r="Q1027" s="51"/>
      <c r="R1027" s="51"/>
      <c r="S1027" s="51"/>
      <c r="T1027" s="51"/>
      <c r="U1027" s="51"/>
      <c r="V1027" s="52">
        <f>VLOOKUP(H1027,[4]Sheet2!K:N,4,0)</f>
        <v>4374</v>
      </c>
      <c r="W1027" s="52">
        <f t="shared" si="927"/>
        <v>0</v>
      </c>
      <c r="X1027" s="52">
        <f>VLOOKUP(H1027,[4]Sheet2!K:N,4,0)</f>
        <v>4374</v>
      </c>
      <c r="Y1027" s="53">
        <f t="shared" si="928"/>
        <v>1</v>
      </c>
      <c r="Z1027" s="53">
        <f t="shared" si="929"/>
        <v>0</v>
      </c>
      <c r="AA1027" s="53">
        <f t="shared" si="930"/>
        <v>1</v>
      </c>
    </row>
    <row r="1028" spans="1:27" ht="18.75" customHeight="1" outlineLevel="5" x14ac:dyDescent="0.3">
      <c r="B1028" s="12"/>
      <c r="C1028" s="18"/>
      <c r="D1028" s="24"/>
      <c r="E1028" s="29"/>
      <c r="F1028" s="34"/>
      <c r="G1028" s="39" t="s">
        <v>531</v>
      </c>
      <c r="H1028" s="58"/>
      <c r="I1028" s="58"/>
      <c r="J1028" s="58"/>
      <c r="K1028" s="58"/>
      <c r="L1028" s="41">
        <f>SUM(L1029:L1034)</f>
        <v>5.0000000000000001E-3</v>
      </c>
      <c r="M1028" s="42">
        <f>M1029</f>
        <v>5043.25</v>
      </c>
      <c r="N1028" s="40"/>
      <c r="O1028" s="40"/>
      <c r="P1028" s="40"/>
      <c r="Q1028" s="40"/>
      <c r="R1028" s="40"/>
      <c r="S1028" s="40"/>
      <c r="T1028" s="40"/>
      <c r="U1028" s="40"/>
      <c r="V1028" s="62">
        <f t="shared" ref="V1028:X1028" si="931">V1029</f>
        <v>0</v>
      </c>
      <c r="W1028" s="62">
        <f t="shared" si="931"/>
        <v>0</v>
      </c>
      <c r="X1028" s="62">
        <f t="shared" si="931"/>
        <v>0</v>
      </c>
      <c r="Y1028" s="43">
        <f>SUMPRODUCT(Y1029:Y1034,$K1029:$K1034)</f>
        <v>0</v>
      </c>
      <c r="Z1028" s="43">
        <f t="shared" ref="Z1028" si="932">Z1029</f>
        <v>0</v>
      </c>
      <c r="AA1028" s="43">
        <f>SUMPRODUCT(AA1029:AA1034,$K1029:$K1034)</f>
        <v>0</v>
      </c>
    </row>
    <row r="1029" spans="1:27" ht="18.75" customHeight="1" outlineLevel="6" x14ac:dyDescent="0.3">
      <c r="B1029" s="44"/>
      <c r="C1029" s="18"/>
      <c r="D1029" s="24"/>
      <c r="E1029" s="29"/>
      <c r="F1029" s="34"/>
      <c r="G1029" s="39"/>
      <c r="H1029" s="46" t="s">
        <v>1012</v>
      </c>
      <c r="I1029" s="46" t="s">
        <v>45</v>
      </c>
      <c r="J1029" s="47" t="s">
        <v>30</v>
      </c>
      <c r="K1029" s="48">
        <v>0.1</v>
      </c>
      <c r="L1029" s="49">
        <f>VLOOKUP(H1029,[4]Sheet2!K:P,6,0)</f>
        <v>5.0000000000000001E-4</v>
      </c>
      <c r="M1029" s="50">
        <f>VLOOKUP(H1029,[4]Sheet2!K:Q,7,0)</f>
        <v>5043.25</v>
      </c>
      <c r="N1029" s="51"/>
      <c r="O1029" s="51"/>
      <c r="P1029" s="51"/>
      <c r="Q1029" s="51"/>
      <c r="R1029" s="51"/>
      <c r="S1029" s="51"/>
      <c r="T1029" s="51"/>
      <c r="U1029" s="51"/>
      <c r="V1029" s="52">
        <f>VLOOKUP(H1029,[4]Sheet2!K:N,4,0)</f>
        <v>0</v>
      </c>
      <c r="W1029" s="52">
        <f t="shared" ref="W1029:W1034" si="933">X1029-V1029</f>
        <v>0</v>
      </c>
      <c r="X1029" s="52">
        <f>VLOOKUP(H1029,[4]Sheet2!K:N,4,0)</f>
        <v>0</v>
      </c>
      <c r="Y1029" s="53">
        <f t="shared" ref="Y1029:Y1034" si="934">IFERROR(V1029/M1029,1)</f>
        <v>0</v>
      </c>
      <c r="Z1029" s="53">
        <f t="shared" ref="Z1029:Z1034" si="935">IFERROR(W1029/M1029,1)</f>
        <v>0</v>
      </c>
      <c r="AA1029" s="53">
        <f t="shared" ref="AA1029:AA1034" si="936">IFERROR(X1029/M1029,1)</f>
        <v>0</v>
      </c>
    </row>
    <row r="1030" spans="1:27" ht="18.75" customHeight="1" outlineLevel="6" x14ac:dyDescent="0.3">
      <c r="B1030" s="44"/>
      <c r="C1030" s="18"/>
      <c r="D1030" s="24"/>
      <c r="E1030" s="29"/>
      <c r="F1030" s="34"/>
      <c r="G1030" s="39"/>
      <c r="H1030" s="46" t="s">
        <v>1013</v>
      </c>
      <c r="I1030" s="46" t="s">
        <v>460</v>
      </c>
      <c r="J1030" s="47" t="s">
        <v>30</v>
      </c>
      <c r="K1030" s="48">
        <v>0.05</v>
      </c>
      <c r="L1030" s="49">
        <f>VLOOKUP(H1030,[4]Sheet2!K:P,6,0)</f>
        <v>2.5000000000000001E-4</v>
      </c>
      <c r="M1030" s="50">
        <f>VLOOKUP(H1030,[4]Sheet2!K:Q,7,0)</f>
        <v>5043.25</v>
      </c>
      <c r="N1030" s="51"/>
      <c r="O1030" s="51"/>
      <c r="P1030" s="51"/>
      <c r="Q1030" s="51"/>
      <c r="R1030" s="51"/>
      <c r="S1030" s="51"/>
      <c r="T1030" s="51"/>
      <c r="U1030" s="51"/>
      <c r="V1030" s="52">
        <f>VLOOKUP(H1030,[4]Sheet2!K:N,4,0)</f>
        <v>0</v>
      </c>
      <c r="W1030" s="52">
        <f t="shared" si="933"/>
        <v>0</v>
      </c>
      <c r="X1030" s="52">
        <f>VLOOKUP(H1030,[4]Sheet2!K:N,4,0)</f>
        <v>0</v>
      </c>
      <c r="Y1030" s="53">
        <f t="shared" si="934"/>
        <v>0</v>
      </c>
      <c r="Z1030" s="53">
        <f t="shared" si="935"/>
        <v>0</v>
      </c>
      <c r="AA1030" s="53">
        <f t="shared" si="936"/>
        <v>0</v>
      </c>
    </row>
    <row r="1031" spans="1:27" ht="18.75" customHeight="1" outlineLevel="6" x14ac:dyDescent="0.3">
      <c r="A1031" s="1" t="s">
        <v>953</v>
      </c>
      <c r="B1031" s="44"/>
      <c r="C1031" s="18"/>
      <c r="D1031" s="24"/>
      <c r="E1031" s="29"/>
      <c r="F1031" s="34"/>
      <c r="G1031" s="39"/>
      <c r="H1031" s="46" t="s">
        <v>1014</v>
      </c>
      <c r="I1031" s="46" t="s">
        <v>48</v>
      </c>
      <c r="J1031" s="47" t="s">
        <v>30</v>
      </c>
      <c r="K1031" s="48">
        <v>0.6</v>
      </c>
      <c r="L1031" s="49">
        <f>VLOOKUP(H1031,[4]Sheet2!K:P,6,0)</f>
        <v>3.0000000000000001E-3</v>
      </c>
      <c r="M1031" s="50">
        <f>VLOOKUP(H1031,[4]Sheet2!K:Q,7,0)</f>
        <v>5043.25</v>
      </c>
      <c r="N1031" s="51"/>
      <c r="O1031" s="51"/>
      <c r="P1031" s="51"/>
      <c r="Q1031" s="51"/>
      <c r="R1031" s="51"/>
      <c r="S1031" s="51"/>
      <c r="T1031" s="51"/>
      <c r="U1031" s="51"/>
      <c r="V1031" s="52">
        <f>VLOOKUP(H1031,[4]Sheet2!K:N,4,0)</f>
        <v>0</v>
      </c>
      <c r="W1031" s="52">
        <f t="shared" si="933"/>
        <v>0</v>
      </c>
      <c r="X1031" s="52">
        <f>VLOOKUP(H1031,[4]Sheet2!K:N,4,0)</f>
        <v>0</v>
      </c>
      <c r="Y1031" s="53">
        <f t="shared" si="934"/>
        <v>0</v>
      </c>
      <c r="Z1031" s="53">
        <f t="shared" si="935"/>
        <v>0</v>
      </c>
      <c r="AA1031" s="53">
        <f t="shared" si="936"/>
        <v>0</v>
      </c>
    </row>
    <row r="1032" spans="1:27" ht="18.75" customHeight="1" outlineLevel="6" x14ac:dyDescent="0.3">
      <c r="B1032" s="44"/>
      <c r="C1032" s="18"/>
      <c r="D1032" s="24"/>
      <c r="E1032" s="29"/>
      <c r="F1032" s="34"/>
      <c r="G1032" s="39"/>
      <c r="H1032" s="46" t="s">
        <v>1015</v>
      </c>
      <c r="I1032" s="46" t="s">
        <v>464</v>
      </c>
      <c r="J1032" s="47" t="s">
        <v>30</v>
      </c>
      <c r="K1032" s="48">
        <v>0.15</v>
      </c>
      <c r="L1032" s="49">
        <f>VLOOKUP(H1032,[4]Sheet2!K:P,6,0)</f>
        <v>7.5000000000000002E-4</v>
      </c>
      <c r="M1032" s="50">
        <f>VLOOKUP(H1032,[4]Sheet2!K:Q,7,0)</f>
        <v>5043.25</v>
      </c>
      <c r="N1032" s="51"/>
      <c r="O1032" s="51"/>
      <c r="P1032" s="51"/>
      <c r="Q1032" s="51"/>
      <c r="R1032" s="51"/>
      <c r="S1032" s="51"/>
      <c r="T1032" s="51"/>
      <c r="U1032" s="51"/>
      <c r="V1032" s="52">
        <f>VLOOKUP(H1032,[4]Sheet2!K:N,4,0)</f>
        <v>0</v>
      </c>
      <c r="W1032" s="52">
        <f t="shared" si="933"/>
        <v>0</v>
      </c>
      <c r="X1032" s="52">
        <f>VLOOKUP(H1032,[4]Sheet2!K:N,4,0)</f>
        <v>0</v>
      </c>
      <c r="Y1032" s="53">
        <f t="shared" si="934"/>
        <v>0</v>
      </c>
      <c r="Z1032" s="53">
        <f t="shared" si="935"/>
        <v>0</v>
      </c>
      <c r="AA1032" s="53">
        <f t="shared" si="936"/>
        <v>0</v>
      </c>
    </row>
    <row r="1033" spans="1:27" ht="18.75" customHeight="1" outlineLevel="6" x14ac:dyDescent="0.3">
      <c r="B1033" s="44"/>
      <c r="C1033" s="18"/>
      <c r="D1033" s="24"/>
      <c r="E1033" s="29"/>
      <c r="F1033" s="34"/>
      <c r="G1033" s="39"/>
      <c r="H1033" s="46" t="s">
        <v>1016</v>
      </c>
      <c r="I1033" s="46" t="s">
        <v>466</v>
      </c>
      <c r="J1033" s="47" t="s">
        <v>30</v>
      </c>
      <c r="K1033" s="48">
        <v>0.05</v>
      </c>
      <c r="L1033" s="49">
        <f>VLOOKUP(H1033,[4]Sheet2!K:P,6,0)</f>
        <v>2.5000000000000001E-4</v>
      </c>
      <c r="M1033" s="50">
        <f>VLOOKUP(H1033,[4]Sheet2!K:Q,7,0)</f>
        <v>5043.25</v>
      </c>
      <c r="N1033" s="51"/>
      <c r="O1033" s="51"/>
      <c r="P1033" s="51"/>
      <c r="Q1033" s="51"/>
      <c r="R1033" s="51"/>
      <c r="S1033" s="51"/>
      <c r="T1033" s="51"/>
      <c r="U1033" s="51"/>
      <c r="V1033" s="52">
        <f>VLOOKUP(H1033,[4]Sheet2!K:N,4,0)</f>
        <v>0</v>
      </c>
      <c r="W1033" s="52">
        <f t="shared" si="933"/>
        <v>0</v>
      </c>
      <c r="X1033" s="52">
        <f>VLOOKUP(H1033,[4]Sheet2!K:N,4,0)</f>
        <v>0</v>
      </c>
      <c r="Y1033" s="53">
        <f t="shared" si="934"/>
        <v>0</v>
      </c>
      <c r="Z1033" s="53">
        <f t="shared" si="935"/>
        <v>0</v>
      </c>
      <c r="AA1033" s="53">
        <f t="shared" si="936"/>
        <v>0</v>
      </c>
    </row>
    <row r="1034" spans="1:27" ht="18.75" customHeight="1" outlineLevel="6" x14ac:dyDescent="0.3">
      <c r="B1034" s="44"/>
      <c r="C1034" s="18"/>
      <c r="D1034" s="24"/>
      <c r="E1034" s="29"/>
      <c r="F1034" s="34"/>
      <c r="G1034" s="39"/>
      <c r="H1034" s="46" t="s">
        <v>1017</v>
      </c>
      <c r="I1034" s="46" t="s">
        <v>56</v>
      </c>
      <c r="J1034" s="47" t="s">
        <v>30</v>
      </c>
      <c r="K1034" s="48">
        <v>0.05</v>
      </c>
      <c r="L1034" s="49">
        <f>VLOOKUP(H1034,[4]Sheet2!K:P,6,0)</f>
        <v>2.5000000000000001E-4</v>
      </c>
      <c r="M1034" s="50">
        <f>VLOOKUP(H1034,[4]Sheet2!K:Q,7,0)</f>
        <v>5043.25</v>
      </c>
      <c r="N1034" s="51"/>
      <c r="O1034" s="51"/>
      <c r="P1034" s="51"/>
      <c r="Q1034" s="51"/>
      <c r="R1034" s="51"/>
      <c r="S1034" s="51"/>
      <c r="T1034" s="51"/>
      <c r="U1034" s="51"/>
      <c r="V1034" s="52">
        <f>VLOOKUP(H1034,[4]Sheet2!K:N,4,0)</f>
        <v>0</v>
      </c>
      <c r="W1034" s="52">
        <f t="shared" si="933"/>
        <v>0</v>
      </c>
      <c r="X1034" s="52">
        <f>VLOOKUP(H1034,[4]Sheet2!K:N,4,0)</f>
        <v>0</v>
      </c>
      <c r="Y1034" s="53">
        <f t="shared" si="934"/>
        <v>0</v>
      </c>
      <c r="Z1034" s="53">
        <f t="shared" si="935"/>
        <v>0</v>
      </c>
      <c r="AA1034" s="53">
        <f t="shared" si="936"/>
        <v>0</v>
      </c>
    </row>
    <row r="1035" spans="1:27" ht="18.75" customHeight="1" outlineLevel="3" x14ac:dyDescent="0.3">
      <c r="B1035" s="12"/>
      <c r="C1035" s="18"/>
      <c r="D1035" s="24"/>
      <c r="E1035" s="29" t="s">
        <v>538</v>
      </c>
      <c r="F1035" s="29"/>
      <c r="G1035" s="29"/>
      <c r="H1035" s="56"/>
      <c r="I1035" s="56"/>
      <c r="J1035" s="56"/>
      <c r="K1035" s="56"/>
      <c r="L1035" s="31">
        <f>L1036</f>
        <v>1.2500000000000001E-2</v>
      </c>
      <c r="M1035" s="32">
        <f>M1036</f>
        <v>134</v>
      </c>
      <c r="N1035" s="30"/>
      <c r="O1035" s="30"/>
      <c r="P1035" s="30"/>
      <c r="Q1035" s="30"/>
      <c r="R1035" s="30"/>
      <c r="S1035" s="30"/>
      <c r="T1035" s="30"/>
      <c r="U1035" s="30"/>
      <c r="V1035" s="63">
        <f t="shared" ref="V1035:AA1035" si="937">V1036</f>
        <v>0</v>
      </c>
      <c r="W1035" s="63">
        <f t="shared" si="937"/>
        <v>0</v>
      </c>
      <c r="X1035" s="63">
        <f t="shared" si="937"/>
        <v>0</v>
      </c>
      <c r="Y1035" s="33">
        <f t="shared" si="937"/>
        <v>0</v>
      </c>
      <c r="Z1035" s="33">
        <f t="shared" si="937"/>
        <v>0</v>
      </c>
      <c r="AA1035" s="33">
        <f t="shared" si="937"/>
        <v>0</v>
      </c>
    </row>
    <row r="1036" spans="1:27" ht="18.75" customHeight="1" outlineLevel="4" x14ac:dyDescent="0.3">
      <c r="B1036" s="12"/>
      <c r="C1036" s="18"/>
      <c r="D1036" s="24"/>
      <c r="E1036" s="29"/>
      <c r="F1036" s="34" t="s">
        <v>539</v>
      </c>
      <c r="G1036" s="34"/>
      <c r="H1036" s="57"/>
      <c r="I1036" s="57"/>
      <c r="J1036" s="57"/>
      <c r="K1036" s="57"/>
      <c r="L1036" s="36">
        <f>L1037+L1039+L1041+L1043+L1045+L1047</f>
        <v>1.2500000000000001E-2</v>
      </c>
      <c r="M1036" s="37">
        <f>M1037+M1039+M1041+M1043+M1045+M1047</f>
        <v>134</v>
      </c>
      <c r="N1036" s="35"/>
      <c r="O1036" s="35"/>
      <c r="P1036" s="35"/>
      <c r="Q1036" s="35"/>
      <c r="R1036" s="35"/>
      <c r="S1036" s="35"/>
      <c r="T1036" s="35"/>
      <c r="U1036" s="35"/>
      <c r="V1036" s="61">
        <f t="shared" ref="V1036:X1036" si="938">(V1037*$L1037+V1039*$L1039+V1041*$L1041+V1043*$L1043+V1045*$L1045+V1047*$L1047)/$L1036</f>
        <v>0</v>
      </c>
      <c r="W1036" s="61">
        <f t="shared" si="938"/>
        <v>0</v>
      </c>
      <c r="X1036" s="61">
        <f t="shared" si="938"/>
        <v>0</v>
      </c>
      <c r="Y1036" s="38">
        <f>(Y1037*$L1037+Y1039*$L1039+Y1041*$L1041+Y1043*$L1043+Y1045*$L1045+Y1047*$L1047)/$L1036</f>
        <v>0</v>
      </c>
      <c r="Z1036" s="38">
        <f t="shared" ref="Z1036:AA1036" si="939">(Z1037*$L1037+Z1039*$L1039+Z1041*$L1041+Z1043*$L1043+Z1045*$L1045+Z1047*$L1047)/$L1036</f>
        <v>0</v>
      </c>
      <c r="AA1036" s="38">
        <f t="shared" si="939"/>
        <v>0</v>
      </c>
    </row>
    <row r="1037" spans="1:27" ht="18.75" customHeight="1" outlineLevel="5" x14ac:dyDescent="0.3">
      <c r="B1037" s="12"/>
      <c r="C1037" s="18"/>
      <c r="D1037" s="24"/>
      <c r="E1037" s="29"/>
      <c r="F1037" s="34"/>
      <c r="G1037" s="39" t="s">
        <v>540</v>
      </c>
      <c r="H1037" s="58"/>
      <c r="I1037" s="58"/>
      <c r="J1037" s="58"/>
      <c r="K1037" s="58"/>
      <c r="L1037" s="41">
        <f>L1038</f>
        <v>2.5000000000000001E-3</v>
      </c>
      <c r="M1037" s="42">
        <f>M1038</f>
        <v>0.5</v>
      </c>
      <c r="N1037" s="40"/>
      <c r="O1037" s="40"/>
      <c r="P1037" s="40"/>
      <c r="Q1037" s="40"/>
      <c r="R1037" s="40"/>
      <c r="S1037" s="40"/>
      <c r="T1037" s="40"/>
      <c r="U1037" s="40"/>
      <c r="V1037" s="62">
        <f t="shared" ref="V1037:AA1037" si="940">V1038</f>
        <v>0</v>
      </c>
      <c r="W1037" s="62">
        <f t="shared" si="940"/>
        <v>0</v>
      </c>
      <c r="X1037" s="62">
        <f t="shared" si="940"/>
        <v>0</v>
      </c>
      <c r="Y1037" s="43">
        <f t="shared" si="940"/>
        <v>0</v>
      </c>
      <c r="Z1037" s="43">
        <f t="shared" si="940"/>
        <v>0</v>
      </c>
      <c r="AA1037" s="43">
        <f t="shared" si="940"/>
        <v>0</v>
      </c>
    </row>
    <row r="1038" spans="1:27" ht="18.75" customHeight="1" outlineLevel="6" x14ac:dyDescent="0.3">
      <c r="B1038" s="44"/>
      <c r="C1038" s="18"/>
      <c r="D1038" s="24"/>
      <c r="E1038" s="29"/>
      <c r="F1038" s="34"/>
      <c r="G1038" s="39"/>
      <c r="H1038" s="46" t="s">
        <v>1018</v>
      </c>
      <c r="I1038" s="46" t="s">
        <v>464</v>
      </c>
      <c r="J1038" s="47" t="s">
        <v>542</v>
      </c>
      <c r="K1038" s="48">
        <v>1</v>
      </c>
      <c r="L1038" s="49">
        <f>VLOOKUP(H1038,[4]Sheet2!K:P,6,0)</f>
        <v>2.5000000000000001E-3</v>
      </c>
      <c r="M1038" s="50">
        <f>VLOOKUP(H1038,[4]Sheet2!K:Q,7,0)</f>
        <v>0.5</v>
      </c>
      <c r="N1038" s="51"/>
      <c r="O1038" s="51"/>
      <c r="P1038" s="51"/>
      <c r="Q1038" s="51"/>
      <c r="R1038" s="51"/>
      <c r="S1038" s="51"/>
      <c r="T1038" s="51"/>
      <c r="U1038" s="51"/>
      <c r="V1038" s="52">
        <f>VLOOKUP(H1038,[4]Sheet2!K:N,4,0)</f>
        <v>0</v>
      </c>
      <c r="W1038" s="52">
        <f>X1038-V1038</f>
        <v>0</v>
      </c>
      <c r="X1038" s="52">
        <f>VLOOKUP(H1038,[4]Sheet2!K:N,4,0)</f>
        <v>0</v>
      </c>
      <c r="Y1038" s="53">
        <f>IFERROR(V1038/M1038,1)</f>
        <v>0</v>
      </c>
      <c r="Z1038" s="53">
        <f>IFERROR(W1038/M1038,1)</f>
        <v>0</v>
      </c>
      <c r="AA1038" s="53">
        <f>IFERROR(X1038/M1038,1)</f>
        <v>0</v>
      </c>
    </row>
    <row r="1039" spans="1:27" ht="18.75" customHeight="1" outlineLevel="5" x14ac:dyDescent="0.3">
      <c r="B1039" s="12"/>
      <c r="C1039" s="18"/>
      <c r="D1039" s="24"/>
      <c r="E1039" s="29"/>
      <c r="F1039" s="34"/>
      <c r="G1039" s="39" t="s">
        <v>543</v>
      </c>
      <c r="H1039" s="58"/>
      <c r="I1039" s="58"/>
      <c r="J1039" s="58"/>
      <c r="K1039" s="58"/>
      <c r="L1039" s="41">
        <f>L1040</f>
        <v>2.5000000000000001E-3</v>
      </c>
      <c r="M1039" s="42">
        <f>M1040</f>
        <v>0.5</v>
      </c>
      <c r="N1039" s="40"/>
      <c r="O1039" s="40"/>
      <c r="P1039" s="40"/>
      <c r="Q1039" s="40"/>
      <c r="R1039" s="40"/>
      <c r="S1039" s="40"/>
      <c r="T1039" s="40"/>
      <c r="U1039" s="40"/>
      <c r="V1039" s="62">
        <f t="shared" ref="V1039:AA1039" si="941">V1040</f>
        <v>0</v>
      </c>
      <c r="W1039" s="62">
        <f t="shared" si="941"/>
        <v>0</v>
      </c>
      <c r="X1039" s="62">
        <f t="shared" si="941"/>
        <v>0</v>
      </c>
      <c r="Y1039" s="43">
        <f t="shared" si="941"/>
        <v>0</v>
      </c>
      <c r="Z1039" s="43">
        <f t="shared" si="941"/>
        <v>0</v>
      </c>
      <c r="AA1039" s="43">
        <f t="shared" si="941"/>
        <v>0</v>
      </c>
    </row>
    <row r="1040" spans="1:27" ht="18.75" customHeight="1" outlineLevel="6" x14ac:dyDescent="0.3">
      <c r="B1040" s="44"/>
      <c r="C1040" s="18"/>
      <c r="D1040" s="24"/>
      <c r="E1040" s="29"/>
      <c r="F1040" s="34"/>
      <c r="G1040" s="39"/>
      <c r="H1040" s="46" t="s">
        <v>1019</v>
      </c>
      <c r="I1040" s="46" t="s">
        <v>464</v>
      </c>
      <c r="J1040" s="47" t="s">
        <v>542</v>
      </c>
      <c r="K1040" s="48">
        <v>1</v>
      </c>
      <c r="L1040" s="49">
        <f>VLOOKUP(H1040,[4]Sheet2!K:P,6,0)</f>
        <v>2.5000000000000001E-3</v>
      </c>
      <c r="M1040" s="50">
        <f>VLOOKUP(H1040,[4]Sheet2!K:Q,7,0)</f>
        <v>0.5</v>
      </c>
      <c r="N1040" s="51"/>
      <c r="O1040" s="51"/>
      <c r="P1040" s="51"/>
      <c r="Q1040" s="51"/>
      <c r="R1040" s="51"/>
      <c r="S1040" s="51"/>
      <c r="T1040" s="51"/>
      <c r="U1040" s="51"/>
      <c r="V1040" s="52">
        <f>VLOOKUP(H1040,[4]Sheet2!K:N,4,0)</f>
        <v>0</v>
      </c>
      <c r="W1040" s="52">
        <f>X1040-V1040</f>
        <v>0</v>
      </c>
      <c r="X1040" s="52">
        <f>VLOOKUP(H1040,[4]Sheet2!K:N,4,0)</f>
        <v>0</v>
      </c>
      <c r="Y1040" s="53">
        <f>IFERROR(V1040/M1040,1)</f>
        <v>0</v>
      </c>
      <c r="Z1040" s="53">
        <f>IFERROR(W1040/M1040,1)</f>
        <v>0</v>
      </c>
      <c r="AA1040" s="53">
        <f>IFERROR(X1040/M1040,1)</f>
        <v>0</v>
      </c>
    </row>
    <row r="1041" spans="1:27" ht="18.75" customHeight="1" outlineLevel="5" x14ac:dyDescent="0.3">
      <c r="B1041" s="12"/>
      <c r="C1041" s="18"/>
      <c r="D1041" s="24"/>
      <c r="E1041" s="29"/>
      <c r="F1041" s="34"/>
      <c r="G1041" s="39" t="s">
        <v>545</v>
      </c>
      <c r="H1041" s="58"/>
      <c r="I1041" s="58"/>
      <c r="J1041" s="58"/>
      <c r="K1041" s="58"/>
      <c r="L1041" s="41">
        <f>L1042</f>
        <v>2E-3</v>
      </c>
      <c r="M1041" s="42">
        <f>M1042</f>
        <v>18</v>
      </c>
      <c r="N1041" s="40"/>
      <c r="O1041" s="40"/>
      <c r="P1041" s="40"/>
      <c r="Q1041" s="40"/>
      <c r="R1041" s="40"/>
      <c r="S1041" s="40"/>
      <c r="T1041" s="40"/>
      <c r="U1041" s="40"/>
      <c r="V1041" s="62">
        <f t="shared" ref="V1041:AA1041" si="942">V1042</f>
        <v>0</v>
      </c>
      <c r="W1041" s="62">
        <f t="shared" si="942"/>
        <v>0</v>
      </c>
      <c r="X1041" s="62">
        <f t="shared" si="942"/>
        <v>0</v>
      </c>
      <c r="Y1041" s="43">
        <f t="shared" si="942"/>
        <v>0</v>
      </c>
      <c r="Z1041" s="43">
        <f t="shared" si="942"/>
        <v>0</v>
      </c>
      <c r="AA1041" s="43">
        <f t="shared" si="942"/>
        <v>0</v>
      </c>
    </row>
    <row r="1042" spans="1:27" ht="18.75" customHeight="1" outlineLevel="6" x14ac:dyDescent="0.3">
      <c r="B1042" s="44"/>
      <c r="C1042" s="18"/>
      <c r="D1042" s="24"/>
      <c r="E1042" s="29"/>
      <c r="F1042" s="34"/>
      <c r="G1042" s="39"/>
      <c r="H1042" s="46" t="s">
        <v>1020</v>
      </c>
      <c r="I1042" s="46" t="s">
        <v>464</v>
      </c>
      <c r="J1042" s="47" t="s">
        <v>542</v>
      </c>
      <c r="K1042" s="48">
        <v>1</v>
      </c>
      <c r="L1042" s="49">
        <f>VLOOKUP(H1042,[4]Sheet2!K:P,6,0)</f>
        <v>2E-3</v>
      </c>
      <c r="M1042" s="50">
        <f>VLOOKUP(H1042,[4]Sheet2!K:Q,7,0)</f>
        <v>18</v>
      </c>
      <c r="N1042" s="51"/>
      <c r="O1042" s="51"/>
      <c r="P1042" s="51"/>
      <c r="Q1042" s="51"/>
      <c r="R1042" s="51"/>
      <c r="S1042" s="51"/>
      <c r="T1042" s="51"/>
      <c r="U1042" s="51"/>
      <c r="V1042" s="52">
        <f>VLOOKUP(H1042,[4]Sheet2!K:N,4,0)</f>
        <v>0</v>
      </c>
      <c r="W1042" s="52">
        <f>X1042-V1042</f>
        <v>0</v>
      </c>
      <c r="X1042" s="52">
        <f>VLOOKUP(H1042,[4]Sheet2!K:N,4,0)</f>
        <v>0</v>
      </c>
      <c r="Y1042" s="53">
        <f>IFERROR(V1042/M1042,1)</f>
        <v>0</v>
      </c>
      <c r="Z1042" s="53">
        <f>IFERROR(W1042/M1042,1)</f>
        <v>0</v>
      </c>
      <c r="AA1042" s="53">
        <f>IFERROR(X1042/M1042,1)</f>
        <v>0</v>
      </c>
    </row>
    <row r="1043" spans="1:27" ht="18.75" customHeight="1" outlineLevel="5" x14ac:dyDescent="0.3">
      <c r="B1043" s="12"/>
      <c r="C1043" s="18"/>
      <c r="D1043" s="24"/>
      <c r="E1043" s="29"/>
      <c r="F1043" s="34"/>
      <c r="G1043" s="39" t="s">
        <v>547</v>
      </c>
      <c r="H1043" s="58"/>
      <c r="I1043" s="58"/>
      <c r="J1043" s="58"/>
      <c r="K1043" s="58"/>
      <c r="L1043" s="41">
        <f>L1044</f>
        <v>2E-3</v>
      </c>
      <c r="M1043" s="42">
        <f>M1044</f>
        <v>18</v>
      </c>
      <c r="N1043" s="40"/>
      <c r="O1043" s="40"/>
      <c r="P1043" s="40"/>
      <c r="Q1043" s="40"/>
      <c r="R1043" s="40"/>
      <c r="S1043" s="40"/>
      <c r="T1043" s="40"/>
      <c r="U1043" s="40"/>
      <c r="V1043" s="62">
        <f t="shared" ref="V1043:AA1043" si="943">V1044</f>
        <v>0</v>
      </c>
      <c r="W1043" s="62">
        <f t="shared" si="943"/>
        <v>0</v>
      </c>
      <c r="X1043" s="62">
        <f t="shared" si="943"/>
        <v>0</v>
      </c>
      <c r="Y1043" s="43">
        <f t="shared" si="943"/>
        <v>0</v>
      </c>
      <c r="Z1043" s="43">
        <f t="shared" si="943"/>
        <v>0</v>
      </c>
      <c r="AA1043" s="43">
        <f t="shared" si="943"/>
        <v>0</v>
      </c>
    </row>
    <row r="1044" spans="1:27" ht="18.75" customHeight="1" outlineLevel="6" x14ac:dyDescent="0.3">
      <c r="B1044" s="44"/>
      <c r="C1044" s="18"/>
      <c r="D1044" s="24"/>
      <c r="E1044" s="29"/>
      <c r="F1044" s="34"/>
      <c r="G1044" s="39"/>
      <c r="H1044" s="46" t="s">
        <v>1021</v>
      </c>
      <c r="I1044" s="46" t="s">
        <v>464</v>
      </c>
      <c r="J1044" s="47" t="s">
        <v>542</v>
      </c>
      <c r="K1044" s="48">
        <v>1</v>
      </c>
      <c r="L1044" s="49">
        <f>VLOOKUP(H1044,[4]Sheet2!K:P,6,0)</f>
        <v>2E-3</v>
      </c>
      <c r="M1044" s="50">
        <f>VLOOKUP(H1044,[4]Sheet2!K:Q,7,0)</f>
        <v>18</v>
      </c>
      <c r="N1044" s="51"/>
      <c r="O1044" s="51"/>
      <c r="P1044" s="51"/>
      <c r="Q1044" s="51"/>
      <c r="R1044" s="51"/>
      <c r="S1044" s="51"/>
      <c r="T1044" s="51"/>
      <c r="U1044" s="51"/>
      <c r="V1044" s="52">
        <f>VLOOKUP(H1044,[4]Sheet2!K:N,4,0)</f>
        <v>0</v>
      </c>
      <c r="W1044" s="52">
        <f>X1044-V1044</f>
        <v>0</v>
      </c>
      <c r="X1044" s="52">
        <f>VLOOKUP(H1044,[4]Sheet2!K:N,4,0)</f>
        <v>0</v>
      </c>
      <c r="Y1044" s="53">
        <f>IFERROR(V1044/M1044,1)</f>
        <v>0</v>
      </c>
      <c r="Z1044" s="53">
        <f>IFERROR(W1044/M1044,1)</f>
        <v>0</v>
      </c>
      <c r="AA1044" s="53">
        <f>IFERROR(X1044/M1044,1)</f>
        <v>0</v>
      </c>
    </row>
    <row r="1045" spans="1:27" ht="18.75" customHeight="1" outlineLevel="5" x14ac:dyDescent="0.3">
      <c r="B1045" s="12"/>
      <c r="C1045" s="18"/>
      <c r="D1045" s="24"/>
      <c r="E1045" s="29"/>
      <c r="F1045" s="34"/>
      <c r="G1045" s="39" t="s">
        <v>549</v>
      </c>
      <c r="H1045" s="58"/>
      <c r="I1045" s="58"/>
      <c r="J1045" s="58"/>
      <c r="K1045" s="58"/>
      <c r="L1045" s="41">
        <f>L1046</f>
        <v>2.5000000000000001E-3</v>
      </c>
      <c r="M1045" s="42">
        <f>M1046</f>
        <v>96</v>
      </c>
      <c r="N1045" s="40"/>
      <c r="O1045" s="40"/>
      <c r="P1045" s="40"/>
      <c r="Q1045" s="40"/>
      <c r="R1045" s="40"/>
      <c r="S1045" s="40"/>
      <c r="T1045" s="40"/>
      <c r="U1045" s="40"/>
      <c r="V1045" s="62">
        <f t="shared" ref="V1045:AA1045" si="944">V1046</f>
        <v>0</v>
      </c>
      <c r="W1045" s="62">
        <f t="shared" si="944"/>
        <v>0</v>
      </c>
      <c r="X1045" s="62">
        <f t="shared" si="944"/>
        <v>0</v>
      </c>
      <c r="Y1045" s="43">
        <f t="shared" si="944"/>
        <v>0</v>
      </c>
      <c r="Z1045" s="43">
        <f t="shared" si="944"/>
        <v>0</v>
      </c>
      <c r="AA1045" s="43">
        <f t="shared" si="944"/>
        <v>0</v>
      </c>
    </row>
    <row r="1046" spans="1:27" ht="18.75" customHeight="1" outlineLevel="6" x14ac:dyDescent="0.3">
      <c r="B1046" s="44"/>
      <c r="C1046" s="18"/>
      <c r="D1046" s="24"/>
      <c r="E1046" s="29"/>
      <c r="F1046" s="34"/>
      <c r="G1046" s="39"/>
      <c r="H1046" s="46" t="s">
        <v>1022</v>
      </c>
      <c r="I1046" s="46" t="s">
        <v>464</v>
      </c>
      <c r="J1046" s="47" t="s">
        <v>542</v>
      </c>
      <c r="K1046" s="48">
        <v>1</v>
      </c>
      <c r="L1046" s="49">
        <f>VLOOKUP(H1046,[4]Sheet2!K:P,6,0)</f>
        <v>2.5000000000000001E-3</v>
      </c>
      <c r="M1046" s="50">
        <f>VLOOKUP(H1046,[4]Sheet2!K:Q,7,0)</f>
        <v>96</v>
      </c>
      <c r="N1046" s="51"/>
      <c r="O1046" s="51"/>
      <c r="P1046" s="51"/>
      <c r="Q1046" s="51"/>
      <c r="R1046" s="51"/>
      <c r="S1046" s="51"/>
      <c r="T1046" s="51"/>
      <c r="U1046" s="51"/>
      <c r="V1046" s="52">
        <f>VLOOKUP(H1046,[4]Sheet2!K:N,4,0)</f>
        <v>0</v>
      </c>
      <c r="W1046" s="52">
        <f>X1046-V1046</f>
        <v>0</v>
      </c>
      <c r="X1046" s="52">
        <f>VLOOKUP(H1046,[4]Sheet2!K:N,4,0)</f>
        <v>0</v>
      </c>
      <c r="Y1046" s="53">
        <f>IFERROR(V1046/M1046,1)</f>
        <v>0</v>
      </c>
      <c r="Z1046" s="53">
        <f>IFERROR(W1046/M1046,1)</f>
        <v>0</v>
      </c>
      <c r="AA1046" s="53">
        <f>IFERROR(X1046/M1046,1)</f>
        <v>0</v>
      </c>
    </row>
    <row r="1047" spans="1:27" ht="18.75" customHeight="1" outlineLevel="5" x14ac:dyDescent="0.3">
      <c r="B1047" s="12"/>
      <c r="C1047" s="18"/>
      <c r="D1047" s="24"/>
      <c r="E1047" s="29"/>
      <c r="F1047" s="34"/>
      <c r="G1047" s="39" t="s">
        <v>551</v>
      </c>
      <c r="H1047" s="58"/>
      <c r="I1047" s="58"/>
      <c r="J1047" s="58"/>
      <c r="K1047" s="58"/>
      <c r="L1047" s="41">
        <f>L1048</f>
        <v>1E-3</v>
      </c>
      <c r="M1047" s="42">
        <f>M1048</f>
        <v>1</v>
      </c>
      <c r="N1047" s="40"/>
      <c r="O1047" s="40"/>
      <c r="P1047" s="40"/>
      <c r="Q1047" s="40"/>
      <c r="R1047" s="40"/>
      <c r="S1047" s="40"/>
      <c r="T1047" s="40"/>
      <c r="U1047" s="40"/>
      <c r="V1047" s="62">
        <f t="shared" ref="V1047:AA1047" si="945">V1048</f>
        <v>0</v>
      </c>
      <c r="W1047" s="62">
        <f t="shared" si="945"/>
        <v>0</v>
      </c>
      <c r="X1047" s="62">
        <f t="shared" si="945"/>
        <v>0</v>
      </c>
      <c r="Y1047" s="43">
        <f t="shared" si="945"/>
        <v>0</v>
      </c>
      <c r="Z1047" s="43">
        <f t="shared" si="945"/>
        <v>0</v>
      </c>
      <c r="AA1047" s="43">
        <f t="shared" si="945"/>
        <v>0</v>
      </c>
    </row>
    <row r="1048" spans="1:27" ht="18.75" customHeight="1" outlineLevel="6" x14ac:dyDescent="0.3">
      <c r="B1048" s="44"/>
      <c r="C1048" s="18"/>
      <c r="D1048" s="24"/>
      <c r="E1048" s="29"/>
      <c r="F1048" s="34"/>
      <c r="G1048" s="39"/>
      <c r="H1048" s="46" t="s">
        <v>1023</v>
      </c>
      <c r="I1048" s="46" t="s">
        <v>464</v>
      </c>
      <c r="J1048" s="47" t="s">
        <v>542</v>
      </c>
      <c r="K1048" s="48">
        <v>1</v>
      </c>
      <c r="L1048" s="49">
        <f>VLOOKUP(H1048,[4]Sheet2!K:P,6,0)</f>
        <v>1E-3</v>
      </c>
      <c r="M1048" s="50">
        <f>VLOOKUP(H1048,[4]Sheet2!K:Q,7,0)</f>
        <v>1</v>
      </c>
      <c r="N1048" s="51"/>
      <c r="O1048" s="51"/>
      <c r="P1048" s="51"/>
      <c r="Q1048" s="51"/>
      <c r="R1048" s="51"/>
      <c r="S1048" s="51"/>
      <c r="T1048" s="51"/>
      <c r="U1048" s="51"/>
      <c r="V1048" s="52">
        <f>VLOOKUP(H1048,[4]Sheet2!K:N,4,0)</f>
        <v>0</v>
      </c>
      <c r="W1048" s="52">
        <f>X1048-V1048</f>
        <v>0</v>
      </c>
      <c r="X1048" s="52">
        <f>VLOOKUP(H1048,[4]Sheet2!K:N,4,0)</f>
        <v>0</v>
      </c>
      <c r="Y1048" s="53">
        <f>IFERROR(V1048/M1048,1)</f>
        <v>0</v>
      </c>
      <c r="Z1048" s="53">
        <f>IFERROR(W1048/M1048,1)</f>
        <v>0</v>
      </c>
      <c r="AA1048" s="53">
        <f>IFERROR(X1048/M1048,1)</f>
        <v>0</v>
      </c>
    </row>
    <row r="1049" spans="1:27" ht="18.75" customHeight="1" outlineLevel="2" x14ac:dyDescent="0.3">
      <c r="B1049" s="12"/>
      <c r="C1049" s="18"/>
      <c r="D1049" s="24" t="s">
        <v>1024</v>
      </c>
      <c r="E1049" s="24"/>
      <c r="F1049" s="24"/>
      <c r="G1049" s="24"/>
      <c r="H1049" s="55"/>
      <c r="I1049" s="55"/>
      <c r="J1049" s="55"/>
      <c r="K1049" s="55"/>
      <c r="L1049" s="26">
        <f>L1050</f>
        <v>0.02</v>
      </c>
      <c r="M1049" s="27">
        <f>M1050</f>
        <v>80000</v>
      </c>
      <c r="N1049" s="25"/>
      <c r="O1049" s="25"/>
      <c r="P1049" s="25"/>
      <c r="Q1049" s="25"/>
      <c r="R1049" s="25"/>
      <c r="S1049" s="25"/>
      <c r="T1049" s="25"/>
      <c r="U1049" s="25"/>
      <c r="V1049" s="64">
        <f t="shared" ref="V1049:AA1050" si="946">V1050</f>
        <v>0</v>
      </c>
      <c r="W1049" s="64">
        <f t="shared" si="946"/>
        <v>0</v>
      </c>
      <c r="X1049" s="64">
        <f t="shared" si="946"/>
        <v>0</v>
      </c>
      <c r="Y1049" s="28">
        <f t="shared" si="946"/>
        <v>0</v>
      </c>
      <c r="Z1049" s="28">
        <f t="shared" si="946"/>
        <v>0</v>
      </c>
      <c r="AA1049" s="28">
        <f t="shared" si="946"/>
        <v>4.1250000000000009E-2</v>
      </c>
    </row>
    <row r="1050" spans="1:27" ht="18.75" customHeight="1" outlineLevel="3" x14ac:dyDescent="0.3">
      <c r="B1050" s="12"/>
      <c r="C1050" s="18"/>
      <c r="D1050" s="24"/>
      <c r="E1050" s="29" t="s">
        <v>1025</v>
      </c>
      <c r="F1050" s="29"/>
      <c r="G1050" s="29"/>
      <c r="H1050" s="56"/>
      <c r="I1050" s="56"/>
      <c r="J1050" s="56"/>
      <c r="K1050" s="56"/>
      <c r="L1050" s="31">
        <f>L1051</f>
        <v>0.02</v>
      </c>
      <c r="M1050" s="32">
        <f>M1051</f>
        <v>80000</v>
      </c>
      <c r="N1050" s="30"/>
      <c r="O1050" s="30"/>
      <c r="P1050" s="30"/>
      <c r="Q1050" s="30"/>
      <c r="R1050" s="30"/>
      <c r="S1050" s="30"/>
      <c r="T1050" s="30"/>
      <c r="U1050" s="30"/>
      <c r="V1050" s="63">
        <f t="shared" si="946"/>
        <v>0</v>
      </c>
      <c r="W1050" s="63">
        <f t="shared" si="946"/>
        <v>0</v>
      </c>
      <c r="X1050" s="63">
        <f t="shared" si="946"/>
        <v>0</v>
      </c>
      <c r="Y1050" s="33">
        <f t="shared" si="946"/>
        <v>0</v>
      </c>
      <c r="Z1050" s="33">
        <f t="shared" si="946"/>
        <v>0</v>
      </c>
      <c r="AA1050" s="33">
        <f t="shared" si="946"/>
        <v>4.1250000000000009E-2</v>
      </c>
    </row>
    <row r="1051" spans="1:27" ht="18.75" customHeight="1" outlineLevel="4" x14ac:dyDescent="0.3">
      <c r="B1051" s="12"/>
      <c r="C1051" s="18"/>
      <c r="D1051" s="24"/>
      <c r="E1051" s="29"/>
      <c r="F1051" s="34" t="s">
        <v>1026</v>
      </c>
      <c r="G1051" s="34"/>
      <c r="H1051" s="57"/>
      <c r="I1051" s="57"/>
      <c r="J1051" s="57"/>
      <c r="K1051" s="57"/>
      <c r="L1051" s="36">
        <f>L1052+L1061+L1068</f>
        <v>0.02</v>
      </c>
      <c r="M1051" s="37">
        <f>M1052+M1061+M1068</f>
        <v>80000</v>
      </c>
      <c r="N1051" s="35"/>
      <c r="O1051" s="35"/>
      <c r="P1051" s="35"/>
      <c r="Q1051" s="35"/>
      <c r="R1051" s="35"/>
      <c r="S1051" s="35"/>
      <c r="T1051" s="35"/>
      <c r="U1051" s="35"/>
      <c r="V1051" s="61">
        <f t="shared" ref="V1051:X1051" si="947">(V1052*$L1052+V1061*$L1061+V1068*$L1068)/$L1051</f>
        <v>0</v>
      </c>
      <c r="W1051" s="61">
        <f t="shared" si="947"/>
        <v>0</v>
      </c>
      <c r="X1051" s="61">
        <f t="shared" si="947"/>
        <v>0</v>
      </c>
      <c r="Y1051" s="38">
        <f>(Y1052*$L1052+Y1061*$L1061+Y1068*$L1068)/$L1051</f>
        <v>0</v>
      </c>
      <c r="Z1051" s="38">
        <f t="shared" ref="Z1051:AA1051" si="948">(Z1052*$L1052+Z1061*$L1061+Z1068*$L1068)/$L1051</f>
        <v>0</v>
      </c>
      <c r="AA1051" s="38">
        <f t="shared" si="948"/>
        <v>4.1250000000000009E-2</v>
      </c>
    </row>
    <row r="1052" spans="1:27" ht="18.75" customHeight="1" outlineLevel="5" x14ac:dyDescent="0.3">
      <c r="B1052" s="12"/>
      <c r="C1052" s="18"/>
      <c r="D1052" s="24"/>
      <c r="E1052" s="29"/>
      <c r="F1052" s="34"/>
      <c r="G1052" s="39" t="s">
        <v>556</v>
      </c>
      <c r="H1052" s="58"/>
      <c r="I1052" s="58"/>
      <c r="J1052" s="58"/>
      <c r="K1052" s="58"/>
      <c r="L1052" s="41">
        <f>SUM(L1053:L1060)</f>
        <v>1.5000000000000001E-2</v>
      </c>
      <c r="M1052" s="42">
        <v>72000</v>
      </c>
      <c r="N1052" s="40"/>
      <c r="O1052" s="40"/>
      <c r="P1052" s="40"/>
      <c r="Q1052" s="40"/>
      <c r="R1052" s="40"/>
      <c r="S1052" s="40"/>
      <c r="T1052" s="40"/>
      <c r="U1052" s="40"/>
      <c r="V1052" s="62">
        <f t="shared" ref="V1052:X1052" si="949">SUMPRODUCT(V1053:V1060,$K1053:$K1060)</f>
        <v>0</v>
      </c>
      <c r="W1052" s="62">
        <f t="shared" si="949"/>
        <v>0</v>
      </c>
      <c r="X1052" s="62">
        <f t="shared" si="949"/>
        <v>0</v>
      </c>
      <c r="Y1052" s="43">
        <f>SUMPRODUCT(Y1053:Y1060,$K1053:$K1060)</f>
        <v>0</v>
      </c>
      <c r="Z1052" s="43">
        <f t="shared" ref="Z1052:AA1052" si="950">SUMPRODUCT(Z1053:Z1060,$K1053:$K1060)</f>
        <v>0</v>
      </c>
      <c r="AA1052" s="43">
        <f t="shared" si="950"/>
        <v>5.5000000000000007E-2</v>
      </c>
    </row>
    <row r="1053" spans="1:27" ht="18.75" customHeight="1" outlineLevel="6" x14ac:dyDescent="0.3">
      <c r="B1053" s="44"/>
      <c r="C1053" s="18"/>
      <c r="D1053" s="24"/>
      <c r="E1053" s="29"/>
      <c r="F1053" s="34"/>
      <c r="G1053" s="39"/>
      <c r="H1053" s="46" t="s">
        <v>1027</v>
      </c>
      <c r="I1053" s="46" t="s">
        <v>45</v>
      </c>
      <c r="J1053" s="47" t="s">
        <v>59</v>
      </c>
      <c r="K1053" s="48">
        <v>0.05</v>
      </c>
      <c r="L1053" s="49">
        <f>VLOOKUP(H1053,[4]Sheet2!K:P,6,0)</f>
        <v>7.5000000000000002E-4</v>
      </c>
      <c r="M1053" s="50">
        <f>VLOOKUP(H1053,[4]Sheet2!K:Q,7,0)</f>
        <v>72000</v>
      </c>
      <c r="N1053" s="51"/>
      <c r="O1053" s="51"/>
      <c r="P1053" s="51"/>
      <c r="Q1053" s="51"/>
      <c r="R1053" s="51"/>
      <c r="S1053" s="51"/>
      <c r="T1053" s="51"/>
      <c r="U1053" s="51"/>
      <c r="V1053" s="52">
        <f>VLOOKUP(H1053,[4]Sheet2!K:N,4,0)</f>
        <v>0</v>
      </c>
      <c r="W1053" s="52">
        <f t="shared" ref="W1053:W1060" si="951">X1053-V1053</f>
        <v>0</v>
      </c>
      <c r="X1053" s="52">
        <f>VLOOKUP(H1053,[4]Sheet2!K:N,4,0)</f>
        <v>0</v>
      </c>
      <c r="Y1053" s="53">
        <f t="shared" ref="Y1053:Y1060" si="952">IFERROR(V1053/M1053,1)</f>
        <v>0</v>
      </c>
      <c r="Z1053" s="53">
        <f t="shared" ref="Z1053:Z1060" si="953">IFERROR(W1053/M1053,1)</f>
        <v>0</v>
      </c>
      <c r="AA1053" s="53">
        <v>0.1</v>
      </c>
    </row>
    <row r="1054" spans="1:27" ht="18.75" customHeight="1" outlineLevel="6" x14ac:dyDescent="0.3">
      <c r="B1054" s="44"/>
      <c r="C1054" s="18"/>
      <c r="D1054" s="24"/>
      <c r="E1054" s="29"/>
      <c r="F1054" s="34"/>
      <c r="G1054" s="39"/>
      <c r="H1054" s="46" t="s">
        <v>1028</v>
      </c>
      <c r="I1054" s="46" t="s">
        <v>61</v>
      </c>
      <c r="J1054" s="47" t="s">
        <v>59</v>
      </c>
      <c r="K1054" s="48">
        <v>0.05</v>
      </c>
      <c r="L1054" s="49">
        <f>VLOOKUP(H1054,[4]Sheet2!K:P,6,0)</f>
        <v>7.5000000000000002E-4</v>
      </c>
      <c r="M1054" s="50">
        <f>VLOOKUP(H1054,[4]Sheet2!K:Q,7,0)</f>
        <v>72000</v>
      </c>
      <c r="N1054" s="51"/>
      <c r="O1054" s="51"/>
      <c r="P1054" s="51"/>
      <c r="Q1054" s="51"/>
      <c r="R1054" s="51"/>
      <c r="S1054" s="51"/>
      <c r="T1054" s="51"/>
      <c r="U1054" s="51"/>
      <c r="V1054" s="52">
        <f>VLOOKUP(H1054,[4]Sheet2!K:N,4,0)</f>
        <v>0</v>
      </c>
      <c r="W1054" s="52">
        <f t="shared" si="951"/>
        <v>0</v>
      </c>
      <c r="X1054" s="52">
        <f>VLOOKUP(H1054,[4]Sheet2!K:N,4,0)</f>
        <v>0</v>
      </c>
      <c r="Y1054" s="53">
        <f t="shared" si="952"/>
        <v>0</v>
      </c>
      <c r="Z1054" s="53">
        <f t="shared" si="953"/>
        <v>0</v>
      </c>
      <c r="AA1054" s="53">
        <v>1</v>
      </c>
    </row>
    <row r="1055" spans="1:27" ht="18.75" customHeight="1" outlineLevel="6" x14ac:dyDescent="0.3">
      <c r="A1055" s="1" t="s">
        <v>1029</v>
      </c>
      <c r="B1055" s="44"/>
      <c r="C1055" s="18"/>
      <c r="D1055" s="24"/>
      <c r="E1055" s="29"/>
      <c r="F1055" s="34"/>
      <c r="G1055" s="39"/>
      <c r="H1055" s="46" t="s">
        <v>1030</v>
      </c>
      <c r="I1055" s="46" t="s">
        <v>63</v>
      </c>
      <c r="J1055" s="47" t="s">
        <v>59</v>
      </c>
      <c r="K1055" s="48">
        <v>0.5</v>
      </c>
      <c r="L1055" s="49">
        <f>VLOOKUP(H1055,[4]Sheet2!K:P,6,0)</f>
        <v>7.4999999999999997E-3</v>
      </c>
      <c r="M1055" s="50">
        <f>VLOOKUP(H1055,[4]Sheet2!K:Q,7,0)</f>
        <v>72000</v>
      </c>
      <c r="N1055" s="51"/>
      <c r="O1055" s="51"/>
      <c r="P1055" s="51"/>
      <c r="Q1055" s="51"/>
      <c r="R1055" s="51"/>
      <c r="S1055" s="51"/>
      <c r="T1055" s="51"/>
      <c r="U1055" s="51"/>
      <c r="V1055" s="52">
        <f>VLOOKUP(H1055,[4]Sheet2!K:N,4,0)</f>
        <v>0</v>
      </c>
      <c r="W1055" s="52">
        <f t="shared" si="951"/>
        <v>0</v>
      </c>
      <c r="X1055" s="52">
        <f>VLOOKUP(H1055,[4]Sheet2!K:N,4,0)</f>
        <v>0</v>
      </c>
      <c r="Y1055" s="53">
        <f t="shared" si="952"/>
        <v>0</v>
      </c>
      <c r="Z1055" s="53">
        <f t="shared" si="953"/>
        <v>0</v>
      </c>
      <c r="AA1055" s="53">
        <f t="shared" ref="AA1055:AA1060" si="954">IFERROR(X1055/M1055,1)</f>
        <v>0</v>
      </c>
    </row>
    <row r="1056" spans="1:27" ht="18.75" customHeight="1" outlineLevel="6" x14ac:dyDescent="0.3">
      <c r="B1056" s="44"/>
      <c r="C1056" s="18"/>
      <c r="D1056" s="24"/>
      <c r="E1056" s="29"/>
      <c r="F1056" s="34"/>
      <c r="G1056" s="39"/>
      <c r="H1056" s="46" t="s">
        <v>1031</v>
      </c>
      <c r="I1056" s="46" t="s">
        <v>65</v>
      </c>
      <c r="J1056" s="47" t="s">
        <v>59</v>
      </c>
      <c r="K1056" s="48">
        <v>0.1</v>
      </c>
      <c r="L1056" s="49">
        <f>VLOOKUP(H1056,[4]Sheet2!K:P,6,0)</f>
        <v>1.5E-3</v>
      </c>
      <c r="M1056" s="50">
        <f>VLOOKUP(H1056,[4]Sheet2!K:Q,7,0)</f>
        <v>72000</v>
      </c>
      <c r="N1056" s="51"/>
      <c r="O1056" s="51"/>
      <c r="P1056" s="51"/>
      <c r="Q1056" s="51"/>
      <c r="R1056" s="51"/>
      <c r="S1056" s="51"/>
      <c r="T1056" s="51"/>
      <c r="U1056" s="51"/>
      <c r="V1056" s="52">
        <f>VLOOKUP(H1056,[4]Sheet2!K:N,4,0)</f>
        <v>0</v>
      </c>
      <c r="W1056" s="52">
        <f t="shared" si="951"/>
        <v>0</v>
      </c>
      <c r="X1056" s="52">
        <f>VLOOKUP(H1056,[4]Sheet2!K:N,4,0)</f>
        <v>0</v>
      </c>
      <c r="Y1056" s="53">
        <f t="shared" si="952"/>
        <v>0</v>
      </c>
      <c r="Z1056" s="53">
        <f t="shared" si="953"/>
        <v>0</v>
      </c>
      <c r="AA1056" s="53">
        <f t="shared" si="954"/>
        <v>0</v>
      </c>
    </row>
    <row r="1057" spans="1:27" ht="18.75" customHeight="1" outlineLevel="6" x14ac:dyDescent="0.3">
      <c r="B1057" s="44"/>
      <c r="C1057" s="18"/>
      <c r="D1057" s="24"/>
      <c r="E1057" s="29"/>
      <c r="F1057" s="34"/>
      <c r="G1057" s="39"/>
      <c r="H1057" s="46" t="s">
        <v>1032</v>
      </c>
      <c r="I1057" s="46" t="s">
        <v>67</v>
      </c>
      <c r="J1057" s="47" t="s">
        <v>59</v>
      </c>
      <c r="K1057" s="48">
        <v>0.15</v>
      </c>
      <c r="L1057" s="49">
        <f>VLOOKUP(H1057,[4]Sheet2!K:P,6,0)</f>
        <v>2.2499999999999998E-3</v>
      </c>
      <c r="M1057" s="50">
        <f>VLOOKUP(H1057,[4]Sheet2!K:Q,7,0)</f>
        <v>72000</v>
      </c>
      <c r="N1057" s="51"/>
      <c r="O1057" s="51"/>
      <c r="P1057" s="51"/>
      <c r="Q1057" s="51"/>
      <c r="R1057" s="51"/>
      <c r="S1057" s="51"/>
      <c r="T1057" s="51"/>
      <c r="U1057" s="51"/>
      <c r="V1057" s="52">
        <f>VLOOKUP(H1057,[4]Sheet2!K:N,4,0)</f>
        <v>0</v>
      </c>
      <c r="W1057" s="52">
        <f t="shared" si="951"/>
        <v>0</v>
      </c>
      <c r="X1057" s="52">
        <f>VLOOKUP(H1057,[4]Sheet2!K:N,4,0)</f>
        <v>0</v>
      </c>
      <c r="Y1057" s="53">
        <f t="shared" si="952"/>
        <v>0</v>
      </c>
      <c r="Z1057" s="53">
        <f t="shared" si="953"/>
        <v>0</v>
      </c>
      <c r="AA1057" s="53">
        <f t="shared" si="954"/>
        <v>0</v>
      </c>
    </row>
    <row r="1058" spans="1:27" ht="18.75" customHeight="1" outlineLevel="6" x14ac:dyDescent="0.3">
      <c r="B1058" s="44"/>
      <c r="C1058" s="18"/>
      <c r="D1058" s="24"/>
      <c r="E1058" s="29"/>
      <c r="F1058" s="34"/>
      <c r="G1058" s="39"/>
      <c r="H1058" s="46" t="s">
        <v>1033</v>
      </c>
      <c r="I1058" s="46" t="s">
        <v>69</v>
      </c>
      <c r="J1058" s="47" t="s">
        <v>59</v>
      </c>
      <c r="K1058" s="48">
        <v>0.05</v>
      </c>
      <c r="L1058" s="49">
        <f>VLOOKUP(H1058,[4]Sheet2!K:P,6,0)</f>
        <v>7.5000000000000002E-4</v>
      </c>
      <c r="M1058" s="50">
        <f>VLOOKUP(H1058,[4]Sheet2!K:Q,7,0)</f>
        <v>72000</v>
      </c>
      <c r="N1058" s="51"/>
      <c r="O1058" s="51"/>
      <c r="P1058" s="51"/>
      <c r="Q1058" s="51"/>
      <c r="R1058" s="51"/>
      <c r="S1058" s="51"/>
      <c r="T1058" s="51"/>
      <c r="U1058" s="51"/>
      <c r="V1058" s="52">
        <f>VLOOKUP(H1058,[4]Sheet2!K:N,4,0)</f>
        <v>0</v>
      </c>
      <c r="W1058" s="52">
        <f t="shared" si="951"/>
        <v>0</v>
      </c>
      <c r="X1058" s="52">
        <f>VLOOKUP(H1058,[4]Sheet2!K:N,4,0)</f>
        <v>0</v>
      </c>
      <c r="Y1058" s="53">
        <f t="shared" si="952"/>
        <v>0</v>
      </c>
      <c r="Z1058" s="53">
        <f t="shared" si="953"/>
        <v>0</v>
      </c>
      <c r="AA1058" s="53">
        <f t="shared" si="954"/>
        <v>0</v>
      </c>
    </row>
    <row r="1059" spans="1:27" ht="18.75" customHeight="1" outlineLevel="6" x14ac:dyDescent="0.3">
      <c r="B1059" s="44"/>
      <c r="C1059" s="18"/>
      <c r="D1059" s="24"/>
      <c r="E1059" s="29"/>
      <c r="F1059" s="34"/>
      <c r="G1059" s="39"/>
      <c r="H1059" s="46" t="s">
        <v>1034</v>
      </c>
      <c r="I1059" s="46" t="s">
        <v>71</v>
      </c>
      <c r="J1059" s="47" t="s">
        <v>59</v>
      </c>
      <c r="K1059" s="48">
        <v>0.05</v>
      </c>
      <c r="L1059" s="49">
        <f>VLOOKUP(H1059,[4]Sheet2!K:P,6,0)</f>
        <v>7.5000000000000002E-4</v>
      </c>
      <c r="M1059" s="50">
        <f>VLOOKUP(H1059,[4]Sheet2!K:Q,7,0)</f>
        <v>72000</v>
      </c>
      <c r="N1059" s="51"/>
      <c r="O1059" s="51"/>
      <c r="P1059" s="51"/>
      <c r="Q1059" s="51"/>
      <c r="R1059" s="51"/>
      <c r="S1059" s="51"/>
      <c r="T1059" s="51"/>
      <c r="U1059" s="51"/>
      <c r="V1059" s="52">
        <f>VLOOKUP(H1059,[4]Sheet2!K:N,4,0)</f>
        <v>0</v>
      </c>
      <c r="W1059" s="52">
        <f t="shared" si="951"/>
        <v>0</v>
      </c>
      <c r="X1059" s="52">
        <f>VLOOKUP(H1059,[4]Sheet2!K:N,4,0)</f>
        <v>0</v>
      </c>
      <c r="Y1059" s="53">
        <f t="shared" si="952"/>
        <v>0</v>
      </c>
      <c r="Z1059" s="53">
        <f t="shared" si="953"/>
        <v>0</v>
      </c>
      <c r="AA1059" s="53">
        <f t="shared" si="954"/>
        <v>0</v>
      </c>
    </row>
    <row r="1060" spans="1:27" ht="18.75" customHeight="1" outlineLevel="6" x14ac:dyDescent="0.3">
      <c r="B1060" s="44"/>
      <c r="C1060" s="18"/>
      <c r="D1060" s="24"/>
      <c r="E1060" s="29"/>
      <c r="F1060" s="34"/>
      <c r="G1060" s="39"/>
      <c r="H1060" s="46" t="s">
        <v>1035</v>
      </c>
      <c r="I1060" s="46" t="s">
        <v>73</v>
      </c>
      <c r="J1060" s="47" t="s">
        <v>59</v>
      </c>
      <c r="K1060" s="48">
        <v>0.05</v>
      </c>
      <c r="L1060" s="49">
        <f>VLOOKUP(H1060,[4]Sheet2!K:P,6,0)</f>
        <v>7.5000000000000002E-4</v>
      </c>
      <c r="M1060" s="50">
        <f>VLOOKUP(H1060,[4]Sheet2!K:Q,7,0)</f>
        <v>72000</v>
      </c>
      <c r="N1060" s="51"/>
      <c r="O1060" s="51"/>
      <c r="P1060" s="51"/>
      <c r="Q1060" s="51"/>
      <c r="R1060" s="51"/>
      <c r="S1060" s="51"/>
      <c r="T1060" s="51"/>
      <c r="U1060" s="51"/>
      <c r="V1060" s="52">
        <f>VLOOKUP(H1060,[4]Sheet2!K:N,4,0)</f>
        <v>0</v>
      </c>
      <c r="W1060" s="52">
        <f t="shared" si="951"/>
        <v>0</v>
      </c>
      <c r="X1060" s="52">
        <f>VLOOKUP(H1060,[4]Sheet2!K:N,4,0)</f>
        <v>0</v>
      </c>
      <c r="Y1060" s="53">
        <f t="shared" si="952"/>
        <v>0</v>
      </c>
      <c r="Z1060" s="53">
        <f t="shared" si="953"/>
        <v>0</v>
      </c>
      <c r="AA1060" s="53">
        <f t="shared" si="954"/>
        <v>0</v>
      </c>
    </row>
    <row r="1061" spans="1:27" ht="18.75" customHeight="1" outlineLevel="5" x14ac:dyDescent="0.3">
      <c r="B1061" s="12"/>
      <c r="C1061" s="18"/>
      <c r="D1061" s="24"/>
      <c r="E1061" s="29"/>
      <c r="F1061" s="34"/>
      <c r="G1061" s="39" t="s">
        <v>566</v>
      </c>
      <c r="H1061" s="58"/>
      <c r="I1061" s="58"/>
      <c r="J1061" s="58"/>
      <c r="K1061" s="58"/>
      <c r="L1061" s="41">
        <f>SUM(L1062:L1067)</f>
        <v>2.5000000000000001E-3</v>
      </c>
      <c r="M1061" s="42">
        <v>3000</v>
      </c>
      <c r="N1061" s="40"/>
      <c r="O1061" s="40"/>
      <c r="P1061" s="40"/>
      <c r="Q1061" s="40"/>
      <c r="R1061" s="40"/>
      <c r="S1061" s="40"/>
      <c r="T1061" s="40"/>
      <c r="U1061" s="40"/>
      <c r="V1061" s="62">
        <f t="shared" ref="V1061:X1061" si="955">SUMPRODUCT(V1062:V1067,$K1062:$K1067)</f>
        <v>0</v>
      </c>
      <c r="W1061" s="62">
        <f t="shared" si="955"/>
        <v>0</v>
      </c>
      <c r="X1061" s="62">
        <f t="shared" si="955"/>
        <v>0</v>
      </c>
      <c r="Y1061" s="43">
        <f>SUMPRODUCT(Y1062:Y1067,$K1062:$K1067)</f>
        <v>0</v>
      </c>
      <c r="Z1061" s="43">
        <f t="shared" ref="Z1061:AA1061" si="956">SUMPRODUCT(Z1062:Z1067,$K1062:$K1067)</f>
        <v>0</v>
      </c>
      <c r="AA1061" s="43">
        <f t="shared" si="956"/>
        <v>0</v>
      </c>
    </row>
    <row r="1062" spans="1:27" ht="18.75" customHeight="1" outlineLevel="6" x14ac:dyDescent="0.3">
      <c r="B1062" s="44"/>
      <c r="C1062" s="18"/>
      <c r="D1062" s="24"/>
      <c r="E1062" s="29"/>
      <c r="F1062" s="34"/>
      <c r="G1062" s="39"/>
      <c r="H1062" s="46" t="s">
        <v>1036</v>
      </c>
      <c r="I1062" s="46" t="s">
        <v>45</v>
      </c>
      <c r="J1062" s="47" t="s">
        <v>30</v>
      </c>
      <c r="K1062" s="48">
        <v>0.05</v>
      </c>
      <c r="L1062" s="49">
        <f>VLOOKUP(H1062,[4]Sheet2!K:P,6,0)</f>
        <v>1.25E-4</v>
      </c>
      <c r="M1062" s="50">
        <f>VLOOKUP(H1062,[4]Sheet2!K:Q,7,0)</f>
        <v>3000</v>
      </c>
      <c r="N1062" s="51"/>
      <c r="O1062" s="51"/>
      <c r="P1062" s="51"/>
      <c r="Q1062" s="51"/>
      <c r="R1062" s="51"/>
      <c r="S1062" s="51"/>
      <c r="T1062" s="51"/>
      <c r="U1062" s="51"/>
      <c r="V1062" s="52">
        <f>VLOOKUP(H1062,[4]Sheet2!K:N,4,0)</f>
        <v>0</v>
      </c>
      <c r="W1062" s="52">
        <f t="shared" ref="W1062:W1067" si="957">X1062-V1062</f>
        <v>0</v>
      </c>
      <c r="X1062" s="52">
        <f>VLOOKUP(H1062,[4]Sheet2!K:N,4,0)</f>
        <v>0</v>
      </c>
      <c r="Y1062" s="53">
        <f t="shared" ref="Y1062:Y1067" si="958">IFERROR(V1062/M1062,1)</f>
        <v>0</v>
      </c>
      <c r="Z1062" s="53">
        <f t="shared" ref="Z1062:Z1067" si="959">IFERROR(W1062/M1062,1)</f>
        <v>0</v>
      </c>
      <c r="AA1062" s="53">
        <f t="shared" ref="AA1062:AA1067" si="960">IFERROR(X1062/M1062,1)</f>
        <v>0</v>
      </c>
    </row>
    <row r="1063" spans="1:27" ht="18.75" customHeight="1" outlineLevel="6" x14ac:dyDescent="0.3">
      <c r="A1063" s="1" t="s">
        <v>1029</v>
      </c>
      <c r="B1063" s="44"/>
      <c r="C1063" s="18"/>
      <c r="D1063" s="24"/>
      <c r="E1063" s="29"/>
      <c r="F1063" s="34"/>
      <c r="G1063" s="39"/>
      <c r="H1063" s="46" t="s">
        <v>1037</v>
      </c>
      <c r="I1063" s="46" t="s">
        <v>48</v>
      </c>
      <c r="J1063" s="47" t="s">
        <v>30</v>
      </c>
      <c r="K1063" s="48">
        <v>0.5</v>
      </c>
      <c r="L1063" s="49">
        <f>VLOOKUP(H1063,[4]Sheet2!K:P,6,0)</f>
        <v>1.25E-3</v>
      </c>
      <c r="M1063" s="50">
        <f>VLOOKUP(H1063,[4]Sheet2!K:Q,7,0)</f>
        <v>3000</v>
      </c>
      <c r="N1063" s="51"/>
      <c r="O1063" s="51"/>
      <c r="P1063" s="51"/>
      <c r="Q1063" s="51"/>
      <c r="R1063" s="51"/>
      <c r="S1063" s="51"/>
      <c r="T1063" s="51"/>
      <c r="U1063" s="51"/>
      <c r="V1063" s="52">
        <f>VLOOKUP(H1063,[4]Sheet2!K:N,4,0)</f>
        <v>0</v>
      </c>
      <c r="W1063" s="52">
        <f t="shared" si="957"/>
        <v>0</v>
      </c>
      <c r="X1063" s="52">
        <f>VLOOKUP(H1063,[4]Sheet2!K:N,4,0)</f>
        <v>0</v>
      </c>
      <c r="Y1063" s="53">
        <f t="shared" si="958"/>
        <v>0</v>
      </c>
      <c r="Z1063" s="53">
        <f t="shared" si="959"/>
        <v>0</v>
      </c>
      <c r="AA1063" s="53">
        <f t="shared" si="960"/>
        <v>0</v>
      </c>
    </row>
    <row r="1064" spans="1:27" ht="18.75" customHeight="1" outlineLevel="6" x14ac:dyDescent="0.3">
      <c r="B1064" s="44"/>
      <c r="C1064" s="18"/>
      <c r="D1064" s="24"/>
      <c r="E1064" s="29"/>
      <c r="F1064" s="34"/>
      <c r="G1064" s="39"/>
      <c r="H1064" s="46" t="s">
        <v>1038</v>
      </c>
      <c r="I1064" s="46" t="s">
        <v>50</v>
      </c>
      <c r="J1064" s="47" t="s">
        <v>30</v>
      </c>
      <c r="K1064" s="48">
        <v>0.15</v>
      </c>
      <c r="L1064" s="49">
        <f>VLOOKUP(H1064,[4]Sheet2!K:P,6,0)</f>
        <v>3.7500000000000001E-4</v>
      </c>
      <c r="M1064" s="50">
        <f>VLOOKUP(H1064,[4]Sheet2!K:Q,7,0)</f>
        <v>3000</v>
      </c>
      <c r="N1064" s="51"/>
      <c r="O1064" s="51"/>
      <c r="P1064" s="51"/>
      <c r="Q1064" s="51"/>
      <c r="R1064" s="51"/>
      <c r="S1064" s="51"/>
      <c r="T1064" s="51"/>
      <c r="U1064" s="51"/>
      <c r="V1064" s="52">
        <f>VLOOKUP(H1064,[4]Sheet2!K:N,4,0)</f>
        <v>0</v>
      </c>
      <c r="W1064" s="52">
        <f t="shared" si="957"/>
        <v>0</v>
      </c>
      <c r="X1064" s="52">
        <f>VLOOKUP(H1064,[4]Sheet2!K:N,4,0)</f>
        <v>0</v>
      </c>
      <c r="Y1064" s="53">
        <f t="shared" si="958"/>
        <v>0</v>
      </c>
      <c r="Z1064" s="53">
        <f t="shared" si="959"/>
        <v>0</v>
      </c>
      <c r="AA1064" s="53">
        <f t="shared" si="960"/>
        <v>0</v>
      </c>
    </row>
    <row r="1065" spans="1:27" ht="18.75" customHeight="1" outlineLevel="6" x14ac:dyDescent="0.3">
      <c r="B1065" s="44"/>
      <c r="C1065" s="18"/>
      <c r="D1065" s="24"/>
      <c r="E1065" s="29"/>
      <c r="F1065" s="34"/>
      <c r="G1065" s="39"/>
      <c r="H1065" s="46" t="s">
        <v>1039</v>
      </c>
      <c r="I1065" s="46" t="s">
        <v>52</v>
      </c>
      <c r="J1065" s="47" t="s">
        <v>30</v>
      </c>
      <c r="K1065" s="48">
        <v>0.2</v>
      </c>
      <c r="L1065" s="49">
        <f>VLOOKUP(H1065,[4]Sheet2!K:P,6,0)</f>
        <v>5.0000000000000001E-4</v>
      </c>
      <c r="M1065" s="50">
        <f>VLOOKUP(H1065,[4]Sheet2!K:Q,7,0)</f>
        <v>3000</v>
      </c>
      <c r="N1065" s="51"/>
      <c r="O1065" s="51"/>
      <c r="P1065" s="51"/>
      <c r="Q1065" s="51"/>
      <c r="R1065" s="51"/>
      <c r="S1065" s="51"/>
      <c r="T1065" s="51"/>
      <c r="U1065" s="51"/>
      <c r="V1065" s="52">
        <f>VLOOKUP(H1065,[4]Sheet2!K:N,4,0)</f>
        <v>0</v>
      </c>
      <c r="W1065" s="52">
        <f t="shared" si="957"/>
        <v>0</v>
      </c>
      <c r="X1065" s="52">
        <f>VLOOKUP(H1065,[4]Sheet2!K:N,4,0)</f>
        <v>0</v>
      </c>
      <c r="Y1065" s="53">
        <f t="shared" si="958"/>
        <v>0</v>
      </c>
      <c r="Z1065" s="53">
        <f t="shared" si="959"/>
        <v>0</v>
      </c>
      <c r="AA1065" s="53">
        <f t="shared" si="960"/>
        <v>0</v>
      </c>
    </row>
    <row r="1066" spans="1:27" ht="18.75" customHeight="1" outlineLevel="6" x14ac:dyDescent="0.3">
      <c r="B1066" s="44"/>
      <c r="C1066" s="18"/>
      <c r="D1066" s="24"/>
      <c r="E1066" s="29"/>
      <c r="F1066" s="34"/>
      <c r="G1066" s="39"/>
      <c r="H1066" s="46" t="s">
        <v>1040</v>
      </c>
      <c r="I1066" s="46" t="s">
        <v>54</v>
      </c>
      <c r="J1066" s="47" t="s">
        <v>30</v>
      </c>
      <c r="K1066" s="48">
        <v>0.05</v>
      </c>
      <c r="L1066" s="49">
        <f>VLOOKUP(H1066,[4]Sheet2!K:P,6,0)</f>
        <v>1.25E-4</v>
      </c>
      <c r="M1066" s="50">
        <f>VLOOKUP(H1066,[4]Sheet2!K:Q,7,0)</f>
        <v>3000</v>
      </c>
      <c r="N1066" s="51"/>
      <c r="O1066" s="51"/>
      <c r="P1066" s="51"/>
      <c r="Q1066" s="51"/>
      <c r="R1066" s="51"/>
      <c r="S1066" s="51"/>
      <c r="T1066" s="51"/>
      <c r="U1066" s="51"/>
      <c r="V1066" s="52">
        <f>VLOOKUP(H1066,[4]Sheet2!K:N,4,0)</f>
        <v>0</v>
      </c>
      <c r="W1066" s="52">
        <f t="shared" si="957"/>
        <v>0</v>
      </c>
      <c r="X1066" s="52">
        <f>VLOOKUP(H1066,[4]Sheet2!K:N,4,0)</f>
        <v>0</v>
      </c>
      <c r="Y1066" s="53">
        <f t="shared" si="958"/>
        <v>0</v>
      </c>
      <c r="Z1066" s="53">
        <f t="shared" si="959"/>
        <v>0</v>
      </c>
      <c r="AA1066" s="53">
        <f t="shared" si="960"/>
        <v>0</v>
      </c>
    </row>
    <row r="1067" spans="1:27" ht="18.75" customHeight="1" outlineLevel="6" x14ac:dyDescent="0.3">
      <c r="B1067" s="44"/>
      <c r="C1067" s="18"/>
      <c r="D1067" s="24"/>
      <c r="E1067" s="29"/>
      <c r="F1067" s="34"/>
      <c r="G1067" s="39"/>
      <c r="H1067" s="46" t="s">
        <v>1041</v>
      </c>
      <c r="I1067" s="46" t="s">
        <v>56</v>
      </c>
      <c r="J1067" s="47" t="s">
        <v>30</v>
      </c>
      <c r="K1067" s="48">
        <v>0.05</v>
      </c>
      <c r="L1067" s="49">
        <f>VLOOKUP(H1067,[4]Sheet2!K:P,6,0)</f>
        <v>1.25E-4</v>
      </c>
      <c r="M1067" s="50">
        <f>VLOOKUP(H1067,[4]Sheet2!K:Q,7,0)</f>
        <v>3000</v>
      </c>
      <c r="N1067" s="51"/>
      <c r="O1067" s="51"/>
      <c r="P1067" s="51"/>
      <c r="Q1067" s="51"/>
      <c r="R1067" s="51"/>
      <c r="S1067" s="51"/>
      <c r="T1067" s="51"/>
      <c r="U1067" s="51"/>
      <c r="V1067" s="52">
        <f>VLOOKUP(H1067,[4]Sheet2!K:N,4,0)</f>
        <v>0</v>
      </c>
      <c r="W1067" s="52">
        <f t="shared" si="957"/>
        <v>0</v>
      </c>
      <c r="X1067" s="52">
        <f>VLOOKUP(H1067,[4]Sheet2!K:N,4,0)</f>
        <v>0</v>
      </c>
      <c r="Y1067" s="53">
        <f t="shared" si="958"/>
        <v>0</v>
      </c>
      <c r="Z1067" s="53">
        <f t="shared" si="959"/>
        <v>0</v>
      </c>
      <c r="AA1067" s="53">
        <f t="shared" si="960"/>
        <v>0</v>
      </c>
    </row>
    <row r="1068" spans="1:27" ht="18.75" customHeight="1" outlineLevel="5" x14ac:dyDescent="0.3">
      <c r="B1068" s="12"/>
      <c r="C1068" s="18"/>
      <c r="D1068" s="24"/>
      <c r="E1068" s="29"/>
      <c r="F1068" s="34"/>
      <c r="G1068" s="39" t="s">
        <v>566</v>
      </c>
      <c r="H1068" s="58"/>
      <c r="I1068" s="58"/>
      <c r="J1068" s="58"/>
      <c r="K1068" s="58"/>
      <c r="L1068" s="41">
        <f>SUM(L1069:L1073)</f>
        <v>2.5000000000000001E-3</v>
      </c>
      <c r="M1068" s="42">
        <v>5000</v>
      </c>
      <c r="N1068" s="40"/>
      <c r="O1068" s="40"/>
      <c r="P1068" s="40"/>
      <c r="Q1068" s="40"/>
      <c r="R1068" s="40"/>
      <c r="S1068" s="40"/>
      <c r="T1068" s="40"/>
      <c r="U1068" s="40"/>
      <c r="V1068" s="62">
        <f t="shared" ref="V1068:X1068" si="961">SUMPRODUCT(V1069:V1074,$K1069:$K1074)</f>
        <v>0</v>
      </c>
      <c r="W1068" s="62">
        <f t="shared" si="961"/>
        <v>0</v>
      </c>
      <c r="X1068" s="62">
        <f t="shared" si="961"/>
        <v>0</v>
      </c>
      <c r="Y1068" s="43">
        <f>SUMPRODUCT(Y1069:Y1074,$K1069:$K1074)</f>
        <v>0</v>
      </c>
      <c r="Z1068" s="43">
        <f t="shared" ref="Z1068:AA1068" si="962">SUMPRODUCT(Z1069:Z1074,$K1069:$K1074)</f>
        <v>0</v>
      </c>
      <c r="AA1068" s="43">
        <f t="shared" si="962"/>
        <v>0</v>
      </c>
    </row>
    <row r="1069" spans="1:27" ht="18.75" customHeight="1" outlineLevel="6" x14ac:dyDescent="0.3">
      <c r="B1069" s="44"/>
      <c r="C1069" s="18"/>
      <c r="D1069" s="24"/>
      <c r="E1069" s="29"/>
      <c r="F1069" s="34"/>
      <c r="G1069" s="39"/>
      <c r="H1069" s="46" t="s">
        <v>1042</v>
      </c>
      <c r="I1069" s="46" t="s">
        <v>45</v>
      </c>
      <c r="J1069" s="47" t="s">
        <v>59</v>
      </c>
      <c r="K1069" s="48">
        <v>0.05</v>
      </c>
      <c r="L1069" s="49">
        <f>VLOOKUP(H1069,[4]Sheet2!K:P,6,0)</f>
        <v>1.25E-4</v>
      </c>
      <c r="M1069" s="50">
        <f>VLOOKUP(H1069,[4]Sheet2!K:Q,7,0)</f>
        <v>5000</v>
      </c>
      <c r="N1069" s="51"/>
      <c r="O1069" s="51"/>
      <c r="P1069" s="51"/>
      <c r="Q1069" s="51"/>
      <c r="R1069" s="51"/>
      <c r="S1069" s="51"/>
      <c r="T1069" s="51"/>
      <c r="U1069" s="51"/>
      <c r="V1069" s="52">
        <f>VLOOKUP(H1069,[4]Sheet2!K:N,4,0)</f>
        <v>0</v>
      </c>
      <c r="W1069" s="52">
        <f t="shared" ref="W1069:W1073" si="963">X1069-V1069</f>
        <v>0</v>
      </c>
      <c r="X1069" s="52">
        <f>VLOOKUP(H1069,[4]Sheet2!K:N,4,0)</f>
        <v>0</v>
      </c>
      <c r="Y1069" s="53">
        <f t="shared" ref="Y1069:Y1073" si="964">IFERROR(V1069/M1069,1)</f>
        <v>0</v>
      </c>
      <c r="Z1069" s="53">
        <f t="shared" ref="Z1069:Z1073" si="965">IFERROR(W1069/M1069,1)</f>
        <v>0</v>
      </c>
      <c r="AA1069" s="53">
        <f t="shared" ref="AA1069:AA1073" si="966">IFERROR(X1069/M1069,1)</f>
        <v>0</v>
      </c>
    </row>
    <row r="1070" spans="1:27" ht="18.75" customHeight="1" outlineLevel="6" x14ac:dyDescent="0.3">
      <c r="A1070" s="1" t="s">
        <v>1029</v>
      </c>
      <c r="B1070" s="44"/>
      <c r="C1070" s="18"/>
      <c r="D1070" s="24"/>
      <c r="E1070" s="29"/>
      <c r="F1070" s="34"/>
      <c r="G1070" s="39"/>
      <c r="H1070" s="46" t="s">
        <v>1043</v>
      </c>
      <c r="I1070" s="46" t="s">
        <v>168</v>
      </c>
      <c r="J1070" s="47" t="s">
        <v>59</v>
      </c>
      <c r="K1070" s="48">
        <v>0.65</v>
      </c>
      <c r="L1070" s="49">
        <f>VLOOKUP(H1070,[4]Sheet2!K:P,6,0)</f>
        <v>1.6249999999999999E-3</v>
      </c>
      <c r="M1070" s="50">
        <f>VLOOKUP(H1070,[4]Sheet2!K:Q,7,0)</f>
        <v>5000</v>
      </c>
      <c r="N1070" s="51"/>
      <c r="O1070" s="51"/>
      <c r="P1070" s="51"/>
      <c r="Q1070" s="51"/>
      <c r="R1070" s="51"/>
      <c r="S1070" s="51"/>
      <c r="T1070" s="51"/>
      <c r="U1070" s="51"/>
      <c r="V1070" s="52">
        <f>VLOOKUP(H1070,[4]Sheet2!K:N,4,0)</f>
        <v>0</v>
      </c>
      <c r="W1070" s="52">
        <f t="shared" si="963"/>
        <v>0</v>
      </c>
      <c r="X1070" s="52">
        <f>VLOOKUP(H1070,[4]Sheet2!K:N,4,0)</f>
        <v>0</v>
      </c>
      <c r="Y1070" s="53">
        <f t="shared" si="964"/>
        <v>0</v>
      </c>
      <c r="Z1070" s="53">
        <f t="shared" si="965"/>
        <v>0</v>
      </c>
      <c r="AA1070" s="53">
        <f t="shared" si="966"/>
        <v>0</v>
      </c>
    </row>
    <row r="1071" spans="1:27" ht="18.75" customHeight="1" outlineLevel="6" x14ac:dyDescent="0.3">
      <c r="B1071" s="44"/>
      <c r="C1071" s="18"/>
      <c r="D1071" s="24"/>
      <c r="E1071" s="29"/>
      <c r="F1071" s="34"/>
      <c r="G1071" s="39"/>
      <c r="H1071" s="46" t="s">
        <v>1044</v>
      </c>
      <c r="I1071" s="46" t="s">
        <v>170</v>
      </c>
      <c r="J1071" s="47" t="s">
        <v>59</v>
      </c>
      <c r="K1071" s="48">
        <v>0.2</v>
      </c>
      <c r="L1071" s="49">
        <f>VLOOKUP(H1071,[4]Sheet2!K:P,6,0)</f>
        <v>5.0000000000000001E-4</v>
      </c>
      <c r="M1071" s="50">
        <f>VLOOKUP(H1071,[4]Sheet2!K:Q,7,0)</f>
        <v>5000</v>
      </c>
      <c r="N1071" s="51"/>
      <c r="O1071" s="51"/>
      <c r="P1071" s="51"/>
      <c r="Q1071" s="51"/>
      <c r="R1071" s="51"/>
      <c r="S1071" s="51"/>
      <c r="T1071" s="51"/>
      <c r="U1071" s="51"/>
      <c r="V1071" s="52">
        <f>VLOOKUP(H1071,[4]Sheet2!K:N,4,0)</f>
        <v>0</v>
      </c>
      <c r="W1071" s="52">
        <f t="shared" si="963"/>
        <v>0</v>
      </c>
      <c r="X1071" s="52">
        <f>VLOOKUP(H1071,[4]Sheet2!K:N,4,0)</f>
        <v>0</v>
      </c>
      <c r="Y1071" s="53">
        <f t="shared" si="964"/>
        <v>0</v>
      </c>
      <c r="Z1071" s="53">
        <f t="shared" si="965"/>
        <v>0</v>
      </c>
      <c r="AA1071" s="53">
        <f t="shared" si="966"/>
        <v>0</v>
      </c>
    </row>
    <row r="1072" spans="1:27" ht="18.75" customHeight="1" outlineLevel="6" x14ac:dyDescent="0.3">
      <c r="B1072" s="44"/>
      <c r="C1072" s="18"/>
      <c r="D1072" s="24"/>
      <c r="E1072" s="29"/>
      <c r="F1072" s="34"/>
      <c r="G1072" s="39"/>
      <c r="H1072" s="46" t="s">
        <v>1045</v>
      </c>
      <c r="I1072" s="46" t="s">
        <v>172</v>
      </c>
      <c r="J1072" s="47" t="s">
        <v>59</v>
      </c>
      <c r="K1072" s="48">
        <v>0.05</v>
      </c>
      <c r="L1072" s="49">
        <f>VLOOKUP(H1072,[4]Sheet2!K:P,6,0)</f>
        <v>1.25E-4</v>
      </c>
      <c r="M1072" s="50">
        <f>VLOOKUP(H1072,[4]Sheet2!K:Q,7,0)</f>
        <v>5000</v>
      </c>
      <c r="N1072" s="51"/>
      <c r="O1072" s="51"/>
      <c r="P1072" s="51"/>
      <c r="Q1072" s="51"/>
      <c r="R1072" s="51"/>
      <c r="S1072" s="51"/>
      <c r="T1072" s="51"/>
      <c r="U1072" s="51"/>
      <c r="V1072" s="52">
        <f>VLOOKUP(H1072,[4]Sheet2!K:N,4,0)</f>
        <v>0</v>
      </c>
      <c r="W1072" s="52">
        <f t="shared" si="963"/>
        <v>0</v>
      </c>
      <c r="X1072" s="52">
        <f>VLOOKUP(H1072,[4]Sheet2!K:N,4,0)</f>
        <v>0</v>
      </c>
      <c r="Y1072" s="53">
        <f t="shared" si="964"/>
        <v>0</v>
      </c>
      <c r="Z1072" s="53">
        <f t="shared" si="965"/>
        <v>0</v>
      </c>
      <c r="AA1072" s="53">
        <f t="shared" si="966"/>
        <v>0</v>
      </c>
    </row>
    <row r="1073" spans="1:27" ht="18.75" customHeight="1" outlineLevel="6" x14ac:dyDescent="0.3">
      <c r="B1073" s="44"/>
      <c r="C1073" s="18"/>
      <c r="D1073" s="24"/>
      <c r="E1073" s="29"/>
      <c r="F1073" s="34"/>
      <c r="G1073" s="39"/>
      <c r="H1073" s="46" t="s">
        <v>1046</v>
      </c>
      <c r="I1073" s="46" t="s">
        <v>56</v>
      </c>
      <c r="J1073" s="47" t="s">
        <v>59</v>
      </c>
      <c r="K1073" s="48">
        <v>0.05</v>
      </c>
      <c r="L1073" s="49">
        <f>VLOOKUP(H1073,[4]Sheet2!K:P,6,0)</f>
        <v>1.25E-4</v>
      </c>
      <c r="M1073" s="50">
        <f>VLOOKUP(H1073,[4]Sheet2!K:Q,7,0)</f>
        <v>5000</v>
      </c>
      <c r="N1073" s="51"/>
      <c r="O1073" s="51"/>
      <c r="P1073" s="51"/>
      <c r="Q1073" s="51"/>
      <c r="R1073" s="51"/>
      <c r="S1073" s="51"/>
      <c r="T1073" s="51"/>
      <c r="U1073" s="51"/>
      <c r="V1073" s="52">
        <f>VLOOKUP(H1073,[4]Sheet2!K:N,4,0)</f>
        <v>0</v>
      </c>
      <c r="W1073" s="52">
        <f t="shared" si="963"/>
        <v>0</v>
      </c>
      <c r="X1073" s="52">
        <f>VLOOKUP(H1073,[4]Sheet2!K:N,4,0)</f>
        <v>0</v>
      </c>
      <c r="Y1073" s="53">
        <f t="shared" si="964"/>
        <v>0</v>
      </c>
      <c r="Z1073" s="53">
        <f t="shared" si="965"/>
        <v>0</v>
      </c>
      <c r="AA1073" s="53">
        <f t="shared" si="966"/>
        <v>0</v>
      </c>
    </row>
    <row r="1074" spans="1:27" ht="18.75" customHeight="1" outlineLevel="2" x14ac:dyDescent="0.3">
      <c r="B1074" s="12"/>
      <c r="C1074" s="18"/>
      <c r="D1074" s="24" t="s">
        <v>578</v>
      </c>
      <c r="E1074" s="24"/>
      <c r="F1074" s="24"/>
      <c r="G1074" s="24"/>
      <c r="H1074" s="55"/>
      <c r="I1074" s="55"/>
      <c r="J1074" s="55"/>
      <c r="K1074" s="55"/>
      <c r="L1074" s="26">
        <f>L1075+L1091</f>
        <v>3.0000000000000006E-2</v>
      </c>
      <c r="M1074" s="27">
        <f>M1075+M1091</f>
        <v>1800</v>
      </c>
      <c r="N1074" s="25"/>
      <c r="O1074" s="25"/>
      <c r="P1074" s="25"/>
      <c r="Q1074" s="25"/>
      <c r="R1074" s="25"/>
      <c r="S1074" s="25"/>
      <c r="T1074" s="25"/>
      <c r="U1074" s="25"/>
      <c r="V1074" s="64">
        <f t="shared" ref="V1074:X1074" si="967">(V1075*$L1075+V1091*$L1091)/$L1074</f>
        <v>0</v>
      </c>
      <c r="W1074" s="64">
        <f t="shared" si="967"/>
        <v>0</v>
      </c>
      <c r="X1074" s="64">
        <f t="shared" si="967"/>
        <v>0</v>
      </c>
      <c r="Y1074" s="28">
        <f>(Y1075*$L1075+Y1091*$L1091)/$L1074</f>
        <v>0</v>
      </c>
      <c r="Z1074" s="28">
        <f t="shared" ref="Z1074:AA1074" si="968">(Z1075*$L1075+Z1091*$L1091)/$L1074</f>
        <v>0</v>
      </c>
      <c r="AA1074" s="28">
        <f t="shared" si="968"/>
        <v>0</v>
      </c>
    </row>
    <row r="1075" spans="1:27" ht="18.75" customHeight="1" outlineLevel="3" x14ac:dyDescent="0.3">
      <c r="B1075" s="12"/>
      <c r="C1075" s="18"/>
      <c r="D1075" s="24"/>
      <c r="E1075" s="29" t="s">
        <v>579</v>
      </c>
      <c r="F1075" s="29"/>
      <c r="G1075" s="29"/>
      <c r="H1075" s="56"/>
      <c r="I1075" s="56"/>
      <c r="J1075" s="56"/>
      <c r="K1075" s="56"/>
      <c r="L1075" s="31">
        <f>L1076</f>
        <v>1.5000000000000003E-2</v>
      </c>
      <c r="M1075" s="32">
        <f>M1076</f>
        <v>900</v>
      </c>
      <c r="N1075" s="30"/>
      <c r="O1075" s="30"/>
      <c r="P1075" s="30"/>
      <c r="Q1075" s="30"/>
      <c r="R1075" s="30"/>
      <c r="S1075" s="30"/>
      <c r="T1075" s="30"/>
      <c r="U1075" s="30"/>
      <c r="V1075" s="63">
        <f t="shared" ref="V1075:AA1075" si="969">V1076</f>
        <v>0</v>
      </c>
      <c r="W1075" s="63">
        <f t="shared" si="969"/>
        <v>0</v>
      </c>
      <c r="X1075" s="63">
        <f t="shared" si="969"/>
        <v>0</v>
      </c>
      <c r="Y1075" s="33">
        <f t="shared" si="969"/>
        <v>0</v>
      </c>
      <c r="Z1075" s="33">
        <f t="shared" si="969"/>
        <v>0</v>
      </c>
      <c r="AA1075" s="33">
        <f t="shared" si="969"/>
        <v>0</v>
      </c>
    </row>
    <row r="1076" spans="1:27" ht="18.75" customHeight="1" outlineLevel="4" x14ac:dyDescent="0.3">
      <c r="B1076" s="12"/>
      <c r="C1076" s="18"/>
      <c r="D1076" s="24"/>
      <c r="E1076" s="29"/>
      <c r="F1076" s="34" t="s">
        <v>580</v>
      </c>
      <c r="G1076" s="34"/>
      <c r="H1076" s="57"/>
      <c r="I1076" s="57"/>
      <c r="J1076" s="57"/>
      <c r="K1076" s="57"/>
      <c r="L1076" s="36">
        <f>L1077+L1084</f>
        <v>1.5000000000000003E-2</v>
      </c>
      <c r="M1076" s="37">
        <f>M1077+M1084</f>
        <v>900</v>
      </c>
      <c r="N1076" s="35"/>
      <c r="O1076" s="35"/>
      <c r="P1076" s="35"/>
      <c r="Q1076" s="35"/>
      <c r="R1076" s="35"/>
      <c r="S1076" s="35"/>
      <c r="T1076" s="35"/>
      <c r="U1076" s="35"/>
      <c r="V1076" s="61">
        <f t="shared" ref="V1076:X1076" si="970">(V1077*$L1077+V1084*$L1084)/$L1076</f>
        <v>0</v>
      </c>
      <c r="W1076" s="61">
        <f t="shared" si="970"/>
        <v>0</v>
      </c>
      <c r="X1076" s="61">
        <f t="shared" si="970"/>
        <v>0</v>
      </c>
      <c r="Y1076" s="38">
        <f>(Y1077*$L1077+Y1084*$L1084)/$L1076</f>
        <v>0</v>
      </c>
      <c r="Z1076" s="38">
        <f t="shared" ref="Z1076:AA1076" si="971">(Z1077*$L1077+Z1084*$L1084)/$L1076</f>
        <v>0</v>
      </c>
      <c r="AA1076" s="38">
        <f t="shared" si="971"/>
        <v>0</v>
      </c>
    </row>
    <row r="1077" spans="1:27" ht="18.75" customHeight="1" outlineLevel="5" x14ac:dyDescent="0.3">
      <c r="B1077" s="12"/>
      <c r="C1077" s="18"/>
      <c r="D1077" s="24"/>
      <c r="E1077" s="29"/>
      <c r="F1077" s="34"/>
      <c r="G1077" s="39" t="s">
        <v>581</v>
      </c>
      <c r="H1077" s="58"/>
      <c r="I1077" s="58"/>
      <c r="J1077" s="58"/>
      <c r="K1077" s="58"/>
      <c r="L1077" s="41">
        <f>SUM(L1078:L1083)</f>
        <v>5.000000000000001E-3</v>
      </c>
      <c r="M1077" s="42">
        <v>300</v>
      </c>
      <c r="N1077" s="40"/>
      <c r="O1077" s="40"/>
      <c r="P1077" s="40"/>
      <c r="Q1077" s="40"/>
      <c r="R1077" s="40"/>
      <c r="S1077" s="40"/>
      <c r="T1077" s="40"/>
      <c r="U1077" s="40"/>
      <c r="V1077" s="62">
        <f t="shared" ref="V1077:X1077" si="972">SUMPRODUCT(V1078:V1083,$K1078:$K1083)</f>
        <v>0</v>
      </c>
      <c r="W1077" s="62">
        <f t="shared" si="972"/>
        <v>0</v>
      </c>
      <c r="X1077" s="62">
        <f t="shared" si="972"/>
        <v>0</v>
      </c>
      <c r="Y1077" s="43">
        <f>SUMPRODUCT(Y1078:Y1083,$K1078:$K1083)</f>
        <v>0</v>
      </c>
      <c r="Z1077" s="43">
        <f t="shared" ref="Z1077:AA1077" si="973">SUMPRODUCT(Z1078:Z1083,$K1078:$K1083)</f>
        <v>0</v>
      </c>
      <c r="AA1077" s="43">
        <f t="shared" si="973"/>
        <v>0</v>
      </c>
    </row>
    <row r="1078" spans="1:27" ht="18.75" customHeight="1" outlineLevel="6" x14ac:dyDescent="0.3">
      <c r="B1078" s="44"/>
      <c r="C1078" s="18"/>
      <c r="D1078" s="24"/>
      <c r="E1078" s="29"/>
      <c r="F1078" s="34"/>
      <c r="G1078" s="39"/>
      <c r="H1078" s="46" t="s">
        <v>1047</v>
      </c>
      <c r="I1078" s="46" t="s">
        <v>45</v>
      </c>
      <c r="J1078" s="47" t="s">
        <v>59</v>
      </c>
      <c r="K1078" s="48">
        <v>0.05</v>
      </c>
      <c r="L1078" s="49">
        <f>VLOOKUP(H1078,[4]Sheet2!K:P,6,0)</f>
        <v>2.5000000000000001E-4</v>
      </c>
      <c r="M1078" s="50">
        <f>VLOOKUP(H1078,[4]Sheet2!K:Q,7,0)</f>
        <v>300</v>
      </c>
      <c r="N1078" s="51"/>
      <c r="O1078" s="51"/>
      <c r="P1078" s="51"/>
      <c r="Q1078" s="51"/>
      <c r="R1078" s="51"/>
      <c r="S1078" s="51"/>
      <c r="T1078" s="51"/>
      <c r="U1078" s="51"/>
      <c r="V1078" s="52">
        <f>VLOOKUP(H1078,[4]Sheet2!K:N,4,0)</f>
        <v>0</v>
      </c>
      <c r="W1078" s="52">
        <f t="shared" ref="W1078:W1083" si="974">X1078-V1078</f>
        <v>0</v>
      </c>
      <c r="X1078" s="52">
        <f>VLOOKUP(H1078,[4]Sheet2!K:N,4,0)</f>
        <v>0</v>
      </c>
      <c r="Y1078" s="53">
        <f t="shared" ref="Y1078:Y1083" si="975">IFERROR(V1078/M1078,1)</f>
        <v>0</v>
      </c>
      <c r="Z1078" s="53">
        <f t="shared" ref="Z1078:Z1083" si="976">IFERROR(W1078/M1078,1)</f>
        <v>0</v>
      </c>
      <c r="AA1078" s="53">
        <f t="shared" ref="AA1078:AA1083" si="977">IFERROR(X1078/M1078,1)</f>
        <v>0</v>
      </c>
    </row>
    <row r="1079" spans="1:27" ht="18.75" customHeight="1" outlineLevel="6" x14ac:dyDescent="0.3">
      <c r="A1079" s="1" t="s">
        <v>1048</v>
      </c>
      <c r="B1079" s="44"/>
      <c r="C1079" s="18"/>
      <c r="D1079" s="24"/>
      <c r="E1079" s="29"/>
      <c r="F1079" s="34"/>
      <c r="G1079" s="39"/>
      <c r="H1079" s="46" t="s">
        <v>1049</v>
      </c>
      <c r="I1079" s="46" t="s">
        <v>585</v>
      </c>
      <c r="J1079" s="47" t="s">
        <v>59</v>
      </c>
      <c r="K1079" s="48">
        <v>0.3</v>
      </c>
      <c r="L1079" s="49">
        <v>1.5E-3</v>
      </c>
      <c r="M1079" s="50">
        <f>VLOOKUP(H1079,[4]Sheet2!K:Q,7,0)</f>
        <v>300</v>
      </c>
      <c r="N1079" s="51"/>
      <c r="O1079" s="51"/>
      <c r="P1079" s="51"/>
      <c r="Q1079" s="51"/>
      <c r="R1079" s="51"/>
      <c r="S1079" s="51"/>
      <c r="T1079" s="51"/>
      <c r="U1079" s="51"/>
      <c r="V1079" s="52">
        <f>VLOOKUP(H1079,[4]Sheet2!K:N,4,0)</f>
        <v>0</v>
      </c>
      <c r="W1079" s="52">
        <f t="shared" si="974"/>
        <v>0</v>
      </c>
      <c r="X1079" s="52">
        <f>VLOOKUP(H1079,[4]Sheet2!K:N,4,0)</f>
        <v>0</v>
      </c>
      <c r="Y1079" s="53">
        <f t="shared" si="975"/>
        <v>0</v>
      </c>
      <c r="Z1079" s="53">
        <f t="shared" si="976"/>
        <v>0</v>
      </c>
      <c r="AA1079" s="53">
        <f t="shared" si="977"/>
        <v>0</v>
      </c>
    </row>
    <row r="1080" spans="1:27" ht="18.75" customHeight="1" outlineLevel="6" x14ac:dyDescent="0.3">
      <c r="A1080" s="1" t="s">
        <v>1050</v>
      </c>
      <c r="B1080" s="44"/>
      <c r="C1080" s="18"/>
      <c r="D1080" s="24"/>
      <c r="E1080" s="29"/>
      <c r="F1080" s="34"/>
      <c r="G1080" s="39"/>
      <c r="H1080" s="46" t="s">
        <v>1051</v>
      </c>
      <c r="I1080" s="46" t="s">
        <v>588</v>
      </c>
      <c r="J1080" s="47" t="s">
        <v>59</v>
      </c>
      <c r="K1080" s="48">
        <v>0.35</v>
      </c>
      <c r="L1080" s="49">
        <v>1.75E-3</v>
      </c>
      <c r="M1080" s="50">
        <f>VLOOKUP(H1080,[4]Sheet2!K:Q,7,0)</f>
        <v>300</v>
      </c>
      <c r="N1080" s="51"/>
      <c r="O1080" s="51"/>
      <c r="P1080" s="51"/>
      <c r="Q1080" s="51"/>
      <c r="R1080" s="51"/>
      <c r="S1080" s="51"/>
      <c r="T1080" s="51"/>
      <c r="U1080" s="51"/>
      <c r="V1080" s="52">
        <f>VLOOKUP(H1080,[4]Sheet2!K:N,4,0)</f>
        <v>0</v>
      </c>
      <c r="W1080" s="52">
        <f t="shared" si="974"/>
        <v>0</v>
      </c>
      <c r="X1080" s="52">
        <f>VLOOKUP(H1080,[4]Sheet2!K:N,4,0)</f>
        <v>0</v>
      </c>
      <c r="Y1080" s="53">
        <f t="shared" si="975"/>
        <v>0</v>
      </c>
      <c r="Z1080" s="53">
        <f t="shared" si="976"/>
        <v>0</v>
      </c>
      <c r="AA1080" s="53">
        <f t="shared" si="977"/>
        <v>0</v>
      </c>
    </row>
    <row r="1081" spans="1:27" ht="18.75" customHeight="1" outlineLevel="6" x14ac:dyDescent="0.3">
      <c r="B1081" s="44"/>
      <c r="C1081" s="18"/>
      <c r="D1081" s="24"/>
      <c r="E1081" s="29"/>
      <c r="F1081" s="34"/>
      <c r="G1081" s="39"/>
      <c r="H1081" s="46" t="s">
        <v>1052</v>
      </c>
      <c r="I1081" s="46" t="s">
        <v>590</v>
      </c>
      <c r="J1081" s="47" t="s">
        <v>59</v>
      </c>
      <c r="K1081" s="48">
        <v>0.15</v>
      </c>
      <c r="L1081" s="49">
        <f>VLOOKUP(H1081,[4]Sheet2!K:P,6,0)</f>
        <v>7.5000000000000002E-4</v>
      </c>
      <c r="M1081" s="50">
        <f>VLOOKUP(H1081,[4]Sheet2!K:Q,7,0)</f>
        <v>300</v>
      </c>
      <c r="N1081" s="51"/>
      <c r="O1081" s="51"/>
      <c r="P1081" s="51"/>
      <c r="Q1081" s="51"/>
      <c r="R1081" s="51"/>
      <c r="S1081" s="51"/>
      <c r="T1081" s="51"/>
      <c r="U1081" s="51"/>
      <c r="V1081" s="52">
        <f>VLOOKUP(H1081,[4]Sheet2!K:N,4,0)</f>
        <v>0</v>
      </c>
      <c r="W1081" s="52">
        <f t="shared" si="974"/>
        <v>0</v>
      </c>
      <c r="X1081" s="52">
        <f>VLOOKUP(H1081,[4]Sheet2!K:N,4,0)</f>
        <v>0</v>
      </c>
      <c r="Y1081" s="53">
        <f t="shared" si="975"/>
        <v>0</v>
      </c>
      <c r="Z1081" s="53">
        <f t="shared" si="976"/>
        <v>0</v>
      </c>
      <c r="AA1081" s="53">
        <f t="shared" si="977"/>
        <v>0</v>
      </c>
    </row>
    <row r="1082" spans="1:27" ht="18.75" customHeight="1" outlineLevel="6" x14ac:dyDescent="0.3">
      <c r="B1082" s="44"/>
      <c r="C1082" s="18"/>
      <c r="D1082" s="24"/>
      <c r="E1082" s="29"/>
      <c r="F1082" s="34"/>
      <c r="G1082" s="39"/>
      <c r="H1082" s="46" t="s">
        <v>1053</v>
      </c>
      <c r="I1082" s="46" t="s">
        <v>592</v>
      </c>
      <c r="J1082" s="47" t="s">
        <v>59</v>
      </c>
      <c r="K1082" s="48">
        <v>0.1</v>
      </c>
      <c r="L1082" s="49">
        <v>5.0000000000000001E-4</v>
      </c>
      <c r="M1082" s="50">
        <f>VLOOKUP(H1082,[4]Sheet2!K:Q,7,0)</f>
        <v>300</v>
      </c>
      <c r="N1082" s="51"/>
      <c r="O1082" s="51"/>
      <c r="P1082" s="51"/>
      <c r="Q1082" s="51"/>
      <c r="R1082" s="51"/>
      <c r="S1082" s="51"/>
      <c r="T1082" s="51"/>
      <c r="U1082" s="51"/>
      <c r="V1082" s="52">
        <f>VLOOKUP(H1082,[4]Sheet2!K:N,4,0)</f>
        <v>0</v>
      </c>
      <c r="W1082" s="52">
        <f t="shared" si="974"/>
        <v>0</v>
      </c>
      <c r="X1082" s="52">
        <f>VLOOKUP(H1082,[4]Sheet2!K:N,4,0)</f>
        <v>0</v>
      </c>
      <c r="Y1082" s="53">
        <f t="shared" si="975"/>
        <v>0</v>
      </c>
      <c r="Z1082" s="53">
        <f t="shared" si="976"/>
        <v>0</v>
      </c>
      <c r="AA1082" s="53">
        <f t="shared" si="977"/>
        <v>0</v>
      </c>
    </row>
    <row r="1083" spans="1:27" ht="18.75" customHeight="1" outlineLevel="6" x14ac:dyDescent="0.3">
      <c r="B1083" s="44"/>
      <c r="C1083" s="18"/>
      <c r="D1083" s="24"/>
      <c r="E1083" s="29"/>
      <c r="F1083" s="34"/>
      <c r="G1083" s="39"/>
      <c r="H1083" s="46" t="s">
        <v>1054</v>
      </c>
      <c r="I1083" s="46" t="s">
        <v>56</v>
      </c>
      <c r="J1083" s="47" t="s">
        <v>59</v>
      </c>
      <c r="K1083" s="48">
        <v>0.05</v>
      </c>
      <c r="L1083" s="49">
        <f>VLOOKUP(H1083,[4]Sheet2!K:P,6,0)</f>
        <v>2.5000000000000001E-4</v>
      </c>
      <c r="M1083" s="50">
        <f>VLOOKUP(H1083,[4]Sheet2!K:Q,7,0)</f>
        <v>300</v>
      </c>
      <c r="N1083" s="51"/>
      <c r="O1083" s="51"/>
      <c r="P1083" s="51"/>
      <c r="Q1083" s="51"/>
      <c r="R1083" s="51"/>
      <c r="S1083" s="51"/>
      <c r="T1083" s="51"/>
      <c r="U1083" s="51"/>
      <c r="V1083" s="52">
        <f>VLOOKUP(H1083,[4]Sheet2!K:N,4,0)</f>
        <v>0</v>
      </c>
      <c r="W1083" s="52">
        <f t="shared" si="974"/>
        <v>0</v>
      </c>
      <c r="X1083" s="52">
        <f>VLOOKUP(H1083,[4]Sheet2!K:N,4,0)</f>
        <v>0</v>
      </c>
      <c r="Y1083" s="53">
        <f t="shared" si="975"/>
        <v>0</v>
      </c>
      <c r="Z1083" s="53">
        <f t="shared" si="976"/>
        <v>0</v>
      </c>
      <c r="AA1083" s="53">
        <f t="shared" si="977"/>
        <v>0</v>
      </c>
    </row>
    <row r="1084" spans="1:27" ht="18.75" customHeight="1" outlineLevel="5" x14ac:dyDescent="0.3">
      <c r="B1084" s="12"/>
      <c r="C1084" s="18"/>
      <c r="D1084" s="24"/>
      <c r="E1084" s="29"/>
      <c r="F1084" s="34"/>
      <c r="G1084" s="39" t="s">
        <v>594</v>
      </c>
      <c r="H1084" s="58"/>
      <c r="I1084" s="58"/>
      <c r="J1084" s="58"/>
      <c r="K1084" s="58"/>
      <c r="L1084" s="41">
        <f>SUM(L1085:L1090)</f>
        <v>1.0000000000000002E-2</v>
      </c>
      <c r="M1084" s="42">
        <v>600</v>
      </c>
      <c r="N1084" s="40"/>
      <c r="O1084" s="40"/>
      <c r="P1084" s="40"/>
      <c r="Q1084" s="40"/>
      <c r="R1084" s="40"/>
      <c r="S1084" s="40"/>
      <c r="T1084" s="40"/>
      <c r="U1084" s="40"/>
      <c r="V1084" s="62">
        <f t="shared" ref="V1084:X1084" si="978">SUMPRODUCT(V1085:V1090,$K1085:$K1090)</f>
        <v>0</v>
      </c>
      <c r="W1084" s="62">
        <f t="shared" si="978"/>
        <v>0</v>
      </c>
      <c r="X1084" s="62">
        <f t="shared" si="978"/>
        <v>0</v>
      </c>
      <c r="Y1084" s="43">
        <f>SUMPRODUCT(Y1085:Y1090,$K1085:$K1090)</f>
        <v>0</v>
      </c>
      <c r="Z1084" s="43">
        <f t="shared" ref="Z1084:AA1084" si="979">SUMPRODUCT(Z1085:Z1090,$K1085:$K1090)</f>
        <v>0</v>
      </c>
      <c r="AA1084" s="43">
        <f t="shared" si="979"/>
        <v>0</v>
      </c>
    </row>
    <row r="1085" spans="1:27" ht="18.75" customHeight="1" outlineLevel="6" x14ac:dyDescent="0.3">
      <c r="B1085" s="44"/>
      <c r="C1085" s="18"/>
      <c r="D1085" s="24"/>
      <c r="E1085" s="29"/>
      <c r="F1085" s="34"/>
      <c r="G1085" s="39"/>
      <c r="H1085" s="46" t="s">
        <v>1055</v>
      </c>
      <c r="I1085" s="46" t="s">
        <v>45</v>
      </c>
      <c r="J1085" s="47" t="s">
        <v>59</v>
      </c>
      <c r="K1085" s="48">
        <v>0.05</v>
      </c>
      <c r="L1085" s="49">
        <v>5.0000000000000001E-4</v>
      </c>
      <c r="M1085" s="50">
        <f>VLOOKUP(H1085,[4]Sheet2!K:Q,7,0)</f>
        <v>600</v>
      </c>
      <c r="N1085" s="51"/>
      <c r="O1085" s="51"/>
      <c r="P1085" s="51"/>
      <c r="Q1085" s="51"/>
      <c r="R1085" s="51"/>
      <c r="S1085" s="51"/>
      <c r="T1085" s="51"/>
      <c r="U1085" s="51"/>
      <c r="V1085" s="52">
        <f>VLOOKUP(H1085,[4]Sheet2!K:N,4,0)</f>
        <v>0</v>
      </c>
      <c r="W1085" s="52">
        <f t="shared" ref="W1085:W1090" si="980">X1085-V1085</f>
        <v>0</v>
      </c>
      <c r="X1085" s="52">
        <f>VLOOKUP(H1085,[4]Sheet2!K:N,4,0)</f>
        <v>0</v>
      </c>
      <c r="Y1085" s="53">
        <f t="shared" ref="Y1085:Y1090" si="981">IFERROR(V1085/M1085,1)</f>
        <v>0</v>
      </c>
      <c r="Z1085" s="53">
        <f t="shared" ref="Z1085:Z1090" si="982">IFERROR(W1085/M1085,1)</f>
        <v>0</v>
      </c>
      <c r="AA1085" s="53">
        <f t="shared" ref="AA1085:AA1090" si="983">IFERROR(X1085/M1085,1)</f>
        <v>0</v>
      </c>
    </row>
    <row r="1086" spans="1:27" ht="18.75" customHeight="1" outlineLevel="6" x14ac:dyDescent="0.3">
      <c r="A1086" s="1" t="s">
        <v>1048</v>
      </c>
      <c r="B1086" s="44"/>
      <c r="C1086" s="18"/>
      <c r="D1086" s="24"/>
      <c r="E1086" s="29"/>
      <c r="F1086" s="34"/>
      <c r="G1086" s="39"/>
      <c r="H1086" s="46" t="s">
        <v>1056</v>
      </c>
      <c r="I1086" s="46" t="s">
        <v>585</v>
      </c>
      <c r="J1086" s="47" t="s">
        <v>59</v>
      </c>
      <c r="K1086" s="48">
        <v>0.3</v>
      </c>
      <c r="L1086" s="49">
        <v>3.0000000000000001E-3</v>
      </c>
      <c r="M1086" s="50">
        <f>VLOOKUP(H1086,[4]Sheet2!K:Q,7,0)</f>
        <v>600</v>
      </c>
      <c r="N1086" s="51"/>
      <c r="O1086" s="51"/>
      <c r="P1086" s="51"/>
      <c r="Q1086" s="51"/>
      <c r="R1086" s="51"/>
      <c r="S1086" s="51"/>
      <c r="T1086" s="51"/>
      <c r="U1086" s="51"/>
      <c r="V1086" s="52">
        <f>VLOOKUP(H1086,[4]Sheet2!K:N,4,0)</f>
        <v>0</v>
      </c>
      <c r="W1086" s="52">
        <f t="shared" si="980"/>
        <v>0</v>
      </c>
      <c r="X1086" s="52">
        <f>VLOOKUP(H1086,[4]Sheet2!K:N,4,0)</f>
        <v>0</v>
      </c>
      <c r="Y1086" s="53">
        <f t="shared" si="981"/>
        <v>0</v>
      </c>
      <c r="Z1086" s="53">
        <f t="shared" si="982"/>
        <v>0</v>
      </c>
      <c r="AA1086" s="53">
        <f t="shared" si="983"/>
        <v>0</v>
      </c>
    </row>
    <row r="1087" spans="1:27" ht="18.75" customHeight="1" outlineLevel="6" x14ac:dyDescent="0.3">
      <c r="A1087" s="1" t="s">
        <v>1050</v>
      </c>
      <c r="B1087" s="44"/>
      <c r="C1087" s="18"/>
      <c r="D1087" s="24"/>
      <c r="E1087" s="29"/>
      <c r="F1087" s="34"/>
      <c r="G1087" s="39"/>
      <c r="H1087" s="46" t="s">
        <v>1057</v>
      </c>
      <c r="I1087" s="46" t="s">
        <v>588</v>
      </c>
      <c r="J1087" s="47" t="s">
        <v>59</v>
      </c>
      <c r="K1087" s="48">
        <v>0.35</v>
      </c>
      <c r="L1087" s="49">
        <v>3.5000000000000001E-3</v>
      </c>
      <c r="M1087" s="50">
        <f>VLOOKUP(H1087,[4]Sheet2!K:Q,7,0)</f>
        <v>600</v>
      </c>
      <c r="N1087" s="51"/>
      <c r="O1087" s="51"/>
      <c r="P1087" s="51"/>
      <c r="Q1087" s="51"/>
      <c r="R1087" s="51"/>
      <c r="S1087" s="51"/>
      <c r="T1087" s="51"/>
      <c r="U1087" s="51"/>
      <c r="V1087" s="52">
        <f>VLOOKUP(H1087,[4]Sheet2!K:N,4,0)</f>
        <v>0</v>
      </c>
      <c r="W1087" s="52">
        <f t="shared" si="980"/>
        <v>0</v>
      </c>
      <c r="X1087" s="52">
        <f>VLOOKUP(H1087,[4]Sheet2!K:N,4,0)</f>
        <v>0</v>
      </c>
      <c r="Y1087" s="53">
        <f t="shared" si="981"/>
        <v>0</v>
      </c>
      <c r="Z1087" s="53">
        <f t="shared" si="982"/>
        <v>0</v>
      </c>
      <c r="AA1087" s="53">
        <f t="shared" si="983"/>
        <v>0</v>
      </c>
    </row>
    <row r="1088" spans="1:27" ht="18.75" customHeight="1" outlineLevel="6" x14ac:dyDescent="0.3">
      <c r="B1088" s="44"/>
      <c r="C1088" s="18"/>
      <c r="D1088" s="24"/>
      <c r="E1088" s="29"/>
      <c r="F1088" s="34"/>
      <c r="G1088" s="39"/>
      <c r="H1088" s="46" t="s">
        <v>1058</v>
      </c>
      <c r="I1088" s="46" t="s">
        <v>590</v>
      </c>
      <c r="J1088" s="47" t="s">
        <v>59</v>
      </c>
      <c r="K1088" s="48">
        <v>0.15</v>
      </c>
      <c r="L1088" s="49">
        <v>1.5E-3</v>
      </c>
      <c r="M1088" s="50">
        <f>VLOOKUP(H1088,[4]Sheet2!K:Q,7,0)</f>
        <v>600</v>
      </c>
      <c r="N1088" s="51"/>
      <c r="O1088" s="51"/>
      <c r="P1088" s="51"/>
      <c r="Q1088" s="51"/>
      <c r="R1088" s="51"/>
      <c r="S1088" s="51"/>
      <c r="T1088" s="51"/>
      <c r="U1088" s="51"/>
      <c r="V1088" s="52">
        <f>VLOOKUP(H1088,[4]Sheet2!K:N,4,0)</f>
        <v>0</v>
      </c>
      <c r="W1088" s="52">
        <f t="shared" si="980"/>
        <v>0</v>
      </c>
      <c r="X1088" s="52">
        <f>VLOOKUP(H1088,[4]Sheet2!K:N,4,0)</f>
        <v>0</v>
      </c>
      <c r="Y1088" s="53">
        <f t="shared" si="981"/>
        <v>0</v>
      </c>
      <c r="Z1088" s="53">
        <f t="shared" si="982"/>
        <v>0</v>
      </c>
      <c r="AA1088" s="53">
        <f t="shared" si="983"/>
        <v>0</v>
      </c>
    </row>
    <row r="1089" spans="1:27" ht="18.75" customHeight="1" outlineLevel="6" x14ac:dyDescent="0.3">
      <c r="B1089" s="44"/>
      <c r="C1089" s="18"/>
      <c r="D1089" s="24"/>
      <c r="E1089" s="29"/>
      <c r="F1089" s="34"/>
      <c r="G1089" s="39"/>
      <c r="H1089" s="46" t="s">
        <v>1059</v>
      </c>
      <c r="I1089" s="46" t="s">
        <v>592</v>
      </c>
      <c r="J1089" s="47" t="s">
        <v>59</v>
      </c>
      <c r="K1089" s="48">
        <v>0.1</v>
      </c>
      <c r="L1089" s="49">
        <v>1E-3</v>
      </c>
      <c r="M1089" s="50">
        <f>VLOOKUP(H1089,[4]Sheet2!K:Q,7,0)</f>
        <v>600</v>
      </c>
      <c r="N1089" s="51"/>
      <c r="O1089" s="51"/>
      <c r="P1089" s="51"/>
      <c r="Q1089" s="51"/>
      <c r="R1089" s="51"/>
      <c r="S1089" s="51"/>
      <c r="T1089" s="51"/>
      <c r="U1089" s="51"/>
      <c r="V1089" s="52">
        <f>VLOOKUP(H1089,[4]Sheet2!K:N,4,0)</f>
        <v>0</v>
      </c>
      <c r="W1089" s="52">
        <f t="shared" si="980"/>
        <v>0</v>
      </c>
      <c r="X1089" s="52">
        <f>VLOOKUP(H1089,[4]Sheet2!K:N,4,0)</f>
        <v>0</v>
      </c>
      <c r="Y1089" s="53">
        <f t="shared" si="981"/>
        <v>0</v>
      </c>
      <c r="Z1089" s="53">
        <f t="shared" si="982"/>
        <v>0</v>
      </c>
      <c r="AA1089" s="53">
        <f t="shared" si="983"/>
        <v>0</v>
      </c>
    </row>
    <row r="1090" spans="1:27" ht="18.75" customHeight="1" outlineLevel="6" x14ac:dyDescent="0.3">
      <c r="B1090" s="44"/>
      <c r="C1090" s="18"/>
      <c r="D1090" s="24"/>
      <c r="E1090" s="29"/>
      <c r="F1090" s="34"/>
      <c r="G1090" s="39"/>
      <c r="H1090" s="46" t="s">
        <v>1060</v>
      </c>
      <c r="I1090" s="46" t="s">
        <v>56</v>
      </c>
      <c r="J1090" s="47" t="s">
        <v>59</v>
      </c>
      <c r="K1090" s="48">
        <v>0.05</v>
      </c>
      <c r="L1090" s="49">
        <v>5.0000000000000001E-4</v>
      </c>
      <c r="M1090" s="50">
        <f>VLOOKUP(H1090,[4]Sheet2!K:Q,7,0)</f>
        <v>600</v>
      </c>
      <c r="N1090" s="51"/>
      <c r="O1090" s="51"/>
      <c r="P1090" s="51"/>
      <c r="Q1090" s="51"/>
      <c r="R1090" s="51"/>
      <c r="S1090" s="51"/>
      <c r="T1090" s="51"/>
      <c r="U1090" s="51"/>
      <c r="V1090" s="52">
        <f>VLOOKUP(H1090,[4]Sheet2!K:N,4,0)</f>
        <v>0</v>
      </c>
      <c r="W1090" s="52">
        <f t="shared" si="980"/>
        <v>0</v>
      </c>
      <c r="X1090" s="52">
        <f>VLOOKUP(H1090,[4]Sheet2!K:N,4,0)</f>
        <v>0</v>
      </c>
      <c r="Y1090" s="53">
        <f t="shared" si="981"/>
        <v>0</v>
      </c>
      <c r="Z1090" s="53">
        <f t="shared" si="982"/>
        <v>0</v>
      </c>
      <c r="AA1090" s="53">
        <f t="shared" si="983"/>
        <v>0</v>
      </c>
    </row>
    <row r="1091" spans="1:27" ht="18.75" customHeight="1" outlineLevel="3" x14ac:dyDescent="0.3">
      <c r="B1091" s="12"/>
      <c r="C1091" s="18"/>
      <c r="D1091" s="24"/>
      <c r="E1091" s="29" t="s">
        <v>601</v>
      </c>
      <c r="F1091" s="29"/>
      <c r="G1091" s="29"/>
      <c r="H1091" s="56"/>
      <c r="I1091" s="56"/>
      <c r="J1091" s="56"/>
      <c r="K1091" s="56"/>
      <c r="L1091" s="31">
        <f>L1092</f>
        <v>1.5000000000000003E-2</v>
      </c>
      <c r="M1091" s="32">
        <f>M1092</f>
        <v>900</v>
      </c>
      <c r="N1091" s="30"/>
      <c r="O1091" s="30"/>
      <c r="P1091" s="30"/>
      <c r="Q1091" s="30"/>
      <c r="R1091" s="30"/>
      <c r="S1091" s="30"/>
      <c r="T1091" s="30"/>
      <c r="U1091" s="30"/>
      <c r="V1091" s="63">
        <f t="shared" ref="V1091:AA1091" si="984">V1092</f>
        <v>0</v>
      </c>
      <c r="W1091" s="63">
        <f t="shared" si="984"/>
        <v>0</v>
      </c>
      <c r="X1091" s="63">
        <f t="shared" si="984"/>
        <v>0</v>
      </c>
      <c r="Y1091" s="33">
        <f t="shared" si="984"/>
        <v>0</v>
      </c>
      <c r="Z1091" s="33">
        <f t="shared" si="984"/>
        <v>0</v>
      </c>
      <c r="AA1091" s="33">
        <f t="shared" si="984"/>
        <v>0</v>
      </c>
    </row>
    <row r="1092" spans="1:27" ht="18.75" customHeight="1" outlineLevel="4" x14ac:dyDescent="0.3">
      <c r="B1092" s="12"/>
      <c r="C1092" s="18"/>
      <c r="D1092" s="24"/>
      <c r="E1092" s="29"/>
      <c r="F1092" s="34" t="s">
        <v>602</v>
      </c>
      <c r="G1092" s="34"/>
      <c r="H1092" s="57"/>
      <c r="I1092" s="57"/>
      <c r="J1092" s="57"/>
      <c r="K1092" s="57"/>
      <c r="L1092" s="36">
        <f>L1093+L1100</f>
        <v>1.5000000000000003E-2</v>
      </c>
      <c r="M1092" s="37">
        <f>M1093+M1100</f>
        <v>900</v>
      </c>
      <c r="N1092" s="35"/>
      <c r="O1092" s="35"/>
      <c r="P1092" s="35"/>
      <c r="Q1092" s="35"/>
      <c r="R1092" s="35"/>
      <c r="S1092" s="35"/>
      <c r="T1092" s="35"/>
      <c r="U1092" s="35"/>
      <c r="V1092" s="61">
        <f t="shared" ref="V1092:X1092" si="985">(V1093*$L1093+V1100*$L1100)/$L1092</f>
        <v>0</v>
      </c>
      <c r="W1092" s="61">
        <f t="shared" si="985"/>
        <v>0</v>
      </c>
      <c r="X1092" s="61">
        <f t="shared" si="985"/>
        <v>0</v>
      </c>
      <c r="Y1092" s="38">
        <f>(Y1093*$L1093+Y1100*$L1100)/$L1092</f>
        <v>0</v>
      </c>
      <c r="Z1092" s="38">
        <f t="shared" ref="Z1092:AA1092" si="986">(Z1093*$L1093+Z1100*$L1100)/$L1092</f>
        <v>0</v>
      </c>
      <c r="AA1092" s="38">
        <f t="shared" si="986"/>
        <v>0</v>
      </c>
    </row>
    <row r="1093" spans="1:27" ht="18.75" customHeight="1" outlineLevel="5" x14ac:dyDescent="0.3">
      <c r="B1093" s="12"/>
      <c r="C1093" s="18"/>
      <c r="D1093" s="24"/>
      <c r="E1093" s="29"/>
      <c r="F1093" s="34"/>
      <c r="G1093" s="39" t="s">
        <v>581</v>
      </c>
      <c r="H1093" s="58"/>
      <c r="I1093" s="58"/>
      <c r="J1093" s="58"/>
      <c r="K1093" s="58"/>
      <c r="L1093" s="41">
        <f>SUM(L1094:L1099)</f>
        <v>5.000000000000001E-3</v>
      </c>
      <c r="M1093" s="42">
        <v>300</v>
      </c>
      <c r="N1093" s="40"/>
      <c r="O1093" s="40"/>
      <c r="P1093" s="40"/>
      <c r="Q1093" s="40"/>
      <c r="R1093" s="40"/>
      <c r="S1093" s="40"/>
      <c r="T1093" s="40"/>
      <c r="U1093" s="40"/>
      <c r="V1093" s="62">
        <f t="shared" ref="V1093:X1093" si="987">SUMPRODUCT(V1094:V1099,$K1094:$K1099)</f>
        <v>0</v>
      </c>
      <c r="W1093" s="62">
        <f t="shared" si="987"/>
        <v>0</v>
      </c>
      <c r="X1093" s="62">
        <f t="shared" si="987"/>
        <v>0</v>
      </c>
      <c r="Y1093" s="43">
        <f>SUMPRODUCT(Y1094:Y1099,$K1094:$K1099)</f>
        <v>0</v>
      </c>
      <c r="Z1093" s="43">
        <f t="shared" ref="Z1093:AA1093" si="988">SUMPRODUCT(Z1094:Z1099,$K1094:$K1099)</f>
        <v>0</v>
      </c>
      <c r="AA1093" s="43">
        <f t="shared" si="988"/>
        <v>0</v>
      </c>
    </row>
    <row r="1094" spans="1:27" ht="18.75" customHeight="1" outlineLevel="6" x14ac:dyDescent="0.3">
      <c r="B1094" s="44"/>
      <c r="C1094" s="18"/>
      <c r="D1094" s="24"/>
      <c r="E1094" s="29"/>
      <c r="F1094" s="34"/>
      <c r="G1094" s="39"/>
      <c r="H1094" s="46" t="s">
        <v>1061</v>
      </c>
      <c r="I1094" s="46" t="s">
        <v>45</v>
      </c>
      <c r="J1094" s="47" t="s">
        <v>59</v>
      </c>
      <c r="K1094" s="48">
        <v>0.05</v>
      </c>
      <c r="L1094" s="49">
        <v>2.5000000000000001E-4</v>
      </c>
      <c r="M1094" s="50">
        <f>VLOOKUP(H1094,[4]Sheet2!K:Q,7,0)</f>
        <v>300</v>
      </c>
      <c r="N1094" s="51"/>
      <c r="O1094" s="51"/>
      <c r="P1094" s="51"/>
      <c r="Q1094" s="51"/>
      <c r="R1094" s="51"/>
      <c r="S1094" s="51"/>
      <c r="T1094" s="51"/>
      <c r="U1094" s="51"/>
      <c r="V1094" s="52">
        <f>VLOOKUP(H1094,[4]Sheet2!K:N,4,0)</f>
        <v>0</v>
      </c>
      <c r="W1094" s="52">
        <f t="shared" ref="W1094:W1099" si="989">X1094-V1094</f>
        <v>0</v>
      </c>
      <c r="X1094" s="52">
        <f>VLOOKUP(H1094,[4]Sheet2!K:N,4,0)</f>
        <v>0</v>
      </c>
      <c r="Y1094" s="53">
        <f t="shared" ref="Y1094:Y1099" si="990">IFERROR(V1094/M1094,1)</f>
        <v>0</v>
      </c>
      <c r="Z1094" s="53">
        <f t="shared" ref="Z1094:Z1099" si="991">IFERROR(W1094/M1094,1)</f>
        <v>0</v>
      </c>
      <c r="AA1094" s="53">
        <f t="shared" ref="AA1094:AA1099" si="992">IFERROR(X1094/M1094,1)</f>
        <v>0</v>
      </c>
    </row>
    <row r="1095" spans="1:27" ht="18.75" customHeight="1" outlineLevel="6" x14ac:dyDescent="0.3">
      <c r="A1095" s="1" t="s">
        <v>1048</v>
      </c>
      <c r="B1095" s="44"/>
      <c r="C1095" s="18"/>
      <c r="D1095" s="24"/>
      <c r="E1095" s="29"/>
      <c r="F1095" s="34"/>
      <c r="G1095" s="39"/>
      <c r="H1095" s="46" t="s">
        <v>1062</v>
      </c>
      <c r="I1095" s="46" t="s">
        <v>585</v>
      </c>
      <c r="J1095" s="47" t="s">
        <v>59</v>
      </c>
      <c r="K1095" s="48">
        <v>0.3</v>
      </c>
      <c r="L1095" s="49">
        <v>1.5E-3</v>
      </c>
      <c r="M1095" s="50">
        <f>VLOOKUP(H1095,[4]Sheet2!K:Q,7,0)</f>
        <v>300</v>
      </c>
      <c r="N1095" s="51"/>
      <c r="O1095" s="51"/>
      <c r="P1095" s="51"/>
      <c r="Q1095" s="51"/>
      <c r="R1095" s="51"/>
      <c r="S1095" s="51"/>
      <c r="T1095" s="51"/>
      <c r="U1095" s="51"/>
      <c r="V1095" s="52">
        <f>VLOOKUP(H1095,[4]Sheet2!K:N,4,0)</f>
        <v>0</v>
      </c>
      <c r="W1095" s="52">
        <f t="shared" si="989"/>
        <v>0</v>
      </c>
      <c r="X1095" s="52">
        <f>VLOOKUP(H1095,[4]Sheet2!K:N,4,0)</f>
        <v>0</v>
      </c>
      <c r="Y1095" s="53">
        <f t="shared" si="990"/>
        <v>0</v>
      </c>
      <c r="Z1095" s="53">
        <f t="shared" si="991"/>
        <v>0</v>
      </c>
      <c r="AA1095" s="53">
        <f t="shared" si="992"/>
        <v>0</v>
      </c>
    </row>
    <row r="1096" spans="1:27" ht="18.75" customHeight="1" outlineLevel="6" x14ac:dyDescent="0.3">
      <c r="A1096" s="1" t="s">
        <v>1050</v>
      </c>
      <c r="B1096" s="44"/>
      <c r="C1096" s="18"/>
      <c r="D1096" s="24"/>
      <c r="E1096" s="29"/>
      <c r="F1096" s="34"/>
      <c r="G1096" s="39"/>
      <c r="H1096" s="46" t="s">
        <v>1063</v>
      </c>
      <c r="I1096" s="46" t="s">
        <v>588</v>
      </c>
      <c r="J1096" s="47" t="s">
        <v>59</v>
      </c>
      <c r="K1096" s="48">
        <v>0.35</v>
      </c>
      <c r="L1096" s="49">
        <v>1.75E-3</v>
      </c>
      <c r="M1096" s="50">
        <f>VLOOKUP(H1096,[4]Sheet2!K:Q,7,0)</f>
        <v>300</v>
      </c>
      <c r="N1096" s="51"/>
      <c r="O1096" s="51"/>
      <c r="P1096" s="51"/>
      <c r="Q1096" s="51"/>
      <c r="R1096" s="51"/>
      <c r="S1096" s="51"/>
      <c r="T1096" s="51"/>
      <c r="U1096" s="51"/>
      <c r="V1096" s="52">
        <f>VLOOKUP(H1096,[4]Sheet2!K:N,4,0)</f>
        <v>0</v>
      </c>
      <c r="W1096" s="52">
        <f t="shared" si="989"/>
        <v>0</v>
      </c>
      <c r="X1096" s="52">
        <f>VLOOKUP(H1096,[4]Sheet2!K:N,4,0)</f>
        <v>0</v>
      </c>
      <c r="Y1096" s="53">
        <f t="shared" si="990"/>
        <v>0</v>
      </c>
      <c r="Z1096" s="53">
        <f t="shared" si="991"/>
        <v>0</v>
      </c>
      <c r="AA1096" s="53">
        <f t="shared" si="992"/>
        <v>0</v>
      </c>
    </row>
    <row r="1097" spans="1:27" ht="18.75" customHeight="1" outlineLevel="6" x14ac:dyDescent="0.3">
      <c r="B1097" s="44"/>
      <c r="C1097" s="18"/>
      <c r="D1097" s="24"/>
      <c r="E1097" s="29"/>
      <c r="F1097" s="34"/>
      <c r="G1097" s="39"/>
      <c r="H1097" s="46" t="s">
        <v>1064</v>
      </c>
      <c r="I1097" s="46" t="s">
        <v>590</v>
      </c>
      <c r="J1097" s="47" t="s">
        <v>59</v>
      </c>
      <c r="K1097" s="48">
        <v>0.15</v>
      </c>
      <c r="L1097" s="49">
        <v>7.5000000000000002E-4</v>
      </c>
      <c r="M1097" s="50">
        <f>VLOOKUP(H1097,[4]Sheet2!K:Q,7,0)</f>
        <v>300</v>
      </c>
      <c r="N1097" s="51"/>
      <c r="O1097" s="51"/>
      <c r="P1097" s="51"/>
      <c r="Q1097" s="51"/>
      <c r="R1097" s="51"/>
      <c r="S1097" s="51"/>
      <c r="T1097" s="51"/>
      <c r="U1097" s="51"/>
      <c r="V1097" s="52">
        <f>VLOOKUP(H1097,[4]Sheet2!K:N,4,0)</f>
        <v>0</v>
      </c>
      <c r="W1097" s="52">
        <f t="shared" si="989"/>
        <v>0</v>
      </c>
      <c r="X1097" s="52">
        <f>VLOOKUP(H1097,[4]Sheet2!K:N,4,0)</f>
        <v>0</v>
      </c>
      <c r="Y1097" s="53">
        <f t="shared" si="990"/>
        <v>0</v>
      </c>
      <c r="Z1097" s="53">
        <f t="shared" si="991"/>
        <v>0</v>
      </c>
      <c r="AA1097" s="53">
        <f t="shared" si="992"/>
        <v>0</v>
      </c>
    </row>
    <row r="1098" spans="1:27" ht="18.75" customHeight="1" outlineLevel="6" x14ac:dyDescent="0.3">
      <c r="B1098" s="44"/>
      <c r="C1098" s="18"/>
      <c r="D1098" s="24"/>
      <c r="E1098" s="29"/>
      <c r="F1098" s="34"/>
      <c r="G1098" s="39"/>
      <c r="H1098" s="46" t="s">
        <v>1065</v>
      </c>
      <c r="I1098" s="46" t="s">
        <v>592</v>
      </c>
      <c r="J1098" s="47" t="s">
        <v>59</v>
      </c>
      <c r="K1098" s="48">
        <v>0.1</v>
      </c>
      <c r="L1098" s="49">
        <v>5.0000000000000001E-4</v>
      </c>
      <c r="M1098" s="50">
        <f>VLOOKUP(H1098,[4]Sheet2!K:Q,7,0)</f>
        <v>300</v>
      </c>
      <c r="N1098" s="51"/>
      <c r="O1098" s="51"/>
      <c r="P1098" s="51"/>
      <c r="Q1098" s="51"/>
      <c r="R1098" s="51"/>
      <c r="S1098" s="51"/>
      <c r="T1098" s="51"/>
      <c r="U1098" s="51"/>
      <c r="V1098" s="52">
        <f>VLOOKUP(H1098,[4]Sheet2!K:N,4,0)</f>
        <v>0</v>
      </c>
      <c r="W1098" s="52">
        <f t="shared" si="989"/>
        <v>0</v>
      </c>
      <c r="X1098" s="52">
        <f>VLOOKUP(H1098,[4]Sheet2!K:N,4,0)</f>
        <v>0</v>
      </c>
      <c r="Y1098" s="53">
        <f t="shared" si="990"/>
        <v>0</v>
      </c>
      <c r="Z1098" s="53">
        <f t="shared" si="991"/>
        <v>0</v>
      </c>
      <c r="AA1098" s="53">
        <f t="shared" si="992"/>
        <v>0</v>
      </c>
    </row>
    <row r="1099" spans="1:27" ht="18.75" customHeight="1" outlineLevel="6" x14ac:dyDescent="0.3">
      <c r="B1099" s="44"/>
      <c r="C1099" s="18"/>
      <c r="D1099" s="24"/>
      <c r="E1099" s="29"/>
      <c r="F1099" s="34"/>
      <c r="G1099" s="39"/>
      <c r="H1099" s="46" t="s">
        <v>1066</v>
      </c>
      <c r="I1099" s="46" t="s">
        <v>56</v>
      </c>
      <c r="J1099" s="47" t="s">
        <v>59</v>
      </c>
      <c r="K1099" s="48">
        <v>0.05</v>
      </c>
      <c r="L1099" s="49">
        <v>2.5000000000000001E-4</v>
      </c>
      <c r="M1099" s="50">
        <f>VLOOKUP(H1099,[4]Sheet2!K:Q,7,0)</f>
        <v>300</v>
      </c>
      <c r="N1099" s="51"/>
      <c r="O1099" s="51"/>
      <c r="P1099" s="51"/>
      <c r="Q1099" s="51"/>
      <c r="R1099" s="51"/>
      <c r="S1099" s="51"/>
      <c r="T1099" s="51"/>
      <c r="U1099" s="51"/>
      <c r="V1099" s="52">
        <f>VLOOKUP(H1099,[4]Sheet2!K:N,4,0)</f>
        <v>0</v>
      </c>
      <c r="W1099" s="52">
        <f t="shared" si="989"/>
        <v>0</v>
      </c>
      <c r="X1099" s="52">
        <f>VLOOKUP(H1099,[4]Sheet2!K:N,4,0)</f>
        <v>0</v>
      </c>
      <c r="Y1099" s="53">
        <f t="shared" si="990"/>
        <v>0</v>
      </c>
      <c r="Z1099" s="53">
        <f t="shared" si="991"/>
        <v>0</v>
      </c>
      <c r="AA1099" s="53">
        <f t="shared" si="992"/>
        <v>0</v>
      </c>
    </row>
    <row r="1100" spans="1:27" ht="18.75" customHeight="1" outlineLevel="5" x14ac:dyDescent="0.3">
      <c r="B1100" s="12"/>
      <c r="C1100" s="18"/>
      <c r="D1100" s="24"/>
      <c r="E1100" s="29"/>
      <c r="F1100" s="34"/>
      <c r="G1100" s="39" t="s">
        <v>594</v>
      </c>
      <c r="H1100" s="58"/>
      <c r="I1100" s="58"/>
      <c r="J1100" s="58"/>
      <c r="K1100" s="58"/>
      <c r="L1100" s="41">
        <f>SUM(L1101:L1106)</f>
        <v>1.0000000000000002E-2</v>
      </c>
      <c r="M1100" s="42">
        <v>600</v>
      </c>
      <c r="N1100" s="40"/>
      <c r="O1100" s="40"/>
      <c r="P1100" s="40"/>
      <c r="Q1100" s="40"/>
      <c r="R1100" s="40"/>
      <c r="S1100" s="40"/>
      <c r="T1100" s="40"/>
      <c r="U1100" s="40"/>
      <c r="V1100" s="62">
        <f t="shared" ref="V1100:X1100" si="993">SUMPRODUCT(V1101:V1106,$K1101:$K1106)</f>
        <v>0</v>
      </c>
      <c r="W1100" s="62">
        <f t="shared" si="993"/>
        <v>0</v>
      </c>
      <c r="X1100" s="62">
        <f t="shared" si="993"/>
        <v>0</v>
      </c>
      <c r="Y1100" s="43">
        <f>SUMPRODUCT(Y1101:Y1106,$K1101:$K1106)</f>
        <v>0</v>
      </c>
      <c r="Z1100" s="43">
        <f t="shared" ref="Z1100:AA1100" si="994">SUMPRODUCT(Z1101:Z1106,$K1101:$K1106)</f>
        <v>0</v>
      </c>
      <c r="AA1100" s="43">
        <f t="shared" si="994"/>
        <v>0</v>
      </c>
    </row>
    <row r="1101" spans="1:27" ht="18.75" customHeight="1" outlineLevel="6" x14ac:dyDescent="0.3">
      <c r="B1101" s="44"/>
      <c r="C1101" s="18"/>
      <c r="D1101" s="24"/>
      <c r="E1101" s="29"/>
      <c r="F1101" s="34"/>
      <c r="G1101" s="39"/>
      <c r="H1101" s="46" t="s">
        <v>1067</v>
      </c>
      <c r="I1101" s="46" t="s">
        <v>45</v>
      </c>
      <c r="J1101" s="47" t="s">
        <v>59</v>
      </c>
      <c r="K1101" s="48">
        <v>0.05</v>
      </c>
      <c r="L1101" s="49">
        <v>5.0000000000000001E-4</v>
      </c>
      <c r="M1101" s="50">
        <f>VLOOKUP(H1101,[4]Sheet2!K:Q,7,0)</f>
        <v>600</v>
      </c>
      <c r="N1101" s="51"/>
      <c r="O1101" s="51"/>
      <c r="P1101" s="51"/>
      <c r="Q1101" s="51"/>
      <c r="R1101" s="51"/>
      <c r="S1101" s="51"/>
      <c r="T1101" s="51"/>
      <c r="U1101" s="51"/>
      <c r="V1101" s="52">
        <f>VLOOKUP(H1101,[4]Sheet2!K:N,4,0)</f>
        <v>0</v>
      </c>
      <c r="W1101" s="52">
        <f t="shared" ref="W1101:W1106" si="995">X1101-V1101</f>
        <v>0</v>
      </c>
      <c r="X1101" s="52">
        <f>VLOOKUP(H1101,[4]Sheet2!K:N,4,0)</f>
        <v>0</v>
      </c>
      <c r="Y1101" s="53">
        <f t="shared" ref="Y1101:Y1106" si="996">IFERROR(V1101/M1101,1)</f>
        <v>0</v>
      </c>
      <c r="Z1101" s="53">
        <f t="shared" ref="Z1101:Z1106" si="997">IFERROR(W1101/M1101,1)</f>
        <v>0</v>
      </c>
      <c r="AA1101" s="53">
        <f t="shared" ref="AA1101:AA1106" si="998">IFERROR(X1101/M1101,1)</f>
        <v>0</v>
      </c>
    </row>
    <row r="1102" spans="1:27" ht="18.75" customHeight="1" outlineLevel="6" x14ac:dyDescent="0.3">
      <c r="A1102" s="1" t="s">
        <v>1048</v>
      </c>
      <c r="B1102" s="44"/>
      <c r="C1102" s="18"/>
      <c r="D1102" s="24"/>
      <c r="E1102" s="29"/>
      <c r="F1102" s="34"/>
      <c r="G1102" s="39"/>
      <c r="H1102" s="46" t="s">
        <v>1068</v>
      </c>
      <c r="I1102" s="46" t="s">
        <v>585</v>
      </c>
      <c r="J1102" s="47" t="s">
        <v>59</v>
      </c>
      <c r="K1102" s="48">
        <v>0.3</v>
      </c>
      <c r="L1102" s="49">
        <v>3.0000000000000001E-3</v>
      </c>
      <c r="M1102" s="50">
        <f>VLOOKUP(H1102,[4]Sheet2!K:Q,7,0)</f>
        <v>600</v>
      </c>
      <c r="N1102" s="51"/>
      <c r="O1102" s="51"/>
      <c r="P1102" s="51"/>
      <c r="Q1102" s="51"/>
      <c r="R1102" s="51"/>
      <c r="S1102" s="51"/>
      <c r="T1102" s="51"/>
      <c r="U1102" s="51"/>
      <c r="V1102" s="52">
        <f>VLOOKUP(H1102,[4]Sheet2!K:N,4,0)</f>
        <v>0</v>
      </c>
      <c r="W1102" s="52">
        <f t="shared" si="995"/>
        <v>0</v>
      </c>
      <c r="X1102" s="52">
        <f>VLOOKUP(H1102,[4]Sheet2!K:N,4,0)</f>
        <v>0</v>
      </c>
      <c r="Y1102" s="53">
        <f t="shared" si="996"/>
        <v>0</v>
      </c>
      <c r="Z1102" s="53">
        <f t="shared" si="997"/>
        <v>0</v>
      </c>
      <c r="AA1102" s="53">
        <f t="shared" si="998"/>
        <v>0</v>
      </c>
    </row>
    <row r="1103" spans="1:27" ht="18.75" customHeight="1" outlineLevel="6" x14ac:dyDescent="0.3">
      <c r="A1103" s="1" t="s">
        <v>1050</v>
      </c>
      <c r="B1103" s="44"/>
      <c r="C1103" s="18"/>
      <c r="D1103" s="24"/>
      <c r="E1103" s="29"/>
      <c r="F1103" s="34"/>
      <c r="G1103" s="39"/>
      <c r="H1103" s="46" t="s">
        <v>1069</v>
      </c>
      <c r="I1103" s="46" t="s">
        <v>588</v>
      </c>
      <c r="J1103" s="47" t="s">
        <v>59</v>
      </c>
      <c r="K1103" s="48">
        <v>0.35</v>
      </c>
      <c r="L1103" s="49">
        <v>3.5000000000000001E-3</v>
      </c>
      <c r="M1103" s="50">
        <f>VLOOKUP(H1103,[4]Sheet2!K:Q,7,0)</f>
        <v>600</v>
      </c>
      <c r="N1103" s="51"/>
      <c r="O1103" s="51"/>
      <c r="P1103" s="51"/>
      <c r="Q1103" s="51"/>
      <c r="R1103" s="51"/>
      <c r="S1103" s="51"/>
      <c r="T1103" s="51"/>
      <c r="U1103" s="51"/>
      <c r="V1103" s="52">
        <f>VLOOKUP(H1103,[4]Sheet2!K:N,4,0)</f>
        <v>0</v>
      </c>
      <c r="W1103" s="52">
        <f t="shared" si="995"/>
        <v>0</v>
      </c>
      <c r="X1103" s="52">
        <f>VLOOKUP(H1103,[4]Sheet2!K:N,4,0)</f>
        <v>0</v>
      </c>
      <c r="Y1103" s="53">
        <f t="shared" si="996"/>
        <v>0</v>
      </c>
      <c r="Z1103" s="53">
        <f t="shared" si="997"/>
        <v>0</v>
      </c>
      <c r="AA1103" s="53">
        <f t="shared" si="998"/>
        <v>0</v>
      </c>
    </row>
    <row r="1104" spans="1:27" ht="18.75" customHeight="1" outlineLevel="6" x14ac:dyDescent="0.3">
      <c r="B1104" s="44"/>
      <c r="C1104" s="18"/>
      <c r="D1104" s="24"/>
      <c r="E1104" s="29"/>
      <c r="F1104" s="34"/>
      <c r="G1104" s="39"/>
      <c r="H1104" s="46" t="s">
        <v>1070</v>
      </c>
      <c r="I1104" s="46" t="s">
        <v>590</v>
      </c>
      <c r="J1104" s="47" t="s">
        <v>59</v>
      </c>
      <c r="K1104" s="48">
        <v>0.15</v>
      </c>
      <c r="L1104" s="49">
        <v>1.5E-3</v>
      </c>
      <c r="M1104" s="50">
        <f>VLOOKUP(H1104,[4]Sheet2!K:Q,7,0)</f>
        <v>600</v>
      </c>
      <c r="N1104" s="51"/>
      <c r="O1104" s="51"/>
      <c r="P1104" s="51"/>
      <c r="Q1104" s="51"/>
      <c r="R1104" s="51"/>
      <c r="S1104" s="51"/>
      <c r="T1104" s="51"/>
      <c r="U1104" s="51"/>
      <c r="V1104" s="52">
        <f>VLOOKUP(H1104,[4]Sheet2!K:N,4,0)</f>
        <v>0</v>
      </c>
      <c r="W1104" s="52">
        <f t="shared" si="995"/>
        <v>0</v>
      </c>
      <c r="X1104" s="52">
        <f>VLOOKUP(H1104,[4]Sheet2!K:N,4,0)</f>
        <v>0</v>
      </c>
      <c r="Y1104" s="53">
        <f t="shared" si="996"/>
        <v>0</v>
      </c>
      <c r="Z1104" s="53">
        <f t="shared" si="997"/>
        <v>0</v>
      </c>
      <c r="AA1104" s="53">
        <f t="shared" si="998"/>
        <v>0</v>
      </c>
    </row>
    <row r="1105" spans="2:27" ht="18.75" customHeight="1" outlineLevel="6" x14ac:dyDescent="0.3">
      <c r="B1105" s="44"/>
      <c r="C1105" s="18"/>
      <c r="D1105" s="24"/>
      <c r="E1105" s="29"/>
      <c r="F1105" s="34"/>
      <c r="G1105" s="39"/>
      <c r="H1105" s="46" t="s">
        <v>1071</v>
      </c>
      <c r="I1105" s="46" t="s">
        <v>592</v>
      </c>
      <c r="J1105" s="47" t="s">
        <v>59</v>
      </c>
      <c r="K1105" s="48">
        <v>0.1</v>
      </c>
      <c r="L1105" s="49">
        <v>1E-3</v>
      </c>
      <c r="M1105" s="50">
        <f>VLOOKUP(H1105,[4]Sheet2!K:Q,7,0)</f>
        <v>600</v>
      </c>
      <c r="N1105" s="51"/>
      <c r="O1105" s="51"/>
      <c r="P1105" s="51"/>
      <c r="Q1105" s="51"/>
      <c r="R1105" s="51"/>
      <c r="S1105" s="51"/>
      <c r="T1105" s="51"/>
      <c r="U1105" s="51"/>
      <c r="V1105" s="52">
        <f>VLOOKUP(H1105,[4]Sheet2!K:N,4,0)</f>
        <v>0</v>
      </c>
      <c r="W1105" s="52">
        <f t="shared" si="995"/>
        <v>0</v>
      </c>
      <c r="X1105" s="52">
        <f>VLOOKUP(H1105,[4]Sheet2!K:N,4,0)</f>
        <v>0</v>
      </c>
      <c r="Y1105" s="53">
        <f t="shared" si="996"/>
        <v>0</v>
      </c>
      <c r="Z1105" s="53">
        <f t="shared" si="997"/>
        <v>0</v>
      </c>
      <c r="AA1105" s="53">
        <f t="shared" si="998"/>
        <v>0</v>
      </c>
    </row>
    <row r="1106" spans="2:27" ht="18.75" customHeight="1" outlineLevel="6" x14ac:dyDescent="0.3">
      <c r="B1106" s="44"/>
      <c r="C1106" s="18"/>
      <c r="D1106" s="24"/>
      <c r="E1106" s="29"/>
      <c r="F1106" s="34"/>
      <c r="G1106" s="39"/>
      <c r="H1106" s="46" t="s">
        <v>1072</v>
      </c>
      <c r="I1106" s="46" t="s">
        <v>56</v>
      </c>
      <c r="J1106" s="47" t="s">
        <v>59</v>
      </c>
      <c r="K1106" s="48">
        <v>0.05</v>
      </c>
      <c r="L1106" s="49">
        <v>5.0000000000000001E-4</v>
      </c>
      <c r="M1106" s="50">
        <f>VLOOKUP(H1106,[4]Sheet2!K:Q,7,0)</f>
        <v>600</v>
      </c>
      <c r="N1106" s="51"/>
      <c r="O1106" s="51"/>
      <c r="P1106" s="51"/>
      <c r="Q1106" s="51"/>
      <c r="R1106" s="51"/>
      <c r="S1106" s="51"/>
      <c r="T1106" s="51"/>
      <c r="U1106" s="51"/>
      <c r="V1106" s="52">
        <f>VLOOKUP(H1106,[4]Sheet2!K:N,4,0)</f>
        <v>0</v>
      </c>
      <c r="W1106" s="52">
        <f t="shared" si="995"/>
        <v>0</v>
      </c>
      <c r="X1106" s="52">
        <f>VLOOKUP(H1106,[4]Sheet2!K:N,4,0)</f>
        <v>0</v>
      </c>
      <c r="Y1106" s="53">
        <f t="shared" si="996"/>
        <v>0</v>
      </c>
      <c r="Z1106" s="53">
        <f t="shared" si="997"/>
        <v>0</v>
      </c>
      <c r="AA1106" s="53">
        <f t="shared" si="998"/>
        <v>0</v>
      </c>
    </row>
    <row r="1107" spans="2:27" ht="18.75" customHeight="1" outlineLevel="2" x14ac:dyDescent="0.3">
      <c r="B1107" s="12"/>
      <c r="C1107" s="18"/>
      <c r="D1107" s="24" t="s">
        <v>615</v>
      </c>
      <c r="E1107" s="65"/>
      <c r="F1107" s="65"/>
      <c r="G1107" s="65"/>
      <c r="H1107" s="25"/>
      <c r="I1107" s="25"/>
      <c r="J1107" s="25"/>
      <c r="K1107" s="25"/>
      <c r="L1107" s="26">
        <f>L1108+L1120</f>
        <v>7.4999999999999997E-3</v>
      </c>
      <c r="M1107" s="27">
        <f>M1108+M1120</f>
        <v>5</v>
      </c>
      <c r="N1107" s="25"/>
      <c r="O1107" s="25"/>
      <c r="P1107" s="25"/>
      <c r="Q1107" s="25"/>
      <c r="R1107" s="25"/>
      <c r="S1107" s="25"/>
      <c r="T1107" s="25"/>
      <c r="U1107" s="25"/>
      <c r="V1107" s="64">
        <f t="shared" ref="V1107:X1107" si="999">(V1108*$L1108+V1120*$L1120)/$L1107</f>
        <v>0</v>
      </c>
      <c r="W1107" s="64">
        <f t="shared" si="999"/>
        <v>0</v>
      </c>
      <c r="X1107" s="64">
        <f t="shared" si="999"/>
        <v>0</v>
      </c>
      <c r="Y1107" s="28">
        <f>(Y1108*$L1108+Y1120*$L1120)/$L1107</f>
        <v>0</v>
      </c>
      <c r="Z1107" s="28">
        <f t="shared" ref="Z1107:AA1107" si="1000">(Z1108*$L1108+Z1120*$L1120)/$L1107</f>
        <v>0</v>
      </c>
      <c r="AA1107" s="28">
        <f t="shared" si="1000"/>
        <v>0</v>
      </c>
    </row>
    <row r="1108" spans="2:27" ht="18.75" customHeight="1" outlineLevel="3" x14ac:dyDescent="0.3">
      <c r="B1108" s="12"/>
      <c r="C1108" s="18"/>
      <c r="D1108" s="24"/>
      <c r="E1108" s="29" t="s">
        <v>616</v>
      </c>
      <c r="F1108" s="66"/>
      <c r="G1108" s="66"/>
      <c r="H1108" s="30"/>
      <c r="I1108" s="30"/>
      <c r="J1108" s="30"/>
      <c r="K1108" s="30"/>
      <c r="L1108" s="31">
        <f>L1109</f>
        <v>6.9499999999999996E-3</v>
      </c>
      <c r="M1108" s="32">
        <f>M1109</f>
        <v>4.5</v>
      </c>
      <c r="N1108" s="30"/>
      <c r="O1108" s="30"/>
      <c r="P1108" s="30"/>
      <c r="Q1108" s="30"/>
      <c r="R1108" s="30"/>
      <c r="S1108" s="30"/>
      <c r="T1108" s="30"/>
      <c r="U1108" s="30"/>
      <c r="V1108" s="63">
        <f t="shared" ref="V1108:AA1108" si="1001">V1109</f>
        <v>0</v>
      </c>
      <c r="W1108" s="63">
        <f t="shared" si="1001"/>
        <v>0</v>
      </c>
      <c r="X1108" s="63">
        <f t="shared" si="1001"/>
        <v>0</v>
      </c>
      <c r="Y1108" s="33">
        <f t="shared" si="1001"/>
        <v>0</v>
      </c>
      <c r="Z1108" s="33">
        <f t="shared" si="1001"/>
        <v>0</v>
      </c>
      <c r="AA1108" s="33">
        <f t="shared" si="1001"/>
        <v>0</v>
      </c>
    </row>
    <row r="1109" spans="2:27" ht="18.75" customHeight="1" outlineLevel="4" x14ac:dyDescent="0.3">
      <c r="B1109" s="12"/>
      <c r="C1109" s="18"/>
      <c r="D1109" s="24"/>
      <c r="E1109" s="29"/>
      <c r="F1109" s="34" t="s">
        <v>617</v>
      </c>
      <c r="G1109" s="34"/>
      <c r="H1109" s="35"/>
      <c r="I1109" s="35"/>
      <c r="J1109" s="35"/>
      <c r="K1109" s="35"/>
      <c r="L1109" s="36">
        <f>L1110+L1112+L1114+L1116+L1118</f>
        <v>6.9499999999999996E-3</v>
      </c>
      <c r="M1109" s="37">
        <f>M1110+M1112+M1114+M1116+M1118</f>
        <v>4.5</v>
      </c>
      <c r="N1109" s="35"/>
      <c r="O1109" s="35"/>
      <c r="P1109" s="35"/>
      <c r="Q1109" s="35"/>
      <c r="R1109" s="35"/>
      <c r="S1109" s="35"/>
      <c r="T1109" s="35"/>
      <c r="U1109" s="35"/>
      <c r="V1109" s="61">
        <f t="shared" ref="V1109:X1109" si="1002">(V1110*$L1110+V1112*$L1112+V1114*$L1114+V1116*$L1116+V1118*$L1118)/$L1109</f>
        <v>0</v>
      </c>
      <c r="W1109" s="61">
        <f t="shared" si="1002"/>
        <v>0</v>
      </c>
      <c r="X1109" s="61">
        <f t="shared" si="1002"/>
        <v>0</v>
      </c>
      <c r="Y1109" s="38">
        <f>(Y1110*$L1110+Y1112*$L1112+Y1114*$L1114+Y1116*$L1116+Y1118*$L1118)/$L1109</f>
        <v>0</v>
      </c>
      <c r="Z1109" s="38">
        <f t="shared" ref="Z1109:AA1109" si="1003">(Z1110*$L1110+Z1112*$L1112+Z1114*$L1114+Z1116*$L1116+Z1118*$L1118)/$L1109</f>
        <v>0</v>
      </c>
      <c r="AA1109" s="38">
        <f t="shared" si="1003"/>
        <v>0</v>
      </c>
    </row>
    <row r="1110" spans="2:27" ht="18.75" customHeight="1" outlineLevel="5" x14ac:dyDescent="0.3">
      <c r="B1110" s="12"/>
      <c r="C1110" s="18"/>
      <c r="D1110" s="24"/>
      <c r="E1110" s="29"/>
      <c r="F1110" s="34"/>
      <c r="G1110" s="39" t="s">
        <v>618</v>
      </c>
      <c r="H1110" s="40"/>
      <c r="I1110" s="40"/>
      <c r="J1110" s="40"/>
      <c r="K1110" s="40"/>
      <c r="L1110" s="41">
        <f>L1111</f>
        <v>2.4499999999999999E-3</v>
      </c>
      <c r="M1110" s="42">
        <f>M1111</f>
        <v>1</v>
      </c>
      <c r="N1110" s="40"/>
      <c r="O1110" s="40"/>
      <c r="P1110" s="40"/>
      <c r="Q1110" s="40"/>
      <c r="R1110" s="40"/>
      <c r="S1110" s="40"/>
      <c r="T1110" s="40"/>
      <c r="U1110" s="40"/>
      <c r="V1110" s="62">
        <f t="shared" ref="V1110:AA1110" si="1004">V1111</f>
        <v>0</v>
      </c>
      <c r="W1110" s="62">
        <f t="shared" si="1004"/>
        <v>0</v>
      </c>
      <c r="X1110" s="62">
        <f t="shared" si="1004"/>
        <v>0</v>
      </c>
      <c r="Y1110" s="43">
        <f t="shared" si="1004"/>
        <v>0</v>
      </c>
      <c r="Z1110" s="43">
        <f t="shared" si="1004"/>
        <v>0</v>
      </c>
      <c r="AA1110" s="43">
        <f t="shared" si="1004"/>
        <v>0</v>
      </c>
    </row>
    <row r="1111" spans="2:27" ht="18.75" customHeight="1" outlineLevel="6" x14ac:dyDescent="0.3">
      <c r="B1111" s="44"/>
      <c r="C1111" s="18"/>
      <c r="D1111" s="24"/>
      <c r="E1111" s="29"/>
      <c r="F1111" s="34"/>
      <c r="G1111" s="39"/>
      <c r="H1111" s="46" t="s">
        <v>1073</v>
      </c>
      <c r="I1111" s="46" t="s">
        <v>464</v>
      </c>
      <c r="J1111" s="47" t="s">
        <v>542</v>
      </c>
      <c r="K1111" s="48">
        <v>1</v>
      </c>
      <c r="L1111" s="49">
        <f>VLOOKUP(H1111,[4]Sheet2!K:P,6,0)</f>
        <v>2.4499999999999999E-3</v>
      </c>
      <c r="M1111" s="50">
        <f>VLOOKUP(H1111,[4]Sheet2!K:Q,7,0)</f>
        <v>1</v>
      </c>
      <c r="N1111" s="51"/>
      <c r="O1111" s="51"/>
      <c r="P1111" s="51"/>
      <c r="Q1111" s="51"/>
      <c r="R1111" s="51"/>
      <c r="S1111" s="51"/>
      <c r="T1111" s="51"/>
      <c r="U1111" s="51"/>
      <c r="V1111" s="52">
        <f>VLOOKUP(H1111,[4]Sheet2!K:N,4,0)</f>
        <v>0</v>
      </c>
      <c r="W1111" s="52">
        <f>X1111-V1111</f>
        <v>0</v>
      </c>
      <c r="X1111" s="52">
        <f>VLOOKUP(H1111,[4]Sheet2!K:N,4,0)</f>
        <v>0</v>
      </c>
      <c r="Y1111" s="53">
        <f>IFERROR(V1111/M1111,1)</f>
        <v>0</v>
      </c>
      <c r="Z1111" s="53">
        <f>IFERROR(W1111/M1111,1)</f>
        <v>0</v>
      </c>
      <c r="AA1111" s="53">
        <f>IFERROR(X1111/M1111,1)</f>
        <v>0</v>
      </c>
    </row>
    <row r="1112" spans="2:27" ht="18.75" customHeight="1" outlineLevel="5" x14ac:dyDescent="0.3">
      <c r="B1112" s="12"/>
      <c r="C1112" s="18"/>
      <c r="D1112" s="24"/>
      <c r="E1112" s="29"/>
      <c r="F1112" s="34"/>
      <c r="G1112" s="39" t="s">
        <v>620</v>
      </c>
      <c r="H1112" s="40"/>
      <c r="I1112" s="40"/>
      <c r="J1112" s="40"/>
      <c r="K1112" s="40"/>
      <c r="L1112" s="41">
        <f>L1113</f>
        <v>1E-3</v>
      </c>
      <c r="M1112" s="42">
        <f>M1113</f>
        <v>1</v>
      </c>
      <c r="N1112" s="40"/>
      <c r="O1112" s="40"/>
      <c r="P1112" s="40"/>
      <c r="Q1112" s="40"/>
      <c r="R1112" s="40"/>
      <c r="S1112" s="40"/>
      <c r="T1112" s="40"/>
      <c r="U1112" s="40"/>
      <c r="V1112" s="62">
        <f t="shared" ref="V1112:AA1112" si="1005">V1113</f>
        <v>0</v>
      </c>
      <c r="W1112" s="62">
        <f t="shared" si="1005"/>
        <v>0</v>
      </c>
      <c r="X1112" s="62">
        <f t="shared" si="1005"/>
        <v>0</v>
      </c>
      <c r="Y1112" s="43">
        <f t="shared" si="1005"/>
        <v>0</v>
      </c>
      <c r="Z1112" s="43">
        <f t="shared" si="1005"/>
        <v>0</v>
      </c>
      <c r="AA1112" s="43">
        <f t="shared" si="1005"/>
        <v>0</v>
      </c>
    </row>
    <row r="1113" spans="2:27" ht="18.75" customHeight="1" outlineLevel="6" x14ac:dyDescent="0.3">
      <c r="B1113" s="44"/>
      <c r="C1113" s="18"/>
      <c r="D1113" s="24"/>
      <c r="E1113" s="29"/>
      <c r="F1113" s="34"/>
      <c r="G1113" s="39"/>
      <c r="H1113" s="46" t="s">
        <v>1074</v>
      </c>
      <c r="I1113" s="46" t="s">
        <v>464</v>
      </c>
      <c r="J1113" s="47" t="s">
        <v>542</v>
      </c>
      <c r="K1113" s="48">
        <v>1</v>
      </c>
      <c r="L1113" s="49">
        <f>VLOOKUP(H1113,[4]Sheet2!K:P,6,0)</f>
        <v>1E-3</v>
      </c>
      <c r="M1113" s="50">
        <f>VLOOKUP(H1113,[4]Sheet2!K:Q,7,0)</f>
        <v>1</v>
      </c>
      <c r="N1113" s="51"/>
      <c r="O1113" s="51"/>
      <c r="P1113" s="51"/>
      <c r="Q1113" s="51"/>
      <c r="R1113" s="51"/>
      <c r="S1113" s="51"/>
      <c r="T1113" s="51"/>
      <c r="U1113" s="51"/>
      <c r="V1113" s="52">
        <f>VLOOKUP(H1113,[4]Sheet2!K:N,4,0)</f>
        <v>0</v>
      </c>
      <c r="W1113" s="52">
        <f>X1113-V1113</f>
        <v>0</v>
      </c>
      <c r="X1113" s="52">
        <f>VLOOKUP(H1113,[4]Sheet2!K:N,4,0)</f>
        <v>0</v>
      </c>
      <c r="Y1113" s="53">
        <f>IFERROR(V1113/M1113,1)</f>
        <v>0</v>
      </c>
      <c r="Z1113" s="53">
        <f>IFERROR(W1113/M1113,1)</f>
        <v>0</v>
      </c>
      <c r="AA1113" s="53">
        <f>IFERROR(X1113/M1113,1)</f>
        <v>0</v>
      </c>
    </row>
    <row r="1114" spans="2:27" ht="18.75" customHeight="1" outlineLevel="5" x14ac:dyDescent="0.3">
      <c r="B1114" s="12"/>
      <c r="C1114" s="18"/>
      <c r="D1114" s="24"/>
      <c r="E1114" s="29"/>
      <c r="F1114" s="34"/>
      <c r="G1114" s="39" t="s">
        <v>622</v>
      </c>
      <c r="H1114" s="40"/>
      <c r="I1114" s="40"/>
      <c r="J1114" s="40"/>
      <c r="K1114" s="40"/>
      <c r="L1114" s="41">
        <f>L1115</f>
        <v>1.5E-3</v>
      </c>
      <c r="M1114" s="42">
        <f>M1115</f>
        <v>1</v>
      </c>
      <c r="N1114" s="40"/>
      <c r="O1114" s="40"/>
      <c r="P1114" s="40"/>
      <c r="Q1114" s="40"/>
      <c r="R1114" s="40"/>
      <c r="S1114" s="40"/>
      <c r="T1114" s="40"/>
      <c r="U1114" s="40"/>
      <c r="V1114" s="62">
        <f t="shared" ref="V1114:AA1114" si="1006">V1115</f>
        <v>0</v>
      </c>
      <c r="W1114" s="62">
        <f t="shared" si="1006"/>
        <v>0</v>
      </c>
      <c r="X1114" s="62">
        <f t="shared" si="1006"/>
        <v>0</v>
      </c>
      <c r="Y1114" s="43">
        <f t="shared" si="1006"/>
        <v>0</v>
      </c>
      <c r="Z1114" s="43">
        <f t="shared" si="1006"/>
        <v>0</v>
      </c>
      <c r="AA1114" s="43">
        <f t="shared" si="1006"/>
        <v>0</v>
      </c>
    </row>
    <row r="1115" spans="2:27" ht="18.75" customHeight="1" outlineLevel="6" x14ac:dyDescent="0.3">
      <c r="B1115" s="44"/>
      <c r="C1115" s="18"/>
      <c r="D1115" s="24"/>
      <c r="E1115" s="29"/>
      <c r="F1115" s="34"/>
      <c r="G1115" s="39"/>
      <c r="H1115" s="46" t="s">
        <v>1075</v>
      </c>
      <c r="I1115" s="46" t="s">
        <v>464</v>
      </c>
      <c r="J1115" s="47" t="s">
        <v>542</v>
      </c>
      <c r="K1115" s="48">
        <v>1</v>
      </c>
      <c r="L1115" s="49">
        <f>VLOOKUP(H1115,[4]Sheet2!K:P,6,0)</f>
        <v>1.5E-3</v>
      </c>
      <c r="M1115" s="50">
        <f>VLOOKUP(H1115,[4]Sheet2!K:Q,7,0)</f>
        <v>1</v>
      </c>
      <c r="N1115" s="51"/>
      <c r="O1115" s="51"/>
      <c r="P1115" s="51"/>
      <c r="Q1115" s="51"/>
      <c r="R1115" s="51"/>
      <c r="S1115" s="51"/>
      <c r="T1115" s="51"/>
      <c r="U1115" s="51"/>
      <c r="V1115" s="52">
        <f>VLOOKUP(H1115,[4]Sheet2!K:N,4,0)</f>
        <v>0</v>
      </c>
      <c r="W1115" s="52">
        <f>X1115-V1115</f>
        <v>0</v>
      </c>
      <c r="X1115" s="52">
        <f>VLOOKUP(H1115,[4]Sheet2!K:N,4,0)</f>
        <v>0</v>
      </c>
      <c r="Y1115" s="53">
        <f>IFERROR(V1115/M1115,1)</f>
        <v>0</v>
      </c>
      <c r="Z1115" s="53">
        <f>IFERROR(W1115/M1115,1)</f>
        <v>0</v>
      </c>
      <c r="AA1115" s="53">
        <f>IFERROR(X1115/M1115,1)</f>
        <v>0</v>
      </c>
    </row>
    <row r="1116" spans="2:27" ht="18.75" customHeight="1" outlineLevel="5" x14ac:dyDescent="0.3">
      <c r="B1116" s="12"/>
      <c r="C1116" s="18"/>
      <c r="D1116" s="24"/>
      <c r="E1116" s="29"/>
      <c r="F1116" s="34"/>
      <c r="G1116" s="39" t="s">
        <v>624</v>
      </c>
      <c r="H1116" s="40"/>
      <c r="I1116" s="40"/>
      <c r="J1116" s="40"/>
      <c r="K1116" s="40"/>
      <c r="L1116" s="41">
        <f>L1117</f>
        <v>1.5E-3</v>
      </c>
      <c r="M1116" s="42">
        <f>M1117</f>
        <v>1</v>
      </c>
      <c r="N1116" s="40"/>
      <c r="O1116" s="40"/>
      <c r="P1116" s="40"/>
      <c r="Q1116" s="40"/>
      <c r="R1116" s="40"/>
      <c r="S1116" s="40"/>
      <c r="T1116" s="40"/>
      <c r="U1116" s="40"/>
      <c r="V1116" s="62">
        <f t="shared" ref="V1116:AA1116" si="1007">V1117</f>
        <v>0</v>
      </c>
      <c r="W1116" s="62">
        <f t="shared" si="1007"/>
        <v>0</v>
      </c>
      <c r="X1116" s="62">
        <f t="shared" si="1007"/>
        <v>0</v>
      </c>
      <c r="Y1116" s="43">
        <f t="shared" si="1007"/>
        <v>0</v>
      </c>
      <c r="Z1116" s="43">
        <f t="shared" si="1007"/>
        <v>0</v>
      </c>
      <c r="AA1116" s="43">
        <f t="shared" si="1007"/>
        <v>0</v>
      </c>
    </row>
    <row r="1117" spans="2:27" ht="18.75" customHeight="1" outlineLevel="6" x14ac:dyDescent="0.3">
      <c r="B1117" s="44"/>
      <c r="C1117" s="18"/>
      <c r="D1117" s="24"/>
      <c r="E1117" s="29"/>
      <c r="F1117" s="34"/>
      <c r="G1117" s="39"/>
      <c r="H1117" s="46" t="s">
        <v>1076</v>
      </c>
      <c r="I1117" s="46" t="s">
        <v>464</v>
      </c>
      <c r="J1117" s="47" t="s">
        <v>542</v>
      </c>
      <c r="K1117" s="48">
        <v>1</v>
      </c>
      <c r="L1117" s="49">
        <f>VLOOKUP(H1117,[4]Sheet2!K:P,6,0)</f>
        <v>1.5E-3</v>
      </c>
      <c r="M1117" s="50">
        <f>VLOOKUP(H1117,[4]Sheet2!K:Q,7,0)</f>
        <v>1</v>
      </c>
      <c r="N1117" s="51"/>
      <c r="O1117" s="51"/>
      <c r="P1117" s="51"/>
      <c r="Q1117" s="51"/>
      <c r="R1117" s="51"/>
      <c r="S1117" s="51"/>
      <c r="T1117" s="51"/>
      <c r="U1117" s="51"/>
      <c r="V1117" s="52">
        <f>VLOOKUP(H1117,[4]Sheet2!K:N,4,0)</f>
        <v>0</v>
      </c>
      <c r="W1117" s="52">
        <f>X1117-V1117</f>
        <v>0</v>
      </c>
      <c r="X1117" s="52">
        <f>VLOOKUP(H1117,[4]Sheet2!K:N,4,0)</f>
        <v>0</v>
      </c>
      <c r="Y1117" s="53">
        <f>IFERROR(V1117/M1117,1)</f>
        <v>0</v>
      </c>
      <c r="Z1117" s="53">
        <f>IFERROR(W1117/M1117,1)</f>
        <v>0</v>
      </c>
      <c r="AA1117" s="53">
        <f>IFERROR(X1117/M1117,1)</f>
        <v>0</v>
      </c>
    </row>
    <row r="1118" spans="2:27" ht="18.75" customHeight="1" outlineLevel="5" x14ac:dyDescent="0.3">
      <c r="B1118" s="12"/>
      <c r="C1118" s="18"/>
      <c r="D1118" s="24"/>
      <c r="E1118" s="29"/>
      <c r="F1118" s="34"/>
      <c r="G1118" s="39" t="s">
        <v>626</v>
      </c>
      <c r="H1118" s="40"/>
      <c r="I1118" s="40"/>
      <c r="J1118" s="40"/>
      <c r="K1118" s="40"/>
      <c r="L1118" s="41">
        <f>L1119</f>
        <v>5.0000000000000001E-4</v>
      </c>
      <c r="M1118" s="42">
        <f>M1119</f>
        <v>0.5</v>
      </c>
      <c r="N1118" s="40"/>
      <c r="O1118" s="40"/>
      <c r="P1118" s="40"/>
      <c r="Q1118" s="40"/>
      <c r="R1118" s="40"/>
      <c r="S1118" s="40"/>
      <c r="T1118" s="40"/>
      <c r="U1118" s="40"/>
      <c r="V1118" s="62">
        <f t="shared" ref="V1118:AA1118" si="1008">V1119</f>
        <v>0</v>
      </c>
      <c r="W1118" s="62">
        <f t="shared" si="1008"/>
        <v>0</v>
      </c>
      <c r="X1118" s="62">
        <f t="shared" si="1008"/>
        <v>0</v>
      </c>
      <c r="Y1118" s="43">
        <f t="shared" si="1008"/>
        <v>0</v>
      </c>
      <c r="Z1118" s="43">
        <f t="shared" si="1008"/>
        <v>0</v>
      </c>
      <c r="AA1118" s="43">
        <f t="shared" si="1008"/>
        <v>0</v>
      </c>
    </row>
    <row r="1119" spans="2:27" ht="18.75" customHeight="1" outlineLevel="6" x14ac:dyDescent="0.3">
      <c r="B1119" s="44"/>
      <c r="C1119" s="18"/>
      <c r="D1119" s="24"/>
      <c r="E1119" s="29"/>
      <c r="F1119" s="34"/>
      <c r="G1119" s="39"/>
      <c r="H1119" s="46" t="s">
        <v>1077</v>
      </c>
      <c r="I1119" s="46" t="s">
        <v>464</v>
      </c>
      <c r="J1119" s="47" t="s">
        <v>542</v>
      </c>
      <c r="K1119" s="48">
        <v>1</v>
      </c>
      <c r="L1119" s="49">
        <f>VLOOKUP(H1119,[4]Sheet2!K:P,6,0)</f>
        <v>5.0000000000000001E-4</v>
      </c>
      <c r="M1119" s="50">
        <f>VLOOKUP(H1119,[4]Sheet2!K:Q,7,0)</f>
        <v>0.5</v>
      </c>
      <c r="N1119" s="51"/>
      <c r="O1119" s="51"/>
      <c r="P1119" s="51"/>
      <c r="Q1119" s="51"/>
      <c r="R1119" s="51"/>
      <c r="S1119" s="51"/>
      <c r="T1119" s="51"/>
      <c r="U1119" s="51"/>
      <c r="V1119" s="52">
        <f>VLOOKUP(H1119,[4]Sheet2!K:N,4,0)</f>
        <v>0</v>
      </c>
      <c r="W1119" s="52">
        <f>X1119-V1119</f>
        <v>0</v>
      </c>
      <c r="X1119" s="52">
        <f>VLOOKUP(H1119,[4]Sheet2!K:N,4,0)</f>
        <v>0</v>
      </c>
      <c r="Y1119" s="53">
        <f>IFERROR(V1119/M1119,1)</f>
        <v>0</v>
      </c>
      <c r="Z1119" s="53">
        <f>IFERROR(W1119/M1119,1)</f>
        <v>0</v>
      </c>
      <c r="AA1119" s="53">
        <f>IFERROR(X1119/M1119,1)</f>
        <v>0</v>
      </c>
    </row>
    <row r="1120" spans="2:27" ht="18.75" customHeight="1" outlineLevel="3" x14ac:dyDescent="0.3">
      <c r="B1120" s="12"/>
      <c r="C1120" s="18"/>
      <c r="D1120" s="24"/>
      <c r="E1120" s="29" t="s">
        <v>1078</v>
      </c>
      <c r="F1120" s="66"/>
      <c r="G1120" s="66"/>
      <c r="H1120" s="30"/>
      <c r="I1120" s="30"/>
      <c r="J1120" s="30"/>
      <c r="K1120" s="30"/>
      <c r="L1120" s="31">
        <f t="shared" ref="L1120:M1122" si="1009">L1121</f>
        <v>5.5000000000000003E-4</v>
      </c>
      <c r="M1120" s="32">
        <f t="shared" si="1009"/>
        <v>0.5</v>
      </c>
      <c r="N1120" s="30"/>
      <c r="O1120" s="30"/>
      <c r="P1120" s="30"/>
      <c r="Q1120" s="30"/>
      <c r="R1120" s="30"/>
      <c r="S1120" s="30"/>
      <c r="T1120" s="30"/>
      <c r="U1120" s="30"/>
      <c r="V1120" s="63">
        <f t="shared" ref="V1120:AA1122" si="1010">V1121</f>
        <v>0</v>
      </c>
      <c r="W1120" s="63">
        <f t="shared" si="1010"/>
        <v>0</v>
      </c>
      <c r="X1120" s="63">
        <f t="shared" si="1010"/>
        <v>0</v>
      </c>
      <c r="Y1120" s="33">
        <f t="shared" si="1010"/>
        <v>0</v>
      </c>
      <c r="Z1120" s="33">
        <f t="shared" si="1010"/>
        <v>0</v>
      </c>
      <c r="AA1120" s="33">
        <f t="shared" si="1010"/>
        <v>0</v>
      </c>
    </row>
    <row r="1121" spans="2:27" ht="18.75" customHeight="1" outlineLevel="4" x14ac:dyDescent="0.3">
      <c r="B1121" s="12"/>
      <c r="C1121" s="18"/>
      <c r="D1121" s="24"/>
      <c r="E1121" s="29"/>
      <c r="F1121" s="34" t="s">
        <v>629</v>
      </c>
      <c r="G1121" s="34"/>
      <c r="H1121" s="35"/>
      <c r="I1121" s="35"/>
      <c r="J1121" s="35"/>
      <c r="K1121" s="35"/>
      <c r="L1121" s="36">
        <f t="shared" si="1009"/>
        <v>5.5000000000000003E-4</v>
      </c>
      <c r="M1121" s="37">
        <f t="shared" si="1009"/>
        <v>0.5</v>
      </c>
      <c r="N1121" s="35"/>
      <c r="O1121" s="35"/>
      <c r="P1121" s="35"/>
      <c r="Q1121" s="35"/>
      <c r="R1121" s="35"/>
      <c r="S1121" s="35"/>
      <c r="T1121" s="35"/>
      <c r="U1121" s="35"/>
      <c r="V1121" s="61">
        <f t="shared" si="1010"/>
        <v>0</v>
      </c>
      <c r="W1121" s="61">
        <f t="shared" si="1010"/>
        <v>0</v>
      </c>
      <c r="X1121" s="61">
        <f t="shared" si="1010"/>
        <v>0</v>
      </c>
      <c r="Y1121" s="38">
        <f t="shared" si="1010"/>
        <v>0</v>
      </c>
      <c r="Z1121" s="38">
        <f t="shared" si="1010"/>
        <v>0</v>
      </c>
      <c r="AA1121" s="38">
        <f t="shared" si="1010"/>
        <v>0</v>
      </c>
    </row>
    <row r="1122" spans="2:27" ht="18.75" customHeight="1" outlineLevel="5" x14ac:dyDescent="0.3">
      <c r="B1122" s="12"/>
      <c r="C1122" s="18"/>
      <c r="D1122" s="24"/>
      <c r="E1122" s="29"/>
      <c r="F1122" s="34"/>
      <c r="G1122" s="39" t="s">
        <v>630</v>
      </c>
      <c r="H1122" s="40"/>
      <c r="I1122" s="40"/>
      <c r="J1122" s="40"/>
      <c r="K1122" s="40"/>
      <c r="L1122" s="41">
        <f t="shared" si="1009"/>
        <v>5.5000000000000003E-4</v>
      </c>
      <c r="M1122" s="42">
        <f t="shared" si="1009"/>
        <v>0.5</v>
      </c>
      <c r="N1122" s="40"/>
      <c r="O1122" s="40"/>
      <c r="P1122" s="40"/>
      <c r="Q1122" s="40"/>
      <c r="R1122" s="40"/>
      <c r="S1122" s="40"/>
      <c r="T1122" s="40"/>
      <c r="U1122" s="40"/>
      <c r="V1122" s="62">
        <f t="shared" si="1010"/>
        <v>0</v>
      </c>
      <c r="W1122" s="62">
        <f t="shared" si="1010"/>
        <v>0</v>
      </c>
      <c r="X1122" s="62">
        <f t="shared" si="1010"/>
        <v>0</v>
      </c>
      <c r="Y1122" s="43">
        <f t="shared" si="1010"/>
        <v>0</v>
      </c>
      <c r="Z1122" s="43">
        <f t="shared" si="1010"/>
        <v>0</v>
      </c>
      <c r="AA1122" s="43">
        <f t="shared" si="1010"/>
        <v>0</v>
      </c>
    </row>
    <row r="1123" spans="2:27" ht="18.75" customHeight="1" outlineLevel="6" x14ac:dyDescent="0.3">
      <c r="B1123" s="44"/>
      <c r="C1123" s="18"/>
      <c r="D1123" s="24"/>
      <c r="E1123" s="29"/>
      <c r="F1123" s="34"/>
      <c r="G1123" s="39"/>
      <c r="H1123" s="46" t="s">
        <v>1079</v>
      </c>
      <c r="I1123" s="46" t="s">
        <v>464</v>
      </c>
      <c r="J1123" s="47" t="s">
        <v>542</v>
      </c>
      <c r="K1123" s="48">
        <v>1</v>
      </c>
      <c r="L1123" s="49">
        <f>VLOOKUP(H1123,[4]Sheet2!K:P,6,0)</f>
        <v>5.5000000000000003E-4</v>
      </c>
      <c r="M1123" s="50">
        <f>VLOOKUP(H1123,[4]Sheet2!K:Q,7,0)</f>
        <v>0.5</v>
      </c>
      <c r="N1123" s="51"/>
      <c r="O1123" s="51"/>
      <c r="P1123" s="51"/>
      <c r="Q1123" s="51"/>
      <c r="R1123" s="51"/>
      <c r="S1123" s="51"/>
      <c r="T1123" s="51"/>
      <c r="U1123" s="51"/>
      <c r="V1123" s="52">
        <f>VLOOKUP(H1123,[4]Sheet2!K:N,4,0)</f>
        <v>0</v>
      </c>
      <c r="W1123" s="52">
        <f>X1123-V1123</f>
        <v>0</v>
      </c>
      <c r="X1123" s="52">
        <f>VLOOKUP(H1123,[4]Sheet2!K:N,4,0)</f>
        <v>0</v>
      </c>
      <c r="Y1123" s="53">
        <f>IFERROR(V1123/M1123,1)</f>
        <v>0</v>
      </c>
      <c r="Z1123" s="53">
        <f>IFERROR(W1123/M1123,1)</f>
        <v>0</v>
      </c>
      <c r="AA1123" s="53">
        <f>IFERROR(X1123/M1123,1)</f>
        <v>0</v>
      </c>
    </row>
    <row r="1124" spans="2:27" ht="18.75" customHeight="1" outlineLevel="1" x14ac:dyDescent="0.3">
      <c r="B1124" s="12"/>
      <c r="C1124" s="18" t="s">
        <v>1080</v>
      </c>
      <c r="D1124" s="18"/>
      <c r="E1124" s="19"/>
      <c r="F1124" s="19"/>
      <c r="G1124" s="19"/>
      <c r="H1124" s="20"/>
      <c r="I1124" s="20"/>
      <c r="J1124" s="20"/>
      <c r="K1124" s="20"/>
      <c r="L1124" s="21">
        <f t="shared" ref="L1124:M1127" si="1011">L1125</f>
        <v>1.8700000000000001E-2</v>
      </c>
      <c r="M1124" s="22">
        <f t="shared" si="1011"/>
        <v>1</v>
      </c>
      <c r="N1124" s="20"/>
      <c r="O1124" s="20"/>
      <c r="P1124" s="20"/>
      <c r="Q1124" s="20"/>
      <c r="R1124" s="20"/>
      <c r="S1124" s="20"/>
      <c r="T1124" s="20"/>
      <c r="U1124" s="20"/>
      <c r="V1124" s="67">
        <f t="shared" ref="V1124:AA1127" si="1012">V1125</f>
        <v>0</v>
      </c>
      <c r="W1124" s="67">
        <f t="shared" si="1012"/>
        <v>0</v>
      </c>
      <c r="X1124" s="67">
        <f t="shared" si="1012"/>
        <v>0</v>
      </c>
      <c r="Y1124" s="23">
        <f t="shared" si="1012"/>
        <v>0</v>
      </c>
      <c r="Z1124" s="23">
        <f t="shared" si="1012"/>
        <v>0</v>
      </c>
      <c r="AA1124" s="23">
        <f t="shared" si="1012"/>
        <v>0</v>
      </c>
    </row>
    <row r="1125" spans="2:27" ht="18.75" customHeight="1" outlineLevel="2" x14ac:dyDescent="0.3">
      <c r="B1125" s="12"/>
      <c r="C1125" s="18"/>
      <c r="D1125" s="24" t="s">
        <v>1080</v>
      </c>
      <c r="E1125" s="65"/>
      <c r="F1125" s="65"/>
      <c r="G1125" s="65"/>
      <c r="H1125" s="25"/>
      <c r="I1125" s="25"/>
      <c r="J1125" s="25"/>
      <c r="K1125" s="25"/>
      <c r="L1125" s="26">
        <f t="shared" si="1011"/>
        <v>1.8700000000000001E-2</v>
      </c>
      <c r="M1125" s="27">
        <f t="shared" si="1011"/>
        <v>1</v>
      </c>
      <c r="N1125" s="25"/>
      <c r="O1125" s="25"/>
      <c r="P1125" s="25"/>
      <c r="Q1125" s="25"/>
      <c r="R1125" s="25"/>
      <c r="S1125" s="25"/>
      <c r="T1125" s="25"/>
      <c r="U1125" s="25"/>
      <c r="V1125" s="68">
        <f t="shared" si="1012"/>
        <v>0</v>
      </c>
      <c r="W1125" s="68">
        <f t="shared" si="1012"/>
        <v>0</v>
      </c>
      <c r="X1125" s="68">
        <f t="shared" si="1012"/>
        <v>0</v>
      </c>
      <c r="Y1125" s="28">
        <f t="shared" si="1012"/>
        <v>0</v>
      </c>
      <c r="Z1125" s="28">
        <f t="shared" si="1012"/>
        <v>0</v>
      </c>
      <c r="AA1125" s="28">
        <f t="shared" si="1012"/>
        <v>0</v>
      </c>
    </row>
    <row r="1126" spans="2:27" ht="18.75" customHeight="1" outlineLevel="3" x14ac:dyDescent="0.3">
      <c r="B1126" s="12"/>
      <c r="C1126" s="18"/>
      <c r="D1126" s="24"/>
      <c r="E1126" s="29" t="s">
        <v>1081</v>
      </c>
      <c r="F1126" s="66"/>
      <c r="G1126" s="66"/>
      <c r="H1126" s="30"/>
      <c r="I1126" s="30"/>
      <c r="J1126" s="30"/>
      <c r="K1126" s="30"/>
      <c r="L1126" s="31">
        <f t="shared" si="1011"/>
        <v>1.8700000000000001E-2</v>
      </c>
      <c r="M1126" s="32">
        <f t="shared" si="1011"/>
        <v>1</v>
      </c>
      <c r="N1126" s="30"/>
      <c r="O1126" s="30"/>
      <c r="P1126" s="30"/>
      <c r="Q1126" s="30"/>
      <c r="R1126" s="30"/>
      <c r="S1126" s="30"/>
      <c r="T1126" s="30"/>
      <c r="U1126" s="30"/>
      <c r="V1126" s="69">
        <f t="shared" si="1012"/>
        <v>0</v>
      </c>
      <c r="W1126" s="69">
        <f t="shared" si="1012"/>
        <v>0</v>
      </c>
      <c r="X1126" s="69">
        <f t="shared" si="1012"/>
        <v>0</v>
      </c>
      <c r="Y1126" s="33">
        <f t="shared" si="1012"/>
        <v>0</v>
      </c>
      <c r="Z1126" s="33">
        <f t="shared" si="1012"/>
        <v>0</v>
      </c>
      <c r="AA1126" s="33">
        <f t="shared" si="1012"/>
        <v>0</v>
      </c>
    </row>
    <row r="1127" spans="2:27" ht="18.75" customHeight="1" outlineLevel="4" x14ac:dyDescent="0.3">
      <c r="B1127" s="12"/>
      <c r="C1127" s="18"/>
      <c r="D1127" s="24"/>
      <c r="E1127" s="29"/>
      <c r="F1127" s="45" t="s">
        <v>1082</v>
      </c>
      <c r="G1127" s="34"/>
      <c r="H1127" s="35"/>
      <c r="I1127" s="35"/>
      <c r="J1127" s="35"/>
      <c r="K1127" s="35"/>
      <c r="L1127" s="36">
        <f t="shared" si="1011"/>
        <v>1.8700000000000001E-2</v>
      </c>
      <c r="M1127" s="37">
        <f t="shared" si="1011"/>
        <v>1</v>
      </c>
      <c r="N1127" s="35"/>
      <c r="O1127" s="35"/>
      <c r="P1127" s="35"/>
      <c r="Q1127" s="35"/>
      <c r="R1127" s="35"/>
      <c r="S1127" s="35"/>
      <c r="T1127" s="35"/>
      <c r="U1127" s="35"/>
      <c r="V1127" s="70">
        <f t="shared" si="1012"/>
        <v>0</v>
      </c>
      <c r="W1127" s="70">
        <f t="shared" si="1012"/>
        <v>0</v>
      </c>
      <c r="X1127" s="70">
        <f t="shared" si="1012"/>
        <v>0</v>
      </c>
      <c r="Y1127" s="38">
        <f t="shared" si="1012"/>
        <v>0</v>
      </c>
      <c r="Z1127" s="38">
        <f t="shared" si="1012"/>
        <v>0</v>
      </c>
      <c r="AA1127" s="38">
        <f t="shared" si="1012"/>
        <v>0</v>
      </c>
    </row>
    <row r="1128" spans="2:27" ht="18.75" customHeight="1" outlineLevel="5" x14ac:dyDescent="0.3">
      <c r="B1128" s="12"/>
      <c r="C1128" s="18"/>
      <c r="D1128" s="24"/>
      <c r="E1128" s="29"/>
      <c r="F1128" s="45"/>
      <c r="G1128" s="39" t="s">
        <v>1083</v>
      </c>
      <c r="H1128" s="40"/>
      <c r="I1128" s="40"/>
      <c r="J1128" s="40"/>
      <c r="K1128" s="40"/>
      <c r="L1128" s="41">
        <f>L1129+L1130</f>
        <v>1.8700000000000001E-2</v>
      </c>
      <c r="M1128" s="42">
        <f>M1129+M1130</f>
        <v>1</v>
      </c>
      <c r="N1128" s="40"/>
      <c r="O1128" s="40"/>
      <c r="P1128" s="40"/>
      <c r="Q1128" s="40"/>
      <c r="R1128" s="40"/>
      <c r="S1128" s="40"/>
      <c r="T1128" s="40"/>
      <c r="U1128" s="40"/>
      <c r="V1128" s="71">
        <f t="shared" ref="V1128:X1128" si="1013">(V1129*$L1129+V1130*$L1130)/$L1128</f>
        <v>0</v>
      </c>
      <c r="W1128" s="71">
        <f t="shared" si="1013"/>
        <v>0</v>
      </c>
      <c r="X1128" s="71">
        <f t="shared" si="1013"/>
        <v>0</v>
      </c>
      <c r="Y1128" s="43">
        <f>(Y1129*$L1129+Y1130*$L1130)/$L1128</f>
        <v>0</v>
      </c>
      <c r="Z1128" s="43">
        <f t="shared" ref="Z1128:AA1128" si="1014">(Z1129*$L1129+Z1130*$L1130)/$L1128</f>
        <v>0</v>
      </c>
      <c r="AA1128" s="43">
        <f t="shared" si="1014"/>
        <v>0</v>
      </c>
    </row>
    <row r="1129" spans="2:27" ht="18.75" customHeight="1" outlineLevel="6" x14ac:dyDescent="0.3">
      <c r="B1129" s="44"/>
      <c r="C1129" s="18"/>
      <c r="D1129" s="24"/>
      <c r="E1129" s="29"/>
      <c r="F1129" s="45"/>
      <c r="G1129" s="39"/>
      <c r="H1129" s="46" t="s">
        <v>1084</v>
      </c>
      <c r="I1129" s="46" t="s">
        <v>1085</v>
      </c>
      <c r="J1129" s="47" t="s">
        <v>30</v>
      </c>
      <c r="K1129" s="48">
        <v>0.5</v>
      </c>
      <c r="L1129" s="49">
        <f>VLOOKUP(H1129,[4]Sheet2!K:P,6,0)</f>
        <v>9.3500000000000007E-3</v>
      </c>
      <c r="M1129" s="50">
        <f>VLOOKUP(H1129,[4]Sheet2!K:Q,7,0)</f>
        <v>0.5</v>
      </c>
      <c r="N1129" s="51"/>
      <c r="O1129" s="51"/>
      <c r="P1129" s="51"/>
      <c r="Q1129" s="51"/>
      <c r="R1129" s="51"/>
      <c r="S1129" s="51"/>
      <c r="T1129" s="51"/>
      <c r="U1129" s="51"/>
      <c r="V1129" s="52">
        <f>VLOOKUP(H1129,[4]Sheet2!K:N,4,0)</f>
        <v>0</v>
      </c>
      <c r="W1129" s="52">
        <f t="shared" ref="W1129:W1130" si="1015">X1129-V1129</f>
        <v>0</v>
      </c>
      <c r="X1129" s="52">
        <f>VLOOKUP(H1129,[4]Sheet2!K:N,4,0)</f>
        <v>0</v>
      </c>
      <c r="Y1129" s="53">
        <f t="shared" ref="Y1129:Y1130" si="1016">IFERROR(V1129/M1129,1)</f>
        <v>0</v>
      </c>
      <c r="Z1129" s="53">
        <f t="shared" ref="Z1129:Z1130" si="1017">IFERROR(W1129/M1129,1)</f>
        <v>0</v>
      </c>
      <c r="AA1129" s="53">
        <f t="shared" ref="AA1129:AA1130" si="1018">IFERROR(X1129/M1129,1)</f>
        <v>0</v>
      </c>
    </row>
    <row r="1130" spans="2:27" ht="18.75" customHeight="1" outlineLevel="6" x14ac:dyDescent="0.3">
      <c r="B1130" s="44"/>
      <c r="C1130" s="18"/>
      <c r="D1130" s="24"/>
      <c r="E1130" s="29"/>
      <c r="F1130" s="45"/>
      <c r="G1130" s="39"/>
      <c r="H1130" s="46" t="s">
        <v>1086</v>
      </c>
      <c r="I1130" s="46" t="s">
        <v>1087</v>
      </c>
      <c r="J1130" s="47" t="s">
        <v>30</v>
      </c>
      <c r="K1130" s="48">
        <v>0.5</v>
      </c>
      <c r="L1130" s="49">
        <f>VLOOKUP(H1130,[4]Sheet2!K:P,6,0)</f>
        <v>9.3500000000000007E-3</v>
      </c>
      <c r="M1130" s="50">
        <f>VLOOKUP(H1130,[4]Sheet2!K:Q,7,0)</f>
        <v>0.5</v>
      </c>
      <c r="N1130" s="51"/>
      <c r="O1130" s="51"/>
      <c r="P1130" s="51"/>
      <c r="Q1130" s="51"/>
      <c r="R1130" s="51"/>
      <c r="S1130" s="51"/>
      <c r="T1130" s="51"/>
      <c r="U1130" s="51"/>
      <c r="V1130" s="52">
        <f>VLOOKUP(H1130,[4]Sheet2!K:N,4,0)</f>
        <v>0</v>
      </c>
      <c r="W1130" s="52">
        <f t="shared" si="1015"/>
        <v>0</v>
      </c>
      <c r="X1130" s="52">
        <f>VLOOKUP(H1130,[4]Sheet2!K:N,4,0)</f>
        <v>0</v>
      </c>
      <c r="Y1130" s="53">
        <f t="shared" si="1016"/>
        <v>0</v>
      </c>
      <c r="Z1130" s="53">
        <f t="shared" si="1017"/>
        <v>0</v>
      </c>
      <c r="AA1130" s="53">
        <f t="shared" si="1018"/>
        <v>0</v>
      </c>
    </row>
    <row r="1131" spans="2:27" ht="18.75" customHeight="1" outlineLevel="1" x14ac:dyDescent="0.3">
      <c r="B1131" s="12"/>
      <c r="C1131" s="18" t="s">
        <v>1088</v>
      </c>
      <c r="D1131" s="18"/>
      <c r="E1131" s="19"/>
      <c r="F1131" s="19"/>
      <c r="G1131" s="19"/>
      <c r="H1131" s="20"/>
      <c r="I1131" s="20"/>
      <c r="J1131" s="20"/>
      <c r="K1131" s="20"/>
      <c r="L1131" s="21">
        <f t="shared" ref="L1131:M1135" si="1019">L1132</f>
        <v>0</v>
      </c>
      <c r="M1131" s="22">
        <f t="shared" si="1019"/>
        <v>0</v>
      </c>
      <c r="N1131" s="20"/>
      <c r="O1131" s="20"/>
      <c r="P1131" s="20"/>
      <c r="Q1131" s="20"/>
      <c r="R1131" s="20"/>
      <c r="S1131" s="20"/>
      <c r="T1131" s="20"/>
      <c r="U1131" s="20"/>
      <c r="V1131" s="67">
        <f t="shared" ref="V1131:AA1135" si="1020">V1132</f>
        <v>0</v>
      </c>
      <c r="W1131" s="67">
        <f t="shared" si="1020"/>
        <v>0</v>
      </c>
      <c r="X1131" s="67">
        <f t="shared" si="1020"/>
        <v>0</v>
      </c>
      <c r="Y1131" s="23">
        <f t="shared" si="1020"/>
        <v>0</v>
      </c>
      <c r="Z1131" s="23">
        <f t="shared" si="1020"/>
        <v>1</v>
      </c>
      <c r="AA1131" s="23">
        <f t="shared" si="1020"/>
        <v>0</v>
      </c>
    </row>
    <row r="1132" spans="2:27" ht="18.75" customHeight="1" outlineLevel="2" x14ac:dyDescent="0.3">
      <c r="B1132" s="12"/>
      <c r="C1132" s="19"/>
      <c r="D1132" s="24" t="s">
        <v>1088</v>
      </c>
      <c r="E1132" s="65"/>
      <c r="F1132" s="65"/>
      <c r="G1132" s="65"/>
      <c r="H1132" s="25"/>
      <c r="I1132" s="25"/>
      <c r="J1132" s="25"/>
      <c r="K1132" s="25"/>
      <c r="L1132" s="26">
        <f t="shared" si="1019"/>
        <v>0</v>
      </c>
      <c r="M1132" s="27">
        <f t="shared" si="1019"/>
        <v>0</v>
      </c>
      <c r="N1132" s="25"/>
      <c r="O1132" s="25"/>
      <c r="P1132" s="25"/>
      <c r="Q1132" s="25"/>
      <c r="R1132" s="25"/>
      <c r="S1132" s="25"/>
      <c r="T1132" s="25"/>
      <c r="U1132" s="25"/>
      <c r="V1132" s="68">
        <f t="shared" si="1020"/>
        <v>0</v>
      </c>
      <c r="W1132" s="68">
        <f t="shared" si="1020"/>
        <v>0</v>
      </c>
      <c r="X1132" s="68">
        <f t="shared" si="1020"/>
        <v>0</v>
      </c>
      <c r="Y1132" s="28">
        <f t="shared" si="1020"/>
        <v>0</v>
      </c>
      <c r="Z1132" s="28">
        <f t="shared" si="1020"/>
        <v>1</v>
      </c>
      <c r="AA1132" s="28">
        <f t="shared" si="1020"/>
        <v>0</v>
      </c>
    </row>
    <row r="1133" spans="2:27" ht="18.75" customHeight="1" outlineLevel="3" x14ac:dyDescent="0.3">
      <c r="B1133" s="12"/>
      <c r="C1133" s="19"/>
      <c r="D1133" s="24"/>
      <c r="E1133" s="29" t="s">
        <v>1089</v>
      </c>
      <c r="F1133" s="66"/>
      <c r="G1133" s="66"/>
      <c r="H1133" s="66"/>
      <c r="I1133" s="66"/>
      <c r="J1133" s="66"/>
      <c r="K1133" s="66"/>
      <c r="L1133" s="72">
        <f t="shared" si="1019"/>
        <v>0</v>
      </c>
      <c r="M1133" s="73">
        <f t="shared" si="1019"/>
        <v>0</v>
      </c>
      <c r="N1133" s="66"/>
      <c r="O1133" s="66"/>
      <c r="P1133" s="66"/>
      <c r="Q1133" s="66"/>
      <c r="R1133" s="66"/>
      <c r="S1133" s="66"/>
      <c r="T1133" s="66"/>
      <c r="U1133" s="66"/>
      <c r="V1133" s="74">
        <f t="shared" si="1020"/>
        <v>0</v>
      </c>
      <c r="W1133" s="74">
        <f t="shared" si="1020"/>
        <v>0</v>
      </c>
      <c r="X1133" s="74">
        <f t="shared" si="1020"/>
        <v>0</v>
      </c>
      <c r="Y1133" s="75">
        <f t="shared" si="1020"/>
        <v>0</v>
      </c>
      <c r="Z1133" s="75">
        <f t="shared" si="1020"/>
        <v>1</v>
      </c>
      <c r="AA1133" s="75">
        <f t="shared" si="1020"/>
        <v>0</v>
      </c>
    </row>
    <row r="1134" spans="2:27" ht="18.75" customHeight="1" outlineLevel="4" x14ac:dyDescent="0.3">
      <c r="B1134" s="12"/>
      <c r="C1134" s="19"/>
      <c r="D1134" s="24"/>
      <c r="E1134" s="29"/>
      <c r="F1134" s="45" t="s">
        <v>1090</v>
      </c>
      <c r="G1134" s="34"/>
      <c r="H1134" s="45"/>
      <c r="I1134" s="45"/>
      <c r="J1134" s="45"/>
      <c r="K1134" s="45"/>
      <c r="L1134" s="76">
        <f t="shared" si="1019"/>
        <v>0</v>
      </c>
      <c r="M1134" s="77">
        <f t="shared" si="1019"/>
        <v>0</v>
      </c>
      <c r="N1134" s="45"/>
      <c r="O1134" s="45"/>
      <c r="P1134" s="45"/>
      <c r="Q1134" s="45"/>
      <c r="R1134" s="45"/>
      <c r="S1134" s="45"/>
      <c r="T1134" s="45"/>
      <c r="U1134" s="45"/>
      <c r="V1134" s="78">
        <f t="shared" si="1020"/>
        <v>0</v>
      </c>
      <c r="W1134" s="78">
        <f t="shared" si="1020"/>
        <v>0</v>
      </c>
      <c r="X1134" s="78">
        <f t="shared" si="1020"/>
        <v>0</v>
      </c>
      <c r="Y1134" s="79">
        <f t="shared" si="1020"/>
        <v>0</v>
      </c>
      <c r="Z1134" s="79">
        <f t="shared" si="1020"/>
        <v>1</v>
      </c>
      <c r="AA1134" s="79">
        <f t="shared" si="1020"/>
        <v>0</v>
      </c>
    </row>
    <row r="1135" spans="2:27" ht="18.75" customHeight="1" outlineLevel="5" x14ac:dyDescent="0.3">
      <c r="B1135" s="12"/>
      <c r="C1135" s="19"/>
      <c r="D1135" s="24"/>
      <c r="E1135" s="29"/>
      <c r="F1135" s="45"/>
      <c r="G1135" s="39" t="s">
        <v>1091</v>
      </c>
      <c r="H1135" s="80"/>
      <c r="I1135" s="80"/>
      <c r="J1135" s="80"/>
      <c r="K1135" s="80"/>
      <c r="L1135" s="81">
        <f t="shared" si="1019"/>
        <v>0</v>
      </c>
      <c r="M1135" s="82">
        <f t="shared" si="1019"/>
        <v>0</v>
      </c>
      <c r="N1135" s="80"/>
      <c r="O1135" s="80"/>
      <c r="P1135" s="80"/>
      <c r="Q1135" s="80"/>
      <c r="R1135" s="80"/>
      <c r="S1135" s="80"/>
      <c r="T1135" s="80"/>
      <c r="U1135" s="80"/>
      <c r="V1135" s="83">
        <f t="shared" si="1020"/>
        <v>0</v>
      </c>
      <c r="W1135" s="83">
        <f t="shared" si="1020"/>
        <v>0</v>
      </c>
      <c r="X1135" s="83">
        <f t="shared" si="1020"/>
        <v>0</v>
      </c>
      <c r="Y1135" s="84">
        <f t="shared" si="1020"/>
        <v>0</v>
      </c>
      <c r="Z1135" s="84">
        <f t="shared" si="1020"/>
        <v>1</v>
      </c>
      <c r="AA1135" s="84">
        <f t="shared" si="1020"/>
        <v>0</v>
      </c>
    </row>
    <row r="1136" spans="2:27" ht="18.75" customHeight="1" outlineLevel="6" x14ac:dyDescent="0.3">
      <c r="B1136" s="44"/>
      <c r="C1136" s="19"/>
      <c r="D1136" s="24"/>
      <c r="E1136" s="29"/>
      <c r="F1136" s="45"/>
      <c r="G1136" s="39"/>
      <c r="H1136" s="85" t="s">
        <v>1092</v>
      </c>
      <c r="I1136" s="85" t="s">
        <v>1091</v>
      </c>
      <c r="J1136" s="86" t="s">
        <v>30</v>
      </c>
      <c r="K1136" s="87">
        <v>1</v>
      </c>
      <c r="L1136" s="49">
        <f>VLOOKUP(H1136,[4]Sheet2!K:P,6,0)</f>
        <v>0</v>
      </c>
      <c r="M1136" s="50">
        <f>VLOOKUP(H1136,[4]Sheet2!K:Q,7,0)</f>
        <v>0</v>
      </c>
      <c r="V1136" s="52">
        <f>VLOOKUP(H1136,[4]Sheet2!K:N,4,0)</f>
        <v>0</v>
      </c>
      <c r="W1136" s="88">
        <f>X1136-V1136</f>
        <v>0</v>
      </c>
      <c r="X1136" s="52">
        <f>VLOOKUP(H1136,[4]Sheet2!K:N,4,0)</f>
        <v>0</v>
      </c>
      <c r="Y1136" s="89">
        <v>0</v>
      </c>
      <c r="Z1136" s="89">
        <f>IFERROR(W1136/M1136,1)</f>
        <v>1</v>
      </c>
      <c r="AA1136" s="89">
        <v>0</v>
      </c>
    </row>
    <row r="1137" ht="18.75" customHeight="1" x14ac:dyDescent="0.3"/>
  </sheetData>
  <autoFilter ref="A2:AA1136" xr:uid="{00000000-0009-0000-0000-00000B000000}"/>
  <mergeCells count="4">
    <mergeCell ref="P1:R1"/>
    <mergeCell ref="S1:U1"/>
    <mergeCell ref="V1:X1"/>
    <mergeCell ref="Y1:AA1"/>
  </mergeCells>
  <pageMargins left="0" right="0" top="0" bottom="0" header="0" footer="0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صادق مرادی</dc:creator>
  <cp:lastModifiedBy>صادق مرادی</cp:lastModifiedBy>
  <dcterms:created xsi:type="dcterms:W3CDTF">2023-04-10T04:52:08Z</dcterms:created>
  <dcterms:modified xsi:type="dcterms:W3CDTF">2023-04-10T04:54:56Z</dcterms:modified>
</cp:coreProperties>
</file>